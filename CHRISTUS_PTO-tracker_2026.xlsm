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ikumars\Documents\UiPath\EFA Automation\"/>
    </mc:Choice>
  </mc:AlternateContent>
  <xr:revisionPtr revIDLastSave="0" documentId="13_ncr:1_{097ACC81-E577-4BF7-8EFC-7961ADD5BDD1}" xr6:coauthVersionLast="47" xr6:coauthVersionMax="47" xr10:uidLastSave="{00000000-0000-0000-0000-000000000000}"/>
  <bookViews>
    <workbookView xWindow="-110" yWindow="-110" windowWidth="19420" windowHeight="10300" tabRatio="879" activeTab="3" xr2:uid="{C5EA0D49-0995-451F-9242-A88BFC306166}"/>
  </bookViews>
  <sheets>
    <sheet name="Year" sheetId="2" r:id="rId1"/>
    <sheet name="EmployeeData" sheetId="17" r:id="rId2"/>
    <sheet name="EmployeeList" sheetId="19" r:id="rId3"/>
    <sheet name="EmployeeFirmHolidays" sheetId="18" r:id="rId4"/>
    <sheet name="Jan" sheetId="1" r:id="rId5"/>
    <sheet name="Feb" sheetId="3" r:id="rId6"/>
    <sheet name="Mar" sheetId="4" r:id="rId7"/>
    <sheet name="Apr" sheetId="5" r:id="rId8"/>
    <sheet name="May" sheetId="6" r:id="rId9"/>
    <sheet name="Jun" sheetId="7" r:id="rId10"/>
    <sheet name="Jul" sheetId="8" r:id="rId11"/>
    <sheet name="Aug" sheetId="9" r:id="rId12"/>
    <sheet name="Sep" sheetId="10" r:id="rId13"/>
    <sheet name="Oct" sheetId="11" r:id="rId14"/>
    <sheet name="Nov" sheetId="13" r:id="rId15"/>
    <sheet name="Dec" sheetId="14" r:id="rId16"/>
    <sheet name="Summary" sheetId="15" r:id="rId17"/>
  </sheets>
  <definedNames>
    <definedName name="_xlnm._FilterDatabase" localSheetId="3" hidden="1">EmployeeFirmHolidays!$A$1:$B$5</definedName>
    <definedName name="_xlnm._FilterDatabase" localSheetId="2" hidden="1">EmployeeList!$A$1:$D$35</definedName>
    <definedName name="pt">Jan!$I$19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7" i="1" l="1"/>
  <c r="D37" i="1"/>
  <c r="E37" i="1"/>
  <c r="AG37" i="1" s="1"/>
  <c r="F37" i="1"/>
  <c r="G37" i="1"/>
  <c r="H37" i="1"/>
  <c r="I37" i="1"/>
  <c r="J37" i="1"/>
  <c r="K37" i="1"/>
  <c r="L37" i="1"/>
  <c r="M37" i="1"/>
  <c r="N37" i="1"/>
  <c r="O37" i="1"/>
  <c r="Q37" i="1"/>
  <c r="R37" i="1"/>
  <c r="S37" i="1"/>
  <c r="T37" i="1"/>
  <c r="U37" i="1"/>
  <c r="V37" i="1"/>
  <c r="W37" i="1"/>
  <c r="X37" i="1"/>
  <c r="Y37" i="1"/>
  <c r="Z37" i="1"/>
  <c r="AB37" i="1"/>
  <c r="AC37" i="1"/>
  <c r="AD37" i="1"/>
  <c r="AE37" i="1"/>
  <c r="AF37" i="1"/>
  <c r="C38" i="1"/>
  <c r="D38" i="1"/>
  <c r="AG38" i="1" s="1"/>
  <c r="E38" i="1"/>
  <c r="F38" i="1"/>
  <c r="G38" i="1"/>
  <c r="H38" i="1"/>
  <c r="I38" i="1"/>
  <c r="J38" i="1"/>
  <c r="K38" i="1"/>
  <c r="L38" i="1"/>
  <c r="M38" i="1"/>
  <c r="N38" i="1"/>
  <c r="O38" i="1"/>
  <c r="Q38" i="1"/>
  <c r="R38" i="1"/>
  <c r="S38" i="1"/>
  <c r="T38" i="1"/>
  <c r="U38" i="1"/>
  <c r="V38" i="1"/>
  <c r="W38" i="1"/>
  <c r="X38" i="1"/>
  <c r="Y38" i="1"/>
  <c r="Z38" i="1"/>
  <c r="AB38" i="1"/>
  <c r="AC38" i="1"/>
  <c r="AD38" i="1"/>
  <c r="AE38" i="1"/>
  <c r="AF38" i="1"/>
  <c r="C39" i="1"/>
  <c r="D39" i="1"/>
  <c r="AG39" i="1" s="1"/>
  <c r="E39" i="1"/>
  <c r="F39" i="1"/>
  <c r="G39" i="1"/>
  <c r="H39" i="1"/>
  <c r="I39" i="1"/>
  <c r="J39" i="1"/>
  <c r="K39" i="1"/>
  <c r="L39" i="1"/>
  <c r="M39" i="1"/>
  <c r="N39" i="1"/>
  <c r="O39" i="1"/>
  <c r="Q39" i="1"/>
  <c r="R39" i="1"/>
  <c r="S39" i="1"/>
  <c r="T39" i="1"/>
  <c r="U39" i="1"/>
  <c r="V39" i="1"/>
  <c r="W39" i="1"/>
  <c r="X39" i="1"/>
  <c r="Y39" i="1"/>
  <c r="Z39" i="1"/>
  <c r="AB39" i="1"/>
  <c r="AC39" i="1"/>
  <c r="AD39" i="1"/>
  <c r="AE39" i="1"/>
  <c r="AF39" i="1"/>
  <c r="B5" i="1"/>
  <c r="B4" i="3"/>
  <c r="B3" i="3" s="1"/>
  <c r="AE5" i="3"/>
  <c r="AF5" i="3"/>
  <c r="AD5" i="3" s="1"/>
  <c r="AG5" i="3"/>
  <c r="AH5" i="3"/>
  <c r="AE6" i="3"/>
  <c r="AF6" i="3"/>
  <c r="AG6" i="3"/>
  <c r="AH6" i="3"/>
  <c r="AD7" i="3"/>
  <c r="AE7" i="3"/>
  <c r="AF7" i="3"/>
  <c r="AG7" i="3"/>
  <c r="AH7" i="3"/>
  <c r="AD8" i="3"/>
  <c r="AE8" i="3"/>
  <c r="AF8" i="3"/>
  <c r="AG8" i="3"/>
  <c r="AH8" i="3"/>
  <c r="AE9" i="3"/>
  <c r="AF9" i="3"/>
  <c r="AG9" i="3"/>
  <c r="AH9" i="3"/>
  <c r="AE10" i="3"/>
  <c r="AD10" i="3" s="1"/>
  <c r="AF10" i="3"/>
  <c r="AG10" i="3"/>
  <c r="AH10" i="3"/>
  <c r="AE11" i="3"/>
  <c r="AF11" i="3"/>
  <c r="AD11" i="3" s="1"/>
  <c r="AG11" i="3"/>
  <c r="AH11" i="3"/>
  <c r="AE12" i="3"/>
  <c r="AD12" i="3" s="1"/>
  <c r="AF12" i="3"/>
  <c r="AG12" i="3"/>
  <c r="AH12" i="3"/>
  <c r="AE13" i="3"/>
  <c r="AF13" i="3"/>
  <c r="AD13" i="3" s="1"/>
  <c r="AG13" i="3"/>
  <c r="AH13" i="3"/>
  <c r="AE14" i="3"/>
  <c r="AF14" i="3"/>
  <c r="AG14" i="3"/>
  <c r="AH14" i="3"/>
  <c r="AE15" i="3"/>
  <c r="AD15" i="3" s="1"/>
  <c r="AF15" i="3"/>
  <c r="AG15" i="3"/>
  <c r="AH15" i="3"/>
  <c r="AE16" i="3"/>
  <c r="AF16" i="3"/>
  <c r="AG16" i="3"/>
  <c r="AH16" i="3"/>
  <c r="AE17" i="3"/>
  <c r="AF17" i="3"/>
  <c r="AD17" i="3" s="1"/>
  <c r="AG17" i="3"/>
  <c r="AH17" i="3"/>
  <c r="AE18" i="3"/>
  <c r="AD18" i="3" s="1"/>
  <c r="AF18" i="3"/>
  <c r="AG18" i="3"/>
  <c r="AH18" i="3"/>
  <c r="AD19" i="3"/>
  <c r="AE19" i="3"/>
  <c r="AF19" i="3"/>
  <c r="AG19" i="3"/>
  <c r="AH19" i="3"/>
  <c r="AE20" i="3"/>
  <c r="AF20" i="3"/>
  <c r="AG20" i="3"/>
  <c r="AH20" i="3"/>
  <c r="AE21" i="3"/>
  <c r="AD21" i="3" s="1"/>
  <c r="AF21" i="3"/>
  <c r="AG21" i="3"/>
  <c r="AH21" i="3"/>
  <c r="AE22" i="3"/>
  <c r="AD22" i="3" s="1"/>
  <c r="AF22" i="3"/>
  <c r="AG22" i="3"/>
  <c r="AH22" i="3"/>
  <c r="AE23" i="3"/>
  <c r="AF23" i="3"/>
  <c r="AG23" i="3"/>
  <c r="AH23" i="3"/>
  <c r="AE24" i="3"/>
  <c r="AF24" i="3"/>
  <c r="AG24" i="3"/>
  <c r="AH24" i="3"/>
  <c r="AD24" i="3" s="1"/>
  <c r="AD25" i="3"/>
  <c r="AE25" i="3"/>
  <c r="AF25" i="3"/>
  <c r="AG25" i="3"/>
  <c r="AH25" i="3"/>
  <c r="AE26" i="3"/>
  <c r="AF26" i="3"/>
  <c r="AG26" i="3"/>
  <c r="AH26" i="3"/>
  <c r="AE27" i="3"/>
  <c r="AF27" i="3"/>
  <c r="AG27" i="3"/>
  <c r="AH27" i="3"/>
  <c r="AD27" i="3" s="1"/>
  <c r="AE28" i="3"/>
  <c r="AD28" i="3" s="1"/>
  <c r="AF28" i="3"/>
  <c r="AG28" i="3"/>
  <c r="AH28" i="3"/>
  <c r="AE29" i="3"/>
  <c r="AF29" i="3"/>
  <c r="AG29" i="3"/>
  <c r="AH29" i="3"/>
  <c r="AE30" i="3"/>
  <c r="AD30" i="3" s="1"/>
  <c r="AF30" i="3"/>
  <c r="AG30" i="3"/>
  <c r="AH30" i="3"/>
  <c r="AE31" i="3"/>
  <c r="AF31" i="3"/>
  <c r="AD31" i="3" s="1"/>
  <c r="AG31" i="3"/>
  <c r="AH31" i="3"/>
  <c r="AE32" i="3"/>
  <c r="AF32" i="3"/>
  <c r="AG32" i="3"/>
  <c r="AH32" i="3"/>
  <c r="AE33" i="3"/>
  <c r="AF33" i="3"/>
  <c r="AG33" i="3"/>
  <c r="AH33" i="3"/>
  <c r="AD33" i="3" s="1"/>
  <c r="AE34" i="3"/>
  <c r="AD34" i="3" s="1"/>
  <c r="AF34" i="3"/>
  <c r="AG34" i="3"/>
  <c r="AH34" i="3"/>
  <c r="AE35" i="3"/>
  <c r="AF35" i="3"/>
  <c r="AG35" i="3"/>
  <c r="AH35" i="3"/>
  <c r="B3" i="4"/>
  <c r="B4" i="4"/>
  <c r="C4" i="4" s="1"/>
  <c r="D4" i="4" s="1"/>
  <c r="AH6" i="4"/>
  <c r="AI6" i="4"/>
  <c r="AJ6" i="4"/>
  <c r="AK6" i="4"/>
  <c r="AH7" i="4"/>
  <c r="AI7" i="4"/>
  <c r="AJ7" i="4"/>
  <c r="AK7" i="4"/>
  <c r="AH8" i="4"/>
  <c r="AI8" i="4"/>
  <c r="AJ8" i="4"/>
  <c r="AK8" i="4"/>
  <c r="AH9" i="4"/>
  <c r="AI9" i="4"/>
  <c r="AJ9" i="4"/>
  <c r="AK9" i="4"/>
  <c r="AH10" i="4"/>
  <c r="AI10" i="4"/>
  <c r="AJ10" i="4"/>
  <c r="AK10" i="4"/>
  <c r="AH11" i="4"/>
  <c r="AI11" i="4"/>
  <c r="AJ11" i="4"/>
  <c r="AK11" i="4"/>
  <c r="AH12" i="4"/>
  <c r="AI12" i="4"/>
  <c r="AJ12" i="4"/>
  <c r="AK12" i="4"/>
  <c r="AH13" i="4"/>
  <c r="AI13" i="4"/>
  <c r="AJ13" i="4"/>
  <c r="AK13" i="4"/>
  <c r="AH14" i="4"/>
  <c r="AI14" i="4"/>
  <c r="AJ14" i="4"/>
  <c r="AK14" i="4"/>
  <c r="AH15" i="4"/>
  <c r="AI15" i="4"/>
  <c r="AJ15" i="4"/>
  <c r="AK15" i="4"/>
  <c r="AH16" i="4"/>
  <c r="AI16" i="4"/>
  <c r="AJ16" i="4"/>
  <c r="AK16" i="4"/>
  <c r="AH17" i="4"/>
  <c r="AI17" i="4"/>
  <c r="AJ17" i="4"/>
  <c r="AK17" i="4"/>
  <c r="AH18" i="4"/>
  <c r="AI18" i="4"/>
  <c r="AJ18" i="4"/>
  <c r="AK18" i="4"/>
  <c r="AH19" i="4"/>
  <c r="AI19" i="4"/>
  <c r="AJ19" i="4"/>
  <c r="AK19" i="4"/>
  <c r="AH20" i="4"/>
  <c r="AI20" i="4"/>
  <c r="AJ20" i="4"/>
  <c r="AK20" i="4"/>
  <c r="AH21" i="4"/>
  <c r="AI21" i="4"/>
  <c r="AJ21" i="4"/>
  <c r="AK21" i="4"/>
  <c r="AH22" i="4"/>
  <c r="AI22" i="4"/>
  <c r="AJ22" i="4"/>
  <c r="AK22" i="4"/>
  <c r="AH23" i="4"/>
  <c r="AI23" i="4"/>
  <c r="AJ23" i="4"/>
  <c r="AK23" i="4"/>
  <c r="AH24" i="4"/>
  <c r="AI24" i="4"/>
  <c r="AJ24" i="4"/>
  <c r="AK24" i="4"/>
  <c r="AH25" i="4"/>
  <c r="AG25" i="4" s="1"/>
  <c r="AI25" i="4"/>
  <c r="AJ25" i="4"/>
  <c r="AK25" i="4"/>
  <c r="AH26" i="4"/>
  <c r="AI26" i="4"/>
  <c r="AJ26" i="4"/>
  <c r="AK26" i="4"/>
  <c r="AH27" i="4"/>
  <c r="AI27" i="4"/>
  <c r="AJ27" i="4"/>
  <c r="AK27" i="4"/>
  <c r="AH28" i="4"/>
  <c r="AI28" i="4"/>
  <c r="AJ28" i="4"/>
  <c r="AK28" i="4"/>
  <c r="AH29" i="4"/>
  <c r="AI29" i="4"/>
  <c r="AJ29" i="4"/>
  <c r="AK29" i="4"/>
  <c r="AH30" i="4"/>
  <c r="AI30" i="4"/>
  <c r="AJ30" i="4"/>
  <c r="AK30" i="4"/>
  <c r="AH31" i="4"/>
  <c r="AI31" i="4"/>
  <c r="AJ31" i="4"/>
  <c r="AK31" i="4"/>
  <c r="AH32" i="4"/>
  <c r="AG32" i="4" s="1"/>
  <c r="AI32" i="4"/>
  <c r="AJ32" i="4"/>
  <c r="AK32" i="4"/>
  <c r="AH33" i="4"/>
  <c r="AI33" i="4"/>
  <c r="AJ33" i="4"/>
  <c r="AK33" i="4"/>
  <c r="AH34" i="4"/>
  <c r="AI34" i="4"/>
  <c r="AJ34" i="4"/>
  <c r="AK34" i="4"/>
  <c r="AH35" i="4"/>
  <c r="AI35" i="4"/>
  <c r="AJ35" i="4"/>
  <c r="AK35" i="4"/>
  <c r="B4" i="5"/>
  <c r="B3" i="5" s="1"/>
  <c r="C4" i="5"/>
  <c r="AG5" i="5"/>
  <c r="AF5" i="5" s="1"/>
  <c r="AH5" i="5"/>
  <c r="AI5" i="5"/>
  <c r="AJ5" i="5"/>
  <c r="AG6" i="5"/>
  <c r="AH6" i="5"/>
  <c r="AI6" i="5"/>
  <c r="AJ6" i="5"/>
  <c r="AG7" i="5"/>
  <c r="AF7" i="5" s="1"/>
  <c r="AH7" i="5"/>
  <c r="AI7" i="5"/>
  <c r="AJ7" i="5"/>
  <c r="AG8" i="5"/>
  <c r="AF8" i="5" s="1"/>
  <c r="AH8" i="5"/>
  <c r="AI8" i="5"/>
  <c r="AJ8" i="5"/>
  <c r="AG9" i="5"/>
  <c r="AH9" i="5"/>
  <c r="AI9" i="5"/>
  <c r="AJ9" i="5"/>
  <c r="AG10" i="5"/>
  <c r="AH10" i="5"/>
  <c r="AF10" i="5" s="1"/>
  <c r="AI10" i="5"/>
  <c r="AJ10" i="5"/>
  <c r="AG11" i="5"/>
  <c r="AH11" i="5"/>
  <c r="AI11" i="5"/>
  <c r="AJ11" i="5"/>
  <c r="AG12" i="5"/>
  <c r="AH12" i="5"/>
  <c r="AF12" i="5" s="1"/>
  <c r="AI12" i="5"/>
  <c r="AJ12" i="5"/>
  <c r="AG13" i="5"/>
  <c r="AF13" i="5" s="1"/>
  <c r="AH13" i="5"/>
  <c r="AI13" i="5"/>
  <c r="AJ13" i="5"/>
  <c r="AF14" i="5"/>
  <c r="AG14" i="5"/>
  <c r="AH14" i="5"/>
  <c r="AI14" i="5"/>
  <c r="AJ14" i="5"/>
  <c r="AG15" i="5"/>
  <c r="AF15" i="5" s="1"/>
  <c r="AH15" i="5"/>
  <c r="AI15" i="5"/>
  <c r="AJ15" i="5"/>
  <c r="AG16" i="5"/>
  <c r="AH16" i="5"/>
  <c r="AI16" i="5"/>
  <c r="AJ16" i="5"/>
  <c r="AF17" i="5"/>
  <c r="AG17" i="5"/>
  <c r="AH17" i="5"/>
  <c r="AI17" i="5"/>
  <c r="AJ17" i="5"/>
  <c r="AF18" i="5"/>
  <c r="AG18" i="5"/>
  <c r="AH18" i="5"/>
  <c r="AI18" i="5"/>
  <c r="AJ18" i="5"/>
  <c r="AG19" i="5"/>
  <c r="AH19" i="5"/>
  <c r="AI19" i="5"/>
  <c r="AJ19" i="5"/>
  <c r="AF20" i="5"/>
  <c r="AG20" i="5"/>
  <c r="AH20" i="5"/>
  <c r="AI20" i="5"/>
  <c r="AJ20" i="5"/>
  <c r="AG21" i="5"/>
  <c r="AF21" i="5" s="1"/>
  <c r="AH21" i="5"/>
  <c r="AI21" i="5"/>
  <c r="AJ21" i="5"/>
  <c r="AG22" i="5"/>
  <c r="AH22" i="5"/>
  <c r="AI22" i="5"/>
  <c r="AJ22" i="5"/>
  <c r="AF22" i="5" s="1"/>
  <c r="AG23" i="5"/>
  <c r="AF23" i="5" s="1"/>
  <c r="AH23" i="5"/>
  <c r="AI23" i="5"/>
  <c r="AJ23" i="5"/>
  <c r="AG24" i="5"/>
  <c r="AH24" i="5"/>
  <c r="AI24" i="5"/>
  <c r="AJ24" i="5"/>
  <c r="AF25" i="5"/>
  <c r="AG25" i="5"/>
  <c r="AH25" i="5"/>
  <c r="AI25" i="5"/>
  <c r="AJ25" i="5"/>
  <c r="AF26" i="5"/>
  <c r="AG26" i="5"/>
  <c r="AH26" i="5"/>
  <c r="AI26" i="5"/>
  <c r="AJ26" i="5"/>
  <c r="AG27" i="5"/>
  <c r="AF27" i="5" s="1"/>
  <c r="AH27" i="5"/>
  <c r="AI27" i="5"/>
  <c r="AJ27" i="5"/>
  <c r="AG28" i="5"/>
  <c r="AH28" i="5"/>
  <c r="AI28" i="5"/>
  <c r="AJ28" i="5"/>
  <c r="AG29" i="5"/>
  <c r="AF29" i="5" s="1"/>
  <c r="AH29" i="5"/>
  <c r="AI29" i="5"/>
  <c r="AJ29" i="5"/>
  <c r="AF30" i="5"/>
  <c r="AG30" i="5"/>
  <c r="AH30" i="5"/>
  <c r="AI30" i="5"/>
  <c r="AJ30" i="5"/>
  <c r="AG31" i="5"/>
  <c r="AH31" i="5"/>
  <c r="AI31" i="5"/>
  <c r="AF31" i="5" s="1"/>
  <c r="AJ31" i="5"/>
  <c r="AG32" i="5"/>
  <c r="AH32" i="5"/>
  <c r="AI32" i="5"/>
  <c r="AJ32" i="5"/>
  <c r="AG33" i="5"/>
  <c r="AH33" i="5"/>
  <c r="AI33" i="5"/>
  <c r="AJ33" i="5"/>
  <c r="AG34" i="5"/>
  <c r="AH34" i="5"/>
  <c r="AF34" i="5" s="1"/>
  <c r="AI34" i="5"/>
  <c r="AJ34" i="5"/>
  <c r="AG35" i="5"/>
  <c r="AH35" i="5"/>
  <c r="AI35" i="5"/>
  <c r="AJ35" i="5"/>
  <c r="AG36" i="5"/>
  <c r="AF36" i="5" s="1"/>
  <c r="AH36" i="5"/>
  <c r="AI36" i="5"/>
  <c r="AJ36" i="5"/>
  <c r="AG37" i="5"/>
  <c r="AH37" i="5"/>
  <c r="AI37" i="5"/>
  <c r="AJ37" i="5"/>
  <c r="B3" i="6"/>
  <c r="B4" i="6"/>
  <c r="C4" i="6"/>
  <c r="C3" i="6" s="1"/>
  <c r="D4" i="6"/>
  <c r="D3" i="6" s="1"/>
  <c r="E4" i="6"/>
  <c r="AH5" i="6"/>
  <c r="AI5" i="6"/>
  <c r="AJ5" i="6"/>
  <c r="AK5" i="6"/>
  <c r="AG5" i="6" s="1"/>
  <c r="AH6" i="6"/>
  <c r="AI6" i="6"/>
  <c r="AJ6" i="6"/>
  <c r="AK6" i="6"/>
  <c r="AH7" i="6"/>
  <c r="AI7" i="6"/>
  <c r="AJ7" i="6"/>
  <c r="AK7" i="6"/>
  <c r="AH8" i="6"/>
  <c r="AI8" i="6"/>
  <c r="AJ8" i="6"/>
  <c r="AK8" i="6"/>
  <c r="AH9" i="6"/>
  <c r="AI9" i="6"/>
  <c r="AJ9" i="6"/>
  <c r="AK9" i="6"/>
  <c r="AH10" i="6"/>
  <c r="AI10" i="6"/>
  <c r="AJ10" i="6"/>
  <c r="AK10" i="6"/>
  <c r="AH11" i="6"/>
  <c r="AI11" i="6"/>
  <c r="AJ11" i="6"/>
  <c r="AK11" i="6"/>
  <c r="AH12" i="6"/>
  <c r="AI12" i="6"/>
  <c r="AJ12" i="6"/>
  <c r="AK12" i="6"/>
  <c r="AH13" i="6"/>
  <c r="AG13" i="6" s="1"/>
  <c r="AI13" i="6"/>
  <c r="AJ13" i="6"/>
  <c r="AK13" i="6"/>
  <c r="AH14" i="6"/>
  <c r="AI14" i="6"/>
  <c r="AJ14" i="6"/>
  <c r="AK14" i="6"/>
  <c r="AH15" i="6"/>
  <c r="AG15" i="6" s="1"/>
  <c r="AI15" i="6"/>
  <c r="AJ15" i="6"/>
  <c r="AK15" i="6"/>
  <c r="AG16" i="6"/>
  <c r="AH16" i="6"/>
  <c r="AI16" i="6"/>
  <c r="AJ16" i="6"/>
  <c r="AK16" i="6"/>
  <c r="AH17" i="6"/>
  <c r="AI17" i="6"/>
  <c r="AJ17" i="6"/>
  <c r="AK17" i="6"/>
  <c r="AH18" i="6"/>
  <c r="AI18" i="6"/>
  <c r="AJ18" i="6"/>
  <c r="AK18" i="6"/>
  <c r="AH19" i="6"/>
  <c r="AI19" i="6"/>
  <c r="AJ19" i="6"/>
  <c r="AK19" i="6"/>
  <c r="AH20" i="6"/>
  <c r="AG20" i="6" s="1"/>
  <c r="AI20" i="6"/>
  <c r="AJ20" i="6"/>
  <c r="AK20" i="6"/>
  <c r="AH21" i="6"/>
  <c r="AI21" i="6"/>
  <c r="AJ21" i="6"/>
  <c r="AK21" i="6"/>
  <c r="AH22" i="6"/>
  <c r="AI22" i="6"/>
  <c r="AJ22" i="6"/>
  <c r="AK22" i="6"/>
  <c r="AH23" i="6"/>
  <c r="AI23" i="6"/>
  <c r="AG23" i="6" s="1"/>
  <c r="AJ23" i="6"/>
  <c r="AK23" i="6"/>
  <c r="AH24" i="6"/>
  <c r="AI24" i="6"/>
  <c r="AJ24" i="6"/>
  <c r="AK24" i="6"/>
  <c r="AH25" i="6"/>
  <c r="AI25" i="6"/>
  <c r="AJ25" i="6"/>
  <c r="AK25" i="6"/>
  <c r="AG25" i="6" s="1"/>
  <c r="AH26" i="6"/>
  <c r="AI26" i="6"/>
  <c r="AJ26" i="6"/>
  <c r="AK26" i="6"/>
  <c r="AH27" i="6"/>
  <c r="AI27" i="6"/>
  <c r="AJ27" i="6"/>
  <c r="AK27" i="6"/>
  <c r="AH28" i="6"/>
  <c r="AI28" i="6"/>
  <c r="AJ28" i="6"/>
  <c r="AK28" i="6"/>
  <c r="AH29" i="6"/>
  <c r="AI29" i="6"/>
  <c r="AJ29" i="6"/>
  <c r="AK29" i="6"/>
  <c r="AH30" i="6"/>
  <c r="AI30" i="6"/>
  <c r="AJ30" i="6"/>
  <c r="AK30" i="6"/>
  <c r="AH31" i="6"/>
  <c r="AG31" i="6" s="1"/>
  <c r="AI31" i="6"/>
  <c r="AJ31" i="6"/>
  <c r="AK31" i="6"/>
  <c r="AH32" i="6"/>
  <c r="AI32" i="6"/>
  <c r="AJ32" i="6"/>
  <c r="AK32" i="6"/>
  <c r="AH33" i="6"/>
  <c r="AI33" i="6"/>
  <c r="AJ33" i="6"/>
  <c r="AK33" i="6"/>
  <c r="AH34" i="6"/>
  <c r="AG34" i="6" s="1"/>
  <c r="AI34" i="6"/>
  <c r="AJ34" i="6"/>
  <c r="AK34" i="6"/>
  <c r="AH35" i="6"/>
  <c r="AI35" i="6"/>
  <c r="AJ35" i="6"/>
  <c r="AK35" i="6"/>
  <c r="B3" i="7"/>
  <c r="C3" i="7"/>
  <c r="B4" i="7"/>
  <c r="C4" i="7"/>
  <c r="D4" i="7"/>
  <c r="D3" i="7" s="1"/>
  <c r="AG5" i="7"/>
  <c r="AH5" i="7"/>
  <c r="AI5" i="7"/>
  <c r="AJ5" i="7"/>
  <c r="AG6" i="7"/>
  <c r="AH6" i="7"/>
  <c r="AF6" i="7" s="1"/>
  <c r="AI6" i="7"/>
  <c r="AJ6" i="7"/>
  <c r="AG7" i="7"/>
  <c r="AH7" i="7"/>
  <c r="AI7" i="7"/>
  <c r="AJ7" i="7"/>
  <c r="AG8" i="7"/>
  <c r="AH8" i="7"/>
  <c r="AI8" i="7"/>
  <c r="AJ8" i="7"/>
  <c r="AG9" i="7"/>
  <c r="AF9" i="7" s="1"/>
  <c r="AH9" i="7"/>
  <c r="AI9" i="7"/>
  <c r="AJ9" i="7"/>
  <c r="AG10" i="7"/>
  <c r="AH10" i="7"/>
  <c r="AI10" i="7"/>
  <c r="AJ10" i="7"/>
  <c r="AG11" i="7"/>
  <c r="AH11" i="7"/>
  <c r="AI11" i="7"/>
  <c r="AJ11" i="7"/>
  <c r="AG12" i="7"/>
  <c r="AF12" i="7" s="1"/>
  <c r="AH12" i="7"/>
  <c r="AI12" i="7"/>
  <c r="AJ12" i="7"/>
  <c r="AF13" i="7"/>
  <c r="AG13" i="7"/>
  <c r="AH13" i="7"/>
  <c r="AI13" i="7"/>
  <c r="AJ13" i="7"/>
  <c r="AG14" i="7"/>
  <c r="AH14" i="7"/>
  <c r="AI14" i="7"/>
  <c r="AJ14" i="7"/>
  <c r="AG15" i="7"/>
  <c r="AH15" i="7"/>
  <c r="AI15" i="7"/>
  <c r="AJ15" i="7"/>
  <c r="AF16" i="7"/>
  <c r="AG16" i="7"/>
  <c r="AH16" i="7"/>
  <c r="AI16" i="7"/>
  <c r="AJ16" i="7"/>
  <c r="AG17" i="7"/>
  <c r="AF17" i="7" s="1"/>
  <c r="AH17" i="7"/>
  <c r="AI17" i="7"/>
  <c r="AJ17" i="7"/>
  <c r="AG18" i="7"/>
  <c r="AH18" i="7"/>
  <c r="AI18" i="7"/>
  <c r="AJ18" i="7"/>
  <c r="AF19" i="7"/>
  <c r="AG19" i="7"/>
  <c r="AH19" i="7"/>
  <c r="AI19" i="7"/>
  <c r="AJ19" i="7"/>
  <c r="AG20" i="7"/>
  <c r="AH20" i="7"/>
  <c r="AI20" i="7"/>
  <c r="AJ20" i="7"/>
  <c r="AG21" i="7"/>
  <c r="AH21" i="7"/>
  <c r="AI21" i="7"/>
  <c r="AJ21" i="7"/>
  <c r="AG22" i="7"/>
  <c r="AH22" i="7"/>
  <c r="AI22" i="7"/>
  <c r="AJ22" i="7"/>
  <c r="AG23" i="7"/>
  <c r="AH23" i="7"/>
  <c r="AI23" i="7"/>
  <c r="AJ23" i="7"/>
  <c r="AG24" i="7"/>
  <c r="AH24" i="7"/>
  <c r="AI24" i="7"/>
  <c r="AJ24" i="7"/>
  <c r="AG25" i="7"/>
  <c r="AF25" i="7" s="1"/>
  <c r="AH25" i="7"/>
  <c r="AI25" i="7"/>
  <c r="AJ25" i="7"/>
  <c r="AG26" i="7"/>
  <c r="AF26" i="7" s="1"/>
  <c r="AH26" i="7"/>
  <c r="AI26" i="7"/>
  <c r="AJ26" i="7"/>
  <c r="AG27" i="7"/>
  <c r="AH27" i="7"/>
  <c r="AI27" i="7"/>
  <c r="AJ27" i="7"/>
  <c r="AF28" i="7"/>
  <c r="AG28" i="7"/>
  <c r="AH28" i="7"/>
  <c r="AI28" i="7"/>
  <c r="AJ28" i="7"/>
  <c r="AG29" i="7"/>
  <c r="AF29" i="7" s="1"/>
  <c r="AH29" i="7"/>
  <c r="AI29" i="7"/>
  <c r="AJ29" i="7"/>
  <c r="AG30" i="7"/>
  <c r="AF30" i="7" s="1"/>
  <c r="AH30" i="7"/>
  <c r="AI30" i="7"/>
  <c r="AJ30" i="7"/>
  <c r="AG31" i="7"/>
  <c r="AH31" i="7"/>
  <c r="AI31" i="7"/>
  <c r="AJ31" i="7"/>
  <c r="AG32" i="7"/>
  <c r="AH32" i="7"/>
  <c r="AI32" i="7"/>
  <c r="AJ32" i="7"/>
  <c r="AG33" i="7"/>
  <c r="AF33" i="7" s="1"/>
  <c r="AH33" i="7"/>
  <c r="AI33" i="7"/>
  <c r="AJ33" i="7"/>
  <c r="AG34" i="7"/>
  <c r="AF34" i="7" s="1"/>
  <c r="AH34" i="7"/>
  <c r="AI34" i="7"/>
  <c r="AJ34" i="7"/>
  <c r="AG35" i="7"/>
  <c r="AH35" i="7"/>
  <c r="AI35" i="7"/>
  <c r="AJ35" i="7"/>
  <c r="B3" i="8"/>
  <c r="B4" i="8"/>
  <c r="C4" i="8" s="1"/>
  <c r="C3" i="8" s="1"/>
  <c r="AH5" i="8"/>
  <c r="AI5" i="8"/>
  <c r="AJ5" i="8"/>
  <c r="AK5" i="8"/>
  <c r="AH6" i="8"/>
  <c r="AI6" i="8"/>
  <c r="AG6" i="8" s="1"/>
  <c r="AJ6" i="8"/>
  <c r="AK6" i="8"/>
  <c r="AH7" i="8"/>
  <c r="AG7" i="8" s="1"/>
  <c r="AI7" i="8"/>
  <c r="AJ7" i="8"/>
  <c r="AK7" i="8"/>
  <c r="AH8" i="8"/>
  <c r="AI8" i="8"/>
  <c r="AG8" i="8" s="1"/>
  <c r="AJ8" i="8"/>
  <c r="AK8" i="8"/>
  <c r="AH9" i="8"/>
  <c r="AG9" i="8" s="1"/>
  <c r="AI9" i="8"/>
  <c r="AJ9" i="8"/>
  <c r="AK9" i="8"/>
  <c r="AH10" i="8"/>
  <c r="AG10" i="8" s="1"/>
  <c r="AI10" i="8"/>
  <c r="AJ10" i="8"/>
  <c r="AK10" i="8"/>
  <c r="AH11" i="8"/>
  <c r="AI11" i="8"/>
  <c r="AJ11" i="8"/>
  <c r="AK11" i="8"/>
  <c r="AH12" i="8"/>
  <c r="AI12" i="8"/>
  <c r="AJ12" i="8"/>
  <c r="AK12" i="8"/>
  <c r="AG12" i="8" s="1"/>
  <c r="AH13" i="8"/>
  <c r="AG13" i="8" s="1"/>
  <c r="AI13" i="8"/>
  <c r="AJ13" i="8"/>
  <c r="AK13" i="8"/>
  <c r="AG14" i="8"/>
  <c r="AH14" i="8"/>
  <c r="AI14" i="8"/>
  <c r="AJ14" i="8"/>
  <c r="AK14" i="8"/>
  <c r="AH15" i="8"/>
  <c r="AI15" i="8"/>
  <c r="AJ15" i="8"/>
  <c r="AK15" i="8"/>
  <c r="AG16" i="8"/>
  <c r="AH16" i="8"/>
  <c r="AI16" i="8"/>
  <c r="AJ16" i="8"/>
  <c r="AK16" i="8"/>
  <c r="AG17" i="8"/>
  <c r="AH17" i="8"/>
  <c r="AI17" i="8"/>
  <c r="AJ17" i="8"/>
  <c r="AK17" i="8"/>
  <c r="AH18" i="8"/>
  <c r="AI18" i="8"/>
  <c r="AJ18" i="8"/>
  <c r="AK18" i="8"/>
  <c r="AH19" i="8"/>
  <c r="AG19" i="8" s="1"/>
  <c r="AI19" i="8"/>
  <c r="AJ19" i="8"/>
  <c r="AK19" i="8"/>
  <c r="AH20" i="8"/>
  <c r="AI20" i="8"/>
  <c r="AG20" i="8" s="1"/>
  <c r="AJ20" i="8"/>
  <c r="AK20" i="8"/>
  <c r="AH21" i="8"/>
  <c r="AI21" i="8"/>
  <c r="AJ21" i="8"/>
  <c r="AK21" i="8"/>
  <c r="AG22" i="8"/>
  <c r="AH22" i="8"/>
  <c r="AI22" i="8"/>
  <c r="AJ22" i="8"/>
  <c r="AK22" i="8"/>
  <c r="AH23" i="8"/>
  <c r="AG23" i="8" s="1"/>
  <c r="AI23" i="8"/>
  <c r="AJ23" i="8"/>
  <c r="AK23" i="8"/>
  <c r="AG24" i="8"/>
  <c r="AH24" i="8"/>
  <c r="AI24" i="8"/>
  <c r="AJ24" i="8"/>
  <c r="AK24" i="8"/>
  <c r="AH25" i="8"/>
  <c r="AG25" i="8" s="1"/>
  <c r="AI25" i="8"/>
  <c r="AJ25" i="8"/>
  <c r="AK25" i="8"/>
  <c r="AH26" i="8"/>
  <c r="AI26" i="8"/>
  <c r="AJ26" i="8"/>
  <c r="AK26" i="8"/>
  <c r="AG26" i="8" s="1"/>
  <c r="AH27" i="8"/>
  <c r="AI27" i="8"/>
  <c r="AJ27" i="8"/>
  <c r="AG27" i="8" s="1"/>
  <c r="AK27" i="8"/>
  <c r="AH28" i="8"/>
  <c r="AG28" i="8" s="1"/>
  <c r="AI28" i="8"/>
  <c r="AJ28" i="8"/>
  <c r="AK28" i="8"/>
  <c r="AH29" i="8"/>
  <c r="AI29" i="8"/>
  <c r="AJ29" i="8"/>
  <c r="AK29" i="8"/>
  <c r="AH30" i="8"/>
  <c r="AI30" i="8"/>
  <c r="AJ30" i="8"/>
  <c r="AK30" i="8"/>
  <c r="AG30" i="8" s="1"/>
  <c r="AH31" i="8"/>
  <c r="AG31" i="8" s="1"/>
  <c r="AI31" i="8"/>
  <c r="AJ31" i="8"/>
  <c r="AK31" i="8"/>
  <c r="AH32" i="8"/>
  <c r="AI32" i="8"/>
  <c r="AG32" i="8" s="1"/>
  <c r="AJ32" i="8"/>
  <c r="AK32" i="8"/>
  <c r="AH33" i="8"/>
  <c r="AI33" i="8"/>
  <c r="AJ33" i="8"/>
  <c r="AK33" i="8"/>
  <c r="AH34" i="8"/>
  <c r="AI34" i="8"/>
  <c r="AG34" i="8" s="1"/>
  <c r="AJ34" i="8"/>
  <c r="AK34" i="8"/>
  <c r="AH35" i="8"/>
  <c r="AI35" i="8"/>
  <c r="AJ35" i="8"/>
  <c r="AK35" i="8"/>
  <c r="B4" i="9"/>
  <c r="B3" i="9" s="1"/>
  <c r="C4" i="9"/>
  <c r="AG5" i="9"/>
  <c r="AH5" i="9"/>
  <c r="AI5" i="9"/>
  <c r="AJ5" i="9"/>
  <c r="AK5" i="9"/>
  <c r="AH6" i="9"/>
  <c r="AG6" i="9" s="1"/>
  <c r="AI6" i="9"/>
  <c r="AJ6" i="9"/>
  <c r="AK6" i="9"/>
  <c r="AH7" i="9"/>
  <c r="AG7" i="9" s="1"/>
  <c r="AI7" i="9"/>
  <c r="AJ7" i="9"/>
  <c r="AK7" i="9"/>
  <c r="AH8" i="9"/>
  <c r="AI8" i="9"/>
  <c r="AJ8" i="9"/>
  <c r="AK8" i="9"/>
  <c r="AH9" i="9"/>
  <c r="AI9" i="9"/>
  <c r="AG9" i="9" s="1"/>
  <c r="AJ9" i="9"/>
  <c r="AK9" i="9"/>
  <c r="AH10" i="9"/>
  <c r="AG10" i="9" s="1"/>
  <c r="AI10" i="9"/>
  <c r="AJ10" i="9"/>
  <c r="AK10" i="9"/>
  <c r="AH11" i="9"/>
  <c r="AI11" i="9"/>
  <c r="AJ11" i="9"/>
  <c r="AK11" i="9"/>
  <c r="AH12" i="9"/>
  <c r="AI12" i="9"/>
  <c r="AJ12" i="9"/>
  <c r="AK12" i="9"/>
  <c r="AH13" i="9"/>
  <c r="AI13" i="9"/>
  <c r="AG13" i="9" s="1"/>
  <c r="AJ13" i="9"/>
  <c r="AK13" i="9"/>
  <c r="AH14" i="9"/>
  <c r="AG14" i="9" s="1"/>
  <c r="AI14" i="9"/>
  <c r="AJ14" i="9"/>
  <c r="AK14" i="9"/>
  <c r="AH15" i="9"/>
  <c r="AI15" i="9"/>
  <c r="AJ15" i="9"/>
  <c r="AG15" i="9" s="1"/>
  <c r="AK15" i="9"/>
  <c r="AH16" i="9"/>
  <c r="AI16" i="9"/>
  <c r="AJ16" i="9"/>
  <c r="AK16" i="9"/>
  <c r="AH17" i="9"/>
  <c r="AG17" i="9" s="1"/>
  <c r="AI17" i="9"/>
  <c r="AJ17" i="9"/>
  <c r="AK17" i="9"/>
  <c r="AH18" i="9"/>
  <c r="AI18" i="9"/>
  <c r="AJ18" i="9"/>
  <c r="AK18" i="9"/>
  <c r="AH19" i="9"/>
  <c r="AI19" i="9"/>
  <c r="AJ19" i="9"/>
  <c r="AK19" i="9"/>
  <c r="AG20" i="9"/>
  <c r="AH20" i="9"/>
  <c r="AI20" i="9"/>
  <c r="AJ20" i="9"/>
  <c r="AK20" i="9"/>
  <c r="AG21" i="9"/>
  <c r="AH21" i="9"/>
  <c r="AI21" i="9"/>
  <c r="AJ21" i="9"/>
  <c r="AK21" i="9"/>
  <c r="AH22" i="9"/>
  <c r="AI22" i="9"/>
  <c r="AJ22" i="9"/>
  <c r="AK22" i="9"/>
  <c r="AG23" i="9"/>
  <c r="AH23" i="9"/>
  <c r="AI23" i="9"/>
  <c r="AJ23" i="9"/>
  <c r="AK23" i="9"/>
  <c r="AG24" i="9"/>
  <c r="AH24" i="9"/>
  <c r="AI24" i="9"/>
  <c r="AJ24" i="9"/>
  <c r="AK24" i="9"/>
  <c r="AH25" i="9"/>
  <c r="AI25" i="9"/>
  <c r="AJ25" i="9"/>
  <c r="AK25" i="9"/>
  <c r="AH26" i="9"/>
  <c r="AG26" i="9" s="1"/>
  <c r="AI26" i="9"/>
  <c r="AJ26" i="9"/>
  <c r="AK26" i="9"/>
  <c r="AG27" i="9"/>
  <c r="AH27" i="9"/>
  <c r="AI27" i="9"/>
  <c r="AJ27" i="9"/>
  <c r="AK27" i="9"/>
  <c r="AH28" i="9"/>
  <c r="AI28" i="9"/>
  <c r="AJ28" i="9"/>
  <c r="AK28" i="9"/>
  <c r="AH29" i="9"/>
  <c r="AG29" i="9" s="1"/>
  <c r="AI29" i="9"/>
  <c r="AJ29" i="9"/>
  <c r="AK29" i="9"/>
  <c r="AH30" i="9"/>
  <c r="AG30" i="9" s="1"/>
  <c r="AI30" i="9"/>
  <c r="AJ30" i="9"/>
  <c r="AK30" i="9"/>
  <c r="AH31" i="9"/>
  <c r="AI31" i="9"/>
  <c r="AJ31" i="9"/>
  <c r="AK31" i="9"/>
  <c r="AH32" i="9"/>
  <c r="AG32" i="9" s="1"/>
  <c r="AI32" i="9"/>
  <c r="AJ32" i="9"/>
  <c r="AK32" i="9"/>
  <c r="AH33" i="9"/>
  <c r="AI33" i="9"/>
  <c r="AJ33" i="9"/>
  <c r="AK33" i="9"/>
  <c r="AH34" i="9"/>
  <c r="AG34" i="9" s="1"/>
  <c r="AI34" i="9"/>
  <c r="AJ34" i="9"/>
  <c r="AK34" i="9"/>
  <c r="AG35" i="9"/>
  <c r="AH35" i="9"/>
  <c r="AI35" i="9"/>
  <c r="AJ35" i="9"/>
  <c r="AK35" i="9"/>
  <c r="B3" i="10"/>
  <c r="C3" i="10"/>
  <c r="F3" i="10"/>
  <c r="B4" i="10"/>
  <c r="C4" i="10"/>
  <c r="D4" i="10"/>
  <c r="D3" i="10" s="1"/>
  <c r="E4" i="10"/>
  <c r="F4" i="10" s="1"/>
  <c r="G4" i="10"/>
  <c r="AG5" i="10"/>
  <c r="AH5" i="10"/>
  <c r="AI5" i="10"/>
  <c r="AJ5" i="10"/>
  <c r="AG6" i="10"/>
  <c r="AF6" i="10" s="1"/>
  <c r="AH6" i="10"/>
  <c r="AI6" i="10"/>
  <c r="AJ6" i="10"/>
  <c r="AG7" i="10"/>
  <c r="AH7" i="10"/>
  <c r="AI7" i="10"/>
  <c r="AJ7" i="10"/>
  <c r="AG8" i="10"/>
  <c r="AH8" i="10"/>
  <c r="AF8" i="10" s="1"/>
  <c r="AI8" i="10"/>
  <c r="AJ8" i="10"/>
  <c r="AG9" i="10"/>
  <c r="AF9" i="10" s="1"/>
  <c r="AH9" i="10"/>
  <c r="AI9" i="10"/>
  <c r="AJ9" i="10"/>
  <c r="AG10" i="10"/>
  <c r="AH10" i="10"/>
  <c r="AF10" i="10" s="1"/>
  <c r="AI10" i="10"/>
  <c r="AJ10" i="10"/>
  <c r="AG11" i="10"/>
  <c r="AH11" i="10"/>
  <c r="AI11" i="10"/>
  <c r="AJ11" i="10"/>
  <c r="AG12" i="10"/>
  <c r="AH12" i="10"/>
  <c r="AI12" i="10"/>
  <c r="AJ12" i="10"/>
  <c r="AF12" i="10" s="1"/>
  <c r="AG13" i="10"/>
  <c r="AH13" i="10"/>
  <c r="AI13" i="10"/>
  <c r="AJ13" i="10"/>
  <c r="AG14" i="10"/>
  <c r="AH14" i="10"/>
  <c r="AI14" i="10"/>
  <c r="AJ14" i="10"/>
  <c r="AG15" i="10"/>
  <c r="AF15" i="10" s="1"/>
  <c r="AH15" i="10"/>
  <c r="AI15" i="10"/>
  <c r="AJ15" i="10"/>
  <c r="AG16" i="10"/>
  <c r="AF16" i="10" s="1"/>
  <c r="AH16" i="10"/>
  <c r="AI16" i="10"/>
  <c r="AJ16" i="10"/>
  <c r="AG17" i="10"/>
  <c r="AH17" i="10"/>
  <c r="AI17" i="10"/>
  <c r="AJ17" i="10"/>
  <c r="AG18" i="10"/>
  <c r="AH18" i="10"/>
  <c r="AI18" i="10"/>
  <c r="AJ18" i="10"/>
  <c r="AG19" i="10"/>
  <c r="AF19" i="10" s="1"/>
  <c r="AH19" i="10"/>
  <c r="AI19" i="10"/>
  <c r="AJ19" i="10"/>
  <c r="AG20" i="10"/>
  <c r="AH20" i="10"/>
  <c r="AI20" i="10"/>
  <c r="AJ20" i="10"/>
  <c r="AG21" i="10"/>
  <c r="AH21" i="10"/>
  <c r="AI21" i="10"/>
  <c r="AJ21" i="10"/>
  <c r="AG22" i="10"/>
  <c r="AF22" i="10" s="1"/>
  <c r="AH22" i="10"/>
  <c r="AI22" i="10"/>
  <c r="AJ22" i="10"/>
  <c r="AG23" i="10"/>
  <c r="AH23" i="10"/>
  <c r="AI23" i="10"/>
  <c r="AJ23" i="10"/>
  <c r="AG24" i="10"/>
  <c r="AH24" i="10"/>
  <c r="AI24" i="10"/>
  <c r="AJ24" i="10"/>
  <c r="AG25" i="10"/>
  <c r="AH25" i="10"/>
  <c r="AI25" i="10"/>
  <c r="AJ25" i="10"/>
  <c r="AG26" i="10"/>
  <c r="AH26" i="10"/>
  <c r="AI26" i="10"/>
  <c r="AJ26" i="10"/>
  <c r="AG27" i="10"/>
  <c r="AF27" i="10" s="1"/>
  <c r="AH27" i="10"/>
  <c r="AI27" i="10"/>
  <c r="AJ27" i="10"/>
  <c r="AG28" i="10"/>
  <c r="AH28" i="10"/>
  <c r="AF28" i="10" s="1"/>
  <c r="AI28" i="10"/>
  <c r="AJ28" i="10"/>
  <c r="AG29" i="10"/>
  <c r="AH29" i="10"/>
  <c r="AI29" i="10"/>
  <c r="AJ29" i="10"/>
  <c r="AF30" i="10"/>
  <c r="AG30" i="10"/>
  <c r="AH30" i="10"/>
  <c r="AI30" i="10"/>
  <c r="AJ30" i="10"/>
  <c r="AG31" i="10"/>
  <c r="AH31" i="10"/>
  <c r="AI31" i="10"/>
  <c r="AJ31" i="10"/>
  <c r="AG32" i="10"/>
  <c r="AH32" i="10"/>
  <c r="AI32" i="10"/>
  <c r="AJ32" i="10"/>
  <c r="AF32" i="10" s="1"/>
  <c r="AG33" i="10"/>
  <c r="AF33" i="10" s="1"/>
  <c r="AH33" i="10"/>
  <c r="AI33" i="10"/>
  <c r="AJ33" i="10"/>
  <c r="AG34" i="10"/>
  <c r="AH34" i="10"/>
  <c r="AI34" i="10"/>
  <c r="AJ34" i="10"/>
  <c r="AG35" i="10"/>
  <c r="AH35" i="10"/>
  <c r="AI35" i="10"/>
  <c r="AJ35" i="10"/>
  <c r="B3" i="11"/>
  <c r="B4" i="11"/>
  <c r="C4" i="11"/>
  <c r="C3" i="11" s="1"/>
  <c r="D4" i="11"/>
  <c r="E4" i="11" s="1"/>
  <c r="AH5" i="11"/>
  <c r="AI5" i="11"/>
  <c r="AJ5" i="11"/>
  <c r="AK5" i="11"/>
  <c r="AH6" i="11"/>
  <c r="AI6" i="11"/>
  <c r="AJ6" i="11"/>
  <c r="AK6" i="11"/>
  <c r="AH7" i="11"/>
  <c r="AI7" i="11"/>
  <c r="AJ7" i="11"/>
  <c r="AK7" i="11"/>
  <c r="AH8" i="11"/>
  <c r="AG8" i="11" s="1"/>
  <c r="AI8" i="11"/>
  <c r="AJ8" i="11"/>
  <c r="AK8" i="11"/>
  <c r="AH9" i="11"/>
  <c r="AI9" i="11"/>
  <c r="AJ9" i="11"/>
  <c r="AK9" i="11"/>
  <c r="AH10" i="11"/>
  <c r="AG10" i="11" s="1"/>
  <c r="AI10" i="11"/>
  <c r="AJ10" i="11"/>
  <c r="AK10" i="11"/>
  <c r="AH11" i="11"/>
  <c r="AI11" i="11"/>
  <c r="AJ11" i="11"/>
  <c r="AK11" i="11"/>
  <c r="AH12" i="11"/>
  <c r="AI12" i="11"/>
  <c r="AJ12" i="11"/>
  <c r="AK12" i="11"/>
  <c r="AH13" i="11"/>
  <c r="AI13" i="11"/>
  <c r="AJ13" i="11"/>
  <c r="AK13" i="11"/>
  <c r="AH14" i="11"/>
  <c r="AI14" i="11"/>
  <c r="AJ14" i="11"/>
  <c r="AK14" i="11"/>
  <c r="AH15" i="11"/>
  <c r="AI15" i="11"/>
  <c r="AJ15" i="11"/>
  <c r="AK15" i="11"/>
  <c r="AH16" i="11"/>
  <c r="AI16" i="11"/>
  <c r="AJ16" i="11"/>
  <c r="AK16" i="11"/>
  <c r="AH17" i="11"/>
  <c r="AI17" i="11"/>
  <c r="AJ17" i="11"/>
  <c r="AK17" i="11"/>
  <c r="AH18" i="11"/>
  <c r="AI18" i="11"/>
  <c r="AJ18" i="11"/>
  <c r="AK18" i="11"/>
  <c r="AH19" i="11"/>
  <c r="AI19" i="11"/>
  <c r="AJ19" i="11"/>
  <c r="AK19" i="11"/>
  <c r="AH20" i="11"/>
  <c r="AI20" i="11"/>
  <c r="AJ20" i="11"/>
  <c r="AK20" i="11"/>
  <c r="AH21" i="11"/>
  <c r="AI21" i="11"/>
  <c r="AJ21" i="11"/>
  <c r="AK21" i="11"/>
  <c r="AH22" i="11"/>
  <c r="AI22" i="11"/>
  <c r="AJ22" i="11"/>
  <c r="AK22" i="11"/>
  <c r="AH23" i="11"/>
  <c r="AI23" i="11"/>
  <c r="AJ23" i="11"/>
  <c r="AK23" i="11"/>
  <c r="AH24" i="11"/>
  <c r="AI24" i="11"/>
  <c r="AJ24" i="11"/>
  <c r="AK24" i="11"/>
  <c r="AH25" i="11"/>
  <c r="AG25" i="11" s="1"/>
  <c r="AI25" i="11"/>
  <c r="AJ25" i="11"/>
  <c r="AK25" i="11"/>
  <c r="AH26" i="11"/>
  <c r="AI26" i="11"/>
  <c r="AJ26" i="11"/>
  <c r="AK26" i="11"/>
  <c r="AH27" i="11"/>
  <c r="AI27" i="11"/>
  <c r="AJ27" i="11"/>
  <c r="AK27" i="11"/>
  <c r="AH28" i="11"/>
  <c r="AI28" i="11"/>
  <c r="AJ28" i="11"/>
  <c r="AK28" i="11"/>
  <c r="AH29" i="11"/>
  <c r="AI29" i="11"/>
  <c r="AJ29" i="11"/>
  <c r="AK29" i="11"/>
  <c r="AH30" i="11"/>
  <c r="AI30" i="11"/>
  <c r="AJ30" i="11"/>
  <c r="AK30" i="11"/>
  <c r="AH31" i="11"/>
  <c r="AI31" i="11"/>
  <c r="AJ31" i="11"/>
  <c r="AK31" i="11"/>
  <c r="AH32" i="11"/>
  <c r="AI32" i="11"/>
  <c r="AJ32" i="11"/>
  <c r="AK32" i="11"/>
  <c r="AH33" i="11"/>
  <c r="AI33" i="11"/>
  <c r="AJ33" i="11"/>
  <c r="AK33" i="11"/>
  <c r="AH34" i="11"/>
  <c r="AI34" i="11"/>
  <c r="AJ34" i="11"/>
  <c r="AK34" i="11"/>
  <c r="AH35" i="11"/>
  <c r="AI35" i="11"/>
  <c r="AG35" i="11" s="1"/>
  <c r="AJ35" i="11"/>
  <c r="AK35" i="11"/>
  <c r="C3" i="13"/>
  <c r="E3" i="13"/>
  <c r="B4" i="13"/>
  <c r="B3" i="13" s="1"/>
  <c r="C4" i="13"/>
  <c r="D4" i="13" s="1"/>
  <c r="D3" i="13" s="1"/>
  <c r="E4" i="13"/>
  <c r="F4" i="13" s="1"/>
  <c r="F3" i="13" s="1"/>
  <c r="AG5" i="13"/>
  <c r="AH5" i="13"/>
  <c r="AI5" i="13"/>
  <c r="AJ5" i="13"/>
  <c r="AG6" i="13"/>
  <c r="AH6" i="13"/>
  <c r="AI6" i="13"/>
  <c r="AJ6" i="13"/>
  <c r="AF6" i="13" s="1"/>
  <c r="AG7" i="13"/>
  <c r="AH7" i="13"/>
  <c r="AI7" i="13"/>
  <c r="AJ7" i="13"/>
  <c r="AG8" i="13"/>
  <c r="AH8" i="13"/>
  <c r="AI8" i="13"/>
  <c r="AJ8" i="13"/>
  <c r="AG9" i="13"/>
  <c r="AH9" i="13"/>
  <c r="AI9" i="13"/>
  <c r="AJ9" i="13"/>
  <c r="AG10" i="13"/>
  <c r="AH10" i="13"/>
  <c r="AI10" i="13"/>
  <c r="AJ10" i="13"/>
  <c r="AF10" i="13" s="1"/>
  <c r="AG11" i="13"/>
  <c r="AH11" i="13"/>
  <c r="AI11" i="13"/>
  <c r="AJ11" i="13"/>
  <c r="AG12" i="13"/>
  <c r="AH12" i="13"/>
  <c r="AI12" i="13"/>
  <c r="AJ12" i="13"/>
  <c r="AG13" i="13"/>
  <c r="AH13" i="13"/>
  <c r="AI13" i="13"/>
  <c r="AJ13" i="13"/>
  <c r="AG14" i="13"/>
  <c r="AH14" i="13"/>
  <c r="AI14" i="13"/>
  <c r="AJ14" i="13"/>
  <c r="AG15" i="13"/>
  <c r="AH15" i="13"/>
  <c r="AI15" i="13"/>
  <c r="AJ15" i="13"/>
  <c r="AG16" i="13"/>
  <c r="AH16" i="13"/>
  <c r="AI16" i="13"/>
  <c r="AJ16" i="13"/>
  <c r="AG17" i="13"/>
  <c r="AH17" i="13"/>
  <c r="AI17" i="13"/>
  <c r="AJ17" i="13"/>
  <c r="AG18" i="13"/>
  <c r="AH18" i="13"/>
  <c r="AI18" i="13"/>
  <c r="AJ18" i="13"/>
  <c r="AG19" i="13"/>
  <c r="AH19" i="13"/>
  <c r="AI19" i="13"/>
  <c r="AJ19" i="13"/>
  <c r="AG20" i="13"/>
  <c r="AF20" i="13" s="1"/>
  <c r="AH20" i="13"/>
  <c r="AI20" i="13"/>
  <c r="AJ20" i="13"/>
  <c r="AG21" i="13"/>
  <c r="AH21" i="13"/>
  <c r="AI21" i="13"/>
  <c r="AJ21" i="13"/>
  <c r="AG22" i="13"/>
  <c r="AF22" i="13" s="1"/>
  <c r="AH22" i="13"/>
  <c r="AI22" i="13"/>
  <c r="AJ22" i="13"/>
  <c r="AG23" i="13"/>
  <c r="AH23" i="13"/>
  <c r="AI23" i="13"/>
  <c r="AJ23" i="13"/>
  <c r="AG24" i="13"/>
  <c r="AH24" i="13"/>
  <c r="AI24" i="13"/>
  <c r="AJ24" i="13"/>
  <c r="AG25" i="13"/>
  <c r="AF25" i="13" s="1"/>
  <c r="AH25" i="13"/>
  <c r="AI25" i="13"/>
  <c r="AJ25" i="13"/>
  <c r="AG26" i="13"/>
  <c r="AF26" i="13" s="1"/>
  <c r="AH26" i="13"/>
  <c r="AI26" i="13"/>
  <c r="AJ26" i="13"/>
  <c r="AG27" i="13"/>
  <c r="AH27" i="13"/>
  <c r="AI27" i="13"/>
  <c r="AJ27" i="13"/>
  <c r="AF28" i="13"/>
  <c r="AG28" i="13"/>
  <c r="AH28" i="13"/>
  <c r="AI28" i="13"/>
  <c r="AJ28" i="13"/>
  <c r="AG29" i="13"/>
  <c r="AF29" i="13" s="1"/>
  <c r="AH29" i="13"/>
  <c r="AI29" i="13"/>
  <c r="AJ29" i="13"/>
  <c r="AG30" i="13"/>
  <c r="AH30" i="13"/>
  <c r="AF30" i="13" s="1"/>
  <c r="AI30" i="13"/>
  <c r="AJ30" i="13"/>
  <c r="AG31" i="13"/>
  <c r="AH31" i="13"/>
  <c r="AI31" i="13"/>
  <c r="AJ31" i="13"/>
  <c r="AG32" i="13"/>
  <c r="AF32" i="13" s="1"/>
  <c r="AH32" i="13"/>
  <c r="AI32" i="13"/>
  <c r="AJ32" i="13"/>
  <c r="AG33" i="13"/>
  <c r="AH33" i="13"/>
  <c r="AI33" i="13"/>
  <c r="AJ33" i="13"/>
  <c r="AG34" i="13"/>
  <c r="AF34" i="13" s="1"/>
  <c r="AH34" i="13"/>
  <c r="AI34" i="13"/>
  <c r="AJ34" i="13"/>
  <c r="AG35" i="13"/>
  <c r="AH35" i="13"/>
  <c r="AI35" i="13"/>
  <c r="AJ35" i="13"/>
  <c r="AG36" i="13"/>
  <c r="AF36" i="13" s="1"/>
  <c r="AH36" i="13"/>
  <c r="AI36" i="13"/>
  <c r="AJ36" i="13"/>
  <c r="AF37" i="13"/>
  <c r="AG37" i="13"/>
  <c r="AH37" i="13"/>
  <c r="AI37" i="13"/>
  <c r="AJ37" i="13"/>
  <c r="B3" i="14"/>
  <c r="B4" i="14"/>
  <c r="C4" i="14"/>
  <c r="AH5" i="14"/>
  <c r="AI5" i="14"/>
  <c r="AJ5" i="14"/>
  <c r="AK5" i="14"/>
  <c r="AH6" i="14"/>
  <c r="AI6" i="14"/>
  <c r="AJ6" i="14"/>
  <c r="AK6" i="14"/>
  <c r="AH7" i="14"/>
  <c r="AI7" i="14"/>
  <c r="AJ7" i="14"/>
  <c r="AK7" i="14"/>
  <c r="AH8" i="14"/>
  <c r="AI8" i="14"/>
  <c r="AJ8" i="14"/>
  <c r="AK8" i="14"/>
  <c r="AH9" i="14"/>
  <c r="AI9" i="14"/>
  <c r="AJ9" i="14"/>
  <c r="AK9" i="14"/>
  <c r="AH10" i="14"/>
  <c r="AI10" i="14"/>
  <c r="AJ10" i="14"/>
  <c r="AK10" i="14"/>
  <c r="AH11" i="14"/>
  <c r="AI11" i="14"/>
  <c r="AJ11" i="14"/>
  <c r="AK11" i="14"/>
  <c r="AH12" i="14"/>
  <c r="AI12" i="14"/>
  <c r="AJ12" i="14"/>
  <c r="AK12" i="14"/>
  <c r="AH13" i="14"/>
  <c r="AI13" i="14"/>
  <c r="AJ13" i="14"/>
  <c r="AK13" i="14"/>
  <c r="AH14" i="14"/>
  <c r="AI14" i="14"/>
  <c r="AJ14" i="14"/>
  <c r="AK14" i="14"/>
  <c r="AH15" i="14"/>
  <c r="AI15" i="14"/>
  <c r="AJ15" i="14"/>
  <c r="AK15" i="14"/>
  <c r="AH16" i="14"/>
  <c r="AI16" i="14"/>
  <c r="AJ16" i="14"/>
  <c r="AK16" i="14"/>
  <c r="AH17" i="14"/>
  <c r="AI17" i="14"/>
  <c r="AJ17" i="14"/>
  <c r="AK17" i="14"/>
  <c r="AH18" i="14"/>
  <c r="AI18" i="14"/>
  <c r="AJ18" i="14"/>
  <c r="AK18" i="14"/>
  <c r="AH19" i="14"/>
  <c r="AI19" i="14"/>
  <c r="AJ19" i="14"/>
  <c r="AK19" i="14"/>
  <c r="AH20" i="14"/>
  <c r="AI20" i="14"/>
  <c r="AJ20" i="14"/>
  <c r="AK20" i="14"/>
  <c r="AH21" i="14"/>
  <c r="AI21" i="14"/>
  <c r="AJ21" i="14"/>
  <c r="AK21" i="14"/>
  <c r="AH22" i="14"/>
  <c r="AI22" i="14"/>
  <c r="AJ22" i="14"/>
  <c r="AK22" i="14"/>
  <c r="AH23" i="14"/>
  <c r="AI23" i="14"/>
  <c r="AJ23" i="14"/>
  <c r="AK23" i="14"/>
  <c r="AH24" i="14"/>
  <c r="AI24" i="14"/>
  <c r="AJ24" i="14"/>
  <c r="AK24" i="14"/>
  <c r="AH25" i="14"/>
  <c r="AI25" i="14"/>
  <c r="AJ25" i="14"/>
  <c r="AK25" i="14"/>
  <c r="AH26" i="14"/>
  <c r="AI26" i="14"/>
  <c r="AJ26" i="14"/>
  <c r="AK26" i="14"/>
  <c r="AH27" i="14"/>
  <c r="AI27" i="14"/>
  <c r="AJ27" i="14"/>
  <c r="AK27" i="14"/>
  <c r="AH28" i="14"/>
  <c r="AG28" i="14" s="1"/>
  <c r="AI28" i="14"/>
  <c r="AJ28" i="14"/>
  <c r="AK28" i="14"/>
  <c r="AH29" i="14"/>
  <c r="AI29" i="14"/>
  <c r="AJ29" i="14"/>
  <c r="AK29" i="14"/>
  <c r="AH30" i="14"/>
  <c r="AI30" i="14"/>
  <c r="AJ30" i="14"/>
  <c r="AK30" i="14"/>
  <c r="AH31" i="14"/>
  <c r="AI31" i="14"/>
  <c r="AJ31" i="14"/>
  <c r="AK31" i="14"/>
  <c r="AH32" i="14"/>
  <c r="AI32" i="14"/>
  <c r="AJ32" i="14"/>
  <c r="AK32" i="14"/>
  <c r="AH33" i="14"/>
  <c r="AI33" i="14"/>
  <c r="AJ33" i="14"/>
  <c r="AK33" i="14"/>
  <c r="AH34" i="14"/>
  <c r="AI34" i="14"/>
  <c r="AJ34" i="14"/>
  <c r="AK34" i="14"/>
  <c r="AH35" i="14"/>
  <c r="AI35" i="14"/>
  <c r="AJ35" i="14"/>
  <c r="AK35" i="14"/>
  <c r="AF35" i="13" l="1"/>
  <c r="AG35" i="6"/>
  <c r="AG34" i="11"/>
  <c r="AF34" i="10"/>
  <c r="AG35" i="4"/>
  <c r="AG33" i="11"/>
  <c r="AG33" i="6"/>
  <c r="AF32" i="7"/>
  <c r="AG32" i="6"/>
  <c r="AG33" i="4"/>
  <c r="AG31" i="14"/>
  <c r="AG31" i="11"/>
  <c r="AG31" i="4"/>
  <c r="AG29" i="14"/>
  <c r="AG29" i="11"/>
  <c r="AG29" i="6"/>
  <c r="AG28" i="11"/>
  <c r="AG28" i="6"/>
  <c r="AG29" i="4"/>
  <c r="AG26" i="11"/>
  <c r="AG25" i="14"/>
  <c r="AF25" i="10"/>
  <c r="AG26" i="4"/>
  <c r="AF24" i="13"/>
  <c r="AF24" i="10"/>
  <c r="AF23" i="13"/>
  <c r="AG23" i="11"/>
  <c r="AF23" i="7"/>
  <c r="AG22" i="14"/>
  <c r="AG22" i="11"/>
  <c r="AG22" i="6"/>
  <c r="AG22" i="4"/>
  <c r="AG20" i="14"/>
  <c r="AF20" i="7"/>
  <c r="AG19" i="14"/>
  <c r="AF19" i="13"/>
  <c r="AG19" i="11"/>
  <c r="AG19" i="6"/>
  <c r="AF18" i="13"/>
  <c r="AF18" i="10"/>
  <c r="AG18" i="6"/>
  <c r="AG19" i="4"/>
  <c r="AF17" i="13"/>
  <c r="AG17" i="11"/>
  <c r="AG16" i="14"/>
  <c r="AG16" i="11"/>
  <c r="AF16" i="5"/>
  <c r="AG17" i="4"/>
  <c r="AG15" i="14"/>
  <c r="AF15" i="13"/>
  <c r="AF15" i="7"/>
  <c r="AG16" i="4"/>
  <c r="AF14" i="13"/>
  <c r="AG14" i="11"/>
  <c r="AG15" i="4"/>
  <c r="AG13" i="11"/>
  <c r="AG12" i="14"/>
  <c r="AF12" i="13"/>
  <c r="AG13" i="4"/>
  <c r="AF11" i="13"/>
  <c r="AG11" i="11"/>
  <c r="AG12" i="4"/>
  <c r="AF10" i="7"/>
  <c r="AG10" i="6"/>
  <c r="AG11" i="4"/>
  <c r="AG9" i="14"/>
  <c r="AG9" i="6"/>
  <c r="AG10" i="4"/>
  <c r="AF8" i="13"/>
  <c r="AG9" i="4"/>
  <c r="AG7" i="14"/>
  <c r="AF7" i="13"/>
  <c r="AG7" i="11"/>
  <c r="AF7" i="10"/>
  <c r="AG7" i="6"/>
  <c r="AG6" i="11"/>
  <c r="AG6" i="6"/>
  <c r="AG7" i="4"/>
  <c r="AG5" i="11"/>
  <c r="AF5" i="10"/>
  <c r="AG30" i="4"/>
  <c r="AG20" i="4"/>
  <c r="AG35" i="14"/>
  <c r="AG34" i="14"/>
  <c r="AG27" i="14"/>
  <c r="AG23" i="14"/>
  <c r="AG21" i="14"/>
  <c r="AG18" i="14"/>
  <c r="AG17" i="14"/>
  <c r="AG13" i="14"/>
  <c r="AG10" i="14"/>
  <c r="AG6" i="14"/>
  <c r="AG8" i="4"/>
  <c r="E3" i="6"/>
  <c r="F4" i="6"/>
  <c r="AF16" i="13"/>
  <c r="AG20" i="11"/>
  <c r="AG18" i="9"/>
  <c r="AG21" i="6"/>
  <c r="AG30" i="14"/>
  <c r="E3" i="10"/>
  <c r="AF7" i="7"/>
  <c r="AF33" i="5"/>
  <c r="AG32" i="11"/>
  <c r="AF31" i="10"/>
  <c r="AG33" i="9"/>
  <c r="AF14" i="7"/>
  <c r="AF24" i="5"/>
  <c r="AG21" i="4"/>
  <c r="AD23" i="3"/>
  <c r="AG33" i="14"/>
  <c r="AF21" i="10"/>
  <c r="AG5" i="14"/>
  <c r="AF9" i="13"/>
  <c r="AG9" i="11"/>
  <c r="AF14" i="10"/>
  <c r="AG18" i="8"/>
  <c r="AF35" i="7"/>
  <c r="AG15" i="11"/>
  <c r="AF27" i="13"/>
  <c r="AG12" i="11"/>
  <c r="E3" i="11"/>
  <c r="F4" i="11"/>
  <c r="D3" i="11"/>
  <c r="AF20" i="10"/>
  <c r="AG11" i="14"/>
  <c r="C3" i="14"/>
  <c r="D4" i="14"/>
  <c r="G4" i="13"/>
  <c r="AG21" i="11"/>
  <c r="AG18" i="11"/>
  <c r="AG25" i="9"/>
  <c r="AG19" i="9"/>
  <c r="AG26" i="6"/>
  <c r="AG23" i="4"/>
  <c r="C3" i="9"/>
  <c r="D4" i="9"/>
  <c r="AF33" i="13"/>
  <c r="AG32" i="14"/>
  <c r="AF26" i="10"/>
  <c r="AF23" i="10"/>
  <c r="AG5" i="8"/>
  <c r="AG14" i="14"/>
  <c r="AF5" i="13"/>
  <c r="AG27" i="11"/>
  <c r="AF31" i="7"/>
  <c r="H4" i="10"/>
  <c r="G3" i="10"/>
  <c r="AG8" i="14"/>
  <c r="AF21" i="13"/>
  <c r="AG26" i="14"/>
  <c r="AG30" i="11"/>
  <c r="AF13" i="10"/>
  <c r="AG31" i="9"/>
  <c r="AG12" i="9"/>
  <c r="AG33" i="8"/>
  <c r="AG11" i="8"/>
  <c r="AF21" i="7"/>
  <c r="AG24" i="11"/>
  <c r="AG28" i="9"/>
  <c r="AG22" i="9"/>
  <c r="AG16" i="9"/>
  <c r="AG15" i="8"/>
  <c r="AF22" i="7"/>
  <c r="AF11" i="5"/>
  <c r="AG21" i="8"/>
  <c r="AF32" i="5"/>
  <c r="AG27" i="4"/>
  <c r="AG14" i="4"/>
  <c r="AF11" i="10"/>
  <c r="AG29" i="8"/>
  <c r="D4" i="8"/>
  <c r="AF18" i="7"/>
  <c r="E4" i="7"/>
  <c r="AG24" i="6"/>
  <c r="AG11" i="6"/>
  <c r="AF6" i="5"/>
  <c r="AD29" i="3"/>
  <c r="AD26" i="3"/>
  <c r="AF35" i="10"/>
  <c r="AF29" i="10"/>
  <c r="AF17" i="10"/>
  <c r="AG11" i="9"/>
  <c r="AG35" i="8"/>
  <c r="AF24" i="7"/>
  <c r="AG27" i="6"/>
  <c r="AG17" i="6"/>
  <c r="AG8" i="6"/>
  <c r="AF28" i="5"/>
  <c r="D4" i="5"/>
  <c r="C3" i="5"/>
  <c r="D3" i="4"/>
  <c r="E4" i="4"/>
  <c r="AD32" i="3"/>
  <c r="AD16" i="3"/>
  <c r="AG24" i="14"/>
  <c r="AF31" i="13"/>
  <c r="AF13" i="13"/>
  <c r="AG8" i="9"/>
  <c r="AF27" i="7"/>
  <c r="AF8" i="7"/>
  <c r="AF5" i="7"/>
  <c r="AG30" i="6"/>
  <c r="AD35" i="3"/>
  <c r="AG18" i="4"/>
  <c r="AG12" i="6"/>
  <c r="AF35" i="5"/>
  <c r="AG28" i="4"/>
  <c r="AD6" i="3"/>
  <c r="AG14" i="6"/>
  <c r="AF37" i="5"/>
  <c r="AG24" i="4"/>
  <c r="AG6" i="4"/>
  <c r="AD9" i="3"/>
  <c r="AF19" i="5"/>
  <c r="C3" i="4"/>
  <c r="B4" i="1"/>
  <c r="C5" i="1"/>
  <c r="AF11" i="7"/>
  <c r="AD20" i="3"/>
  <c r="AD14" i="3"/>
  <c r="C4" i="3"/>
  <c r="AF9" i="5"/>
  <c r="AG34" i="4"/>
  <c r="E3" i="4" l="1"/>
  <c r="F4" i="4"/>
  <c r="H4" i="13"/>
  <c r="G3" i="13"/>
  <c r="D3" i="5"/>
  <c r="E4" i="5"/>
  <c r="D5" i="1"/>
  <c r="C11" i="1"/>
  <c r="C18" i="1"/>
  <c r="C25" i="1"/>
  <c r="C32" i="1"/>
  <c r="C8" i="1"/>
  <c r="C15" i="1"/>
  <c r="C22" i="1"/>
  <c r="C29" i="1"/>
  <c r="C36" i="1"/>
  <c r="C12" i="1"/>
  <c r="C19" i="1"/>
  <c r="C26" i="1"/>
  <c r="C33" i="1"/>
  <c r="C24" i="1"/>
  <c r="C16" i="1"/>
  <c r="C14" i="1"/>
  <c r="C31" i="1"/>
  <c r="C10" i="1"/>
  <c r="C27" i="1"/>
  <c r="C23" i="1"/>
  <c r="C21" i="1"/>
  <c r="C17" i="1"/>
  <c r="C34" i="1"/>
  <c r="C4" i="1"/>
  <c r="C13" i="1"/>
  <c r="C28" i="1"/>
  <c r="C7" i="1"/>
  <c r="C9" i="1"/>
  <c r="C20" i="1"/>
  <c r="C30" i="1"/>
  <c r="C6" i="1"/>
  <c r="C35" i="1"/>
  <c r="F4" i="7"/>
  <c r="E3" i="7"/>
  <c r="D3" i="9"/>
  <c r="E4" i="9"/>
  <c r="G4" i="11"/>
  <c r="F3" i="11"/>
  <c r="E4" i="8"/>
  <c r="D3" i="8"/>
  <c r="E4" i="14"/>
  <c r="D3" i="14"/>
  <c r="H3" i="10"/>
  <c r="I4" i="10"/>
  <c r="C3" i="3"/>
  <c r="D4" i="3"/>
  <c r="G4" i="6"/>
  <c r="F3" i="6"/>
  <c r="D4" i="1" l="1"/>
  <c r="D7" i="1"/>
  <c r="D14" i="1"/>
  <c r="D21" i="1"/>
  <c r="D28" i="1"/>
  <c r="D35" i="1"/>
  <c r="D8" i="1"/>
  <c r="D15" i="1"/>
  <c r="D22" i="1"/>
  <c r="D29" i="1"/>
  <c r="D36" i="1"/>
  <c r="D10" i="1"/>
  <c r="D17" i="1"/>
  <c r="D24" i="1"/>
  <c r="D31" i="1"/>
  <c r="D9" i="1"/>
  <c r="D6" i="1"/>
  <c r="D18" i="1"/>
  <c r="D20" i="1"/>
  <c r="D16" i="1"/>
  <c r="D25" i="1"/>
  <c r="D27" i="1"/>
  <c r="D23" i="1"/>
  <c r="D30" i="1"/>
  <c r="D32" i="1"/>
  <c r="D13" i="1"/>
  <c r="E5" i="1"/>
  <c r="D12" i="1"/>
  <c r="D34" i="1"/>
  <c r="D11" i="1"/>
  <c r="D19" i="1"/>
  <c r="D33" i="1"/>
  <c r="D26" i="1"/>
  <c r="J4" i="10"/>
  <c r="I3" i="10"/>
  <c r="H4" i="6"/>
  <c r="G3" i="6"/>
  <c r="H3" i="13"/>
  <c r="I4" i="13"/>
  <c r="E4" i="3"/>
  <c r="D3" i="3"/>
  <c r="H4" i="11"/>
  <c r="G3" i="11"/>
  <c r="G4" i="7"/>
  <c r="F3" i="7"/>
  <c r="F4" i="5"/>
  <c r="E3" i="5"/>
  <c r="F3" i="4"/>
  <c r="G4" i="4"/>
  <c r="F4" i="9"/>
  <c r="E3" i="9"/>
  <c r="E3" i="8"/>
  <c r="F4" i="8"/>
  <c r="E3" i="14"/>
  <c r="F4" i="14"/>
  <c r="G4" i="14" l="1"/>
  <c r="F3" i="14"/>
  <c r="I4" i="11"/>
  <c r="H3" i="11"/>
  <c r="G3" i="4"/>
  <c r="H4" i="4"/>
  <c r="E9" i="1"/>
  <c r="E16" i="1"/>
  <c r="E23" i="1"/>
  <c r="E30" i="1"/>
  <c r="E6" i="1"/>
  <c r="E13" i="1"/>
  <c r="E20" i="1"/>
  <c r="E27" i="1"/>
  <c r="E34" i="1"/>
  <c r="E10" i="1"/>
  <c r="E17" i="1"/>
  <c r="E24" i="1"/>
  <c r="E31" i="1"/>
  <c r="E11" i="1"/>
  <c r="E26" i="1"/>
  <c r="E18" i="1"/>
  <c r="E33" i="1"/>
  <c r="E7" i="1"/>
  <c r="E12" i="1"/>
  <c r="E29" i="1"/>
  <c r="E25" i="1"/>
  <c r="E19" i="1"/>
  <c r="E15" i="1"/>
  <c r="E32" i="1"/>
  <c r="E36" i="1"/>
  <c r="E8" i="1"/>
  <c r="E21" i="1"/>
  <c r="F5" i="1"/>
  <c r="E28" i="1"/>
  <c r="E14" i="1"/>
  <c r="E4" i="1"/>
  <c r="E22" i="1"/>
  <c r="E35" i="1"/>
  <c r="G4" i="9"/>
  <c r="F3" i="9"/>
  <c r="I4" i="6"/>
  <c r="H3" i="6"/>
  <c r="G3" i="7"/>
  <c r="H4" i="7"/>
  <c r="F3" i="8"/>
  <c r="G4" i="8"/>
  <c r="E3" i="3"/>
  <c r="F4" i="3"/>
  <c r="F3" i="5"/>
  <c r="G4" i="5"/>
  <c r="J4" i="13"/>
  <c r="I3" i="13"/>
  <c r="J3" i="10"/>
  <c r="K4" i="10"/>
  <c r="G4" i="3" l="1"/>
  <c r="F3" i="3"/>
  <c r="J3" i="13"/>
  <c r="K4" i="13"/>
  <c r="G3" i="8"/>
  <c r="H4" i="8"/>
  <c r="H4" i="5"/>
  <c r="G3" i="5"/>
  <c r="J4" i="6"/>
  <c r="I3" i="6"/>
  <c r="F12" i="1"/>
  <c r="F19" i="1"/>
  <c r="F26" i="1"/>
  <c r="F33" i="1"/>
  <c r="F6" i="1"/>
  <c r="F13" i="1"/>
  <c r="F20" i="1"/>
  <c r="F27" i="1"/>
  <c r="F34" i="1"/>
  <c r="F8" i="1"/>
  <c r="F15" i="1"/>
  <c r="F22" i="1"/>
  <c r="F29" i="1"/>
  <c r="F36" i="1"/>
  <c r="F4" i="1"/>
  <c r="F28" i="1"/>
  <c r="G5" i="1"/>
  <c r="F35" i="1"/>
  <c r="F14" i="1"/>
  <c r="F7" i="1"/>
  <c r="F10" i="1"/>
  <c r="F21" i="1"/>
  <c r="F16" i="1"/>
  <c r="F24" i="1"/>
  <c r="F32" i="1"/>
  <c r="F23" i="1"/>
  <c r="F9" i="1"/>
  <c r="F17" i="1"/>
  <c r="F25" i="1"/>
  <c r="F31" i="1"/>
  <c r="F18" i="1"/>
  <c r="F11" i="1"/>
  <c r="F30" i="1"/>
  <c r="H3" i="4"/>
  <c r="I4" i="4"/>
  <c r="H3" i="7"/>
  <c r="I4" i="7"/>
  <c r="L4" i="10"/>
  <c r="K3" i="10"/>
  <c r="G3" i="9"/>
  <c r="H4" i="9"/>
  <c r="G3" i="14"/>
  <c r="H4" i="14"/>
  <c r="I3" i="11"/>
  <c r="J4" i="11"/>
  <c r="H3" i="14" l="1"/>
  <c r="I4" i="14"/>
  <c r="I4" i="8"/>
  <c r="H3" i="8"/>
  <c r="L3" i="10"/>
  <c r="M4" i="10"/>
  <c r="K3" i="13"/>
  <c r="L4" i="13"/>
  <c r="I3" i="4"/>
  <c r="J4" i="4"/>
  <c r="J3" i="11"/>
  <c r="K4" i="11"/>
  <c r="J3" i="6"/>
  <c r="K4" i="6"/>
  <c r="H3" i="9"/>
  <c r="I4" i="9"/>
  <c r="I4" i="5"/>
  <c r="H3" i="5"/>
  <c r="H4" i="3"/>
  <c r="G3" i="3"/>
  <c r="I3" i="7"/>
  <c r="J4" i="7"/>
  <c r="G4" i="1"/>
  <c r="G7" i="1"/>
  <c r="G14" i="1"/>
  <c r="G21" i="1"/>
  <c r="G28" i="1"/>
  <c r="G35" i="1"/>
  <c r="H5" i="1"/>
  <c r="G11" i="1"/>
  <c r="G18" i="1"/>
  <c r="G25" i="1"/>
  <c r="G32" i="1"/>
  <c r="G8" i="1"/>
  <c r="G15" i="1"/>
  <c r="G22" i="1"/>
  <c r="G29" i="1"/>
  <c r="G13" i="1"/>
  <c r="G30" i="1"/>
  <c r="G6" i="1"/>
  <c r="G20" i="1"/>
  <c r="G16" i="1"/>
  <c r="G31" i="1"/>
  <c r="G12" i="1"/>
  <c r="G10" i="1"/>
  <c r="G27" i="1"/>
  <c r="G23" i="1"/>
  <c r="G17" i="1"/>
  <c r="G34" i="1"/>
  <c r="G24" i="1"/>
  <c r="G9" i="1"/>
  <c r="G19" i="1"/>
  <c r="G26" i="1"/>
  <c r="G33" i="1"/>
  <c r="G36" i="1"/>
  <c r="I4" i="3" l="1"/>
  <c r="H3" i="3"/>
  <c r="J4" i="5"/>
  <c r="I3" i="5"/>
  <c r="L3" i="13"/>
  <c r="M4" i="13"/>
  <c r="K4" i="4"/>
  <c r="J3" i="4"/>
  <c r="I3" i="14"/>
  <c r="J4" i="14"/>
  <c r="I3" i="9"/>
  <c r="J4" i="9"/>
  <c r="J3" i="7"/>
  <c r="K4" i="7"/>
  <c r="K3" i="11"/>
  <c r="L4" i="11"/>
  <c r="H10" i="1"/>
  <c r="H17" i="1"/>
  <c r="H24" i="1"/>
  <c r="H31" i="1"/>
  <c r="I5" i="1"/>
  <c r="H11" i="1"/>
  <c r="H18" i="1"/>
  <c r="H25" i="1"/>
  <c r="H32" i="1"/>
  <c r="H6" i="1"/>
  <c r="H13" i="1"/>
  <c r="H20" i="1"/>
  <c r="H27" i="1"/>
  <c r="H34" i="1"/>
  <c r="H8" i="1"/>
  <c r="H36" i="1"/>
  <c r="H9" i="1"/>
  <c r="H22" i="1"/>
  <c r="H33" i="1"/>
  <c r="H14" i="1"/>
  <c r="H16" i="1"/>
  <c r="H29" i="1"/>
  <c r="H7" i="1"/>
  <c r="H12" i="1"/>
  <c r="H19" i="1"/>
  <c r="H4" i="1"/>
  <c r="H21" i="1"/>
  <c r="H15" i="1"/>
  <c r="H26" i="1"/>
  <c r="H35" i="1"/>
  <c r="H23" i="1"/>
  <c r="H28" i="1"/>
  <c r="H30" i="1"/>
  <c r="I3" i="8"/>
  <c r="J4" i="8"/>
  <c r="K3" i="6"/>
  <c r="L4" i="6"/>
  <c r="N4" i="10"/>
  <c r="M3" i="10"/>
  <c r="I12" i="1" l="1"/>
  <c r="I19" i="1"/>
  <c r="I26" i="1"/>
  <c r="I33" i="1"/>
  <c r="I9" i="1"/>
  <c r="I16" i="1"/>
  <c r="I23" i="1"/>
  <c r="I30" i="1"/>
  <c r="I6" i="1"/>
  <c r="I13" i="1"/>
  <c r="I20" i="1"/>
  <c r="I27" i="1"/>
  <c r="I34" i="1"/>
  <c r="I15" i="1"/>
  <c r="I32" i="1"/>
  <c r="I24" i="1"/>
  <c r="J5" i="1"/>
  <c r="I22" i="1"/>
  <c r="I18" i="1"/>
  <c r="I35" i="1"/>
  <c r="I31" i="1"/>
  <c r="I14" i="1"/>
  <c r="I29" i="1"/>
  <c r="I25" i="1"/>
  <c r="I8" i="1"/>
  <c r="I21" i="1"/>
  <c r="I4" i="1"/>
  <c r="I10" i="1"/>
  <c r="I7" i="1"/>
  <c r="I17" i="1"/>
  <c r="I28" i="1"/>
  <c r="I11" i="1"/>
  <c r="I36" i="1"/>
  <c r="J3" i="14"/>
  <c r="K4" i="14"/>
  <c r="L4" i="7"/>
  <c r="K3" i="7"/>
  <c r="L4" i="4"/>
  <c r="K3" i="4"/>
  <c r="J3" i="9"/>
  <c r="K4" i="9"/>
  <c r="J3" i="8"/>
  <c r="K4" i="8"/>
  <c r="N4" i="13"/>
  <c r="M3" i="13"/>
  <c r="I3" i="3"/>
  <c r="J4" i="3"/>
  <c r="N3" i="10"/>
  <c r="O4" i="10"/>
  <c r="L3" i="11"/>
  <c r="M4" i="11"/>
  <c r="M4" i="6"/>
  <c r="L3" i="6"/>
  <c r="J3" i="5"/>
  <c r="K4" i="5"/>
  <c r="J3" i="3" l="1"/>
  <c r="K4" i="3"/>
  <c r="L4" i="14"/>
  <c r="K3" i="14"/>
  <c r="N3" i="13"/>
  <c r="O4" i="13"/>
  <c r="J8" i="1"/>
  <c r="J15" i="1"/>
  <c r="J22" i="1"/>
  <c r="J29" i="1"/>
  <c r="J36" i="1"/>
  <c r="J9" i="1"/>
  <c r="J16" i="1"/>
  <c r="J23" i="1"/>
  <c r="J30" i="1"/>
  <c r="K5" i="1"/>
  <c r="J11" i="1"/>
  <c r="J18" i="1"/>
  <c r="J25" i="1"/>
  <c r="J32" i="1"/>
  <c r="J6" i="1"/>
  <c r="J17" i="1"/>
  <c r="J4" i="1"/>
  <c r="J26" i="1"/>
  <c r="J28" i="1"/>
  <c r="J24" i="1"/>
  <c r="J33" i="1"/>
  <c r="J35" i="1"/>
  <c r="J31" i="1"/>
  <c r="J7" i="1"/>
  <c r="J10" i="1"/>
  <c r="J13" i="1"/>
  <c r="J12" i="1"/>
  <c r="J20" i="1"/>
  <c r="J34" i="1"/>
  <c r="J19" i="1"/>
  <c r="J27" i="1"/>
  <c r="J21" i="1"/>
  <c r="J14" i="1"/>
  <c r="L4" i="8"/>
  <c r="K3" i="8"/>
  <c r="K3" i="9"/>
  <c r="L4" i="9"/>
  <c r="M3" i="11"/>
  <c r="N4" i="11"/>
  <c r="N4" i="6"/>
  <c r="M3" i="6"/>
  <c r="P4" i="10"/>
  <c r="O3" i="10"/>
  <c r="K3" i="5"/>
  <c r="L4" i="5"/>
  <c r="M4" i="4"/>
  <c r="L3" i="4"/>
  <c r="M4" i="7"/>
  <c r="L3" i="7"/>
  <c r="N3" i="6" l="1"/>
  <c r="O4" i="6"/>
  <c r="P4" i="13"/>
  <c r="O3" i="13"/>
  <c r="L3" i="8"/>
  <c r="M4" i="8"/>
  <c r="M4" i="14"/>
  <c r="L3" i="14"/>
  <c r="N4" i="7"/>
  <c r="M3" i="7"/>
  <c r="N3" i="11"/>
  <c r="O4" i="11"/>
  <c r="M3" i="4"/>
  <c r="N4" i="4"/>
  <c r="M4" i="9"/>
  <c r="L3" i="9"/>
  <c r="L3" i="5"/>
  <c r="M4" i="5"/>
  <c r="K10" i="1"/>
  <c r="K17" i="1"/>
  <c r="K24" i="1"/>
  <c r="K31" i="1"/>
  <c r="K4" i="1"/>
  <c r="K7" i="1"/>
  <c r="K14" i="1"/>
  <c r="K21" i="1"/>
  <c r="K28" i="1"/>
  <c r="K35" i="1"/>
  <c r="L5" i="1"/>
  <c r="K11" i="1"/>
  <c r="K18" i="1"/>
  <c r="K25" i="1"/>
  <c r="K32" i="1"/>
  <c r="K19" i="1"/>
  <c r="K34" i="1"/>
  <c r="K9" i="1"/>
  <c r="K26" i="1"/>
  <c r="K20" i="1"/>
  <c r="K16" i="1"/>
  <c r="K33" i="1"/>
  <c r="K12" i="1"/>
  <c r="K27" i="1"/>
  <c r="K23" i="1"/>
  <c r="K6" i="1"/>
  <c r="K8" i="1"/>
  <c r="K13" i="1"/>
  <c r="K36" i="1"/>
  <c r="K15" i="1"/>
  <c r="K30" i="1"/>
  <c r="K22" i="1"/>
  <c r="K29" i="1"/>
  <c r="L4" i="3"/>
  <c r="K3" i="3"/>
  <c r="P3" i="10"/>
  <c r="Q4" i="10"/>
  <c r="N3" i="4" l="1"/>
  <c r="O4" i="4"/>
  <c r="L3" i="3"/>
  <c r="M4" i="3"/>
  <c r="N3" i="7"/>
  <c r="O4" i="7"/>
  <c r="N4" i="14"/>
  <c r="M3" i="14"/>
  <c r="R4" i="10"/>
  <c r="Q3" i="10"/>
  <c r="N4" i="8"/>
  <c r="M3" i="8"/>
  <c r="P4" i="11"/>
  <c r="O3" i="11"/>
  <c r="N4" i="5"/>
  <c r="M3" i="5"/>
  <c r="P3" i="13"/>
  <c r="Q4" i="13"/>
  <c r="O3" i="6"/>
  <c r="P4" i="6"/>
  <c r="L6" i="1"/>
  <c r="L13" i="1"/>
  <c r="L20" i="1"/>
  <c r="L27" i="1"/>
  <c r="L34" i="1"/>
  <c r="L4" i="1"/>
  <c r="L7" i="1"/>
  <c r="L14" i="1"/>
  <c r="L21" i="1"/>
  <c r="L28" i="1"/>
  <c r="L35" i="1"/>
  <c r="L9" i="1"/>
  <c r="L16" i="1"/>
  <c r="L23" i="1"/>
  <c r="L30" i="1"/>
  <c r="M5" i="1"/>
  <c r="L8" i="1"/>
  <c r="L11" i="1"/>
  <c r="L22" i="1"/>
  <c r="L18" i="1"/>
  <c r="L29" i="1"/>
  <c r="L19" i="1"/>
  <c r="L24" i="1"/>
  <c r="L10" i="1"/>
  <c r="L26" i="1"/>
  <c r="L15" i="1"/>
  <c r="L31" i="1"/>
  <c r="L12" i="1"/>
  <c r="L25" i="1"/>
  <c r="L17" i="1"/>
  <c r="L33" i="1"/>
  <c r="L32" i="1"/>
  <c r="L36" i="1"/>
  <c r="N4" i="9"/>
  <c r="M3" i="9"/>
  <c r="P3" i="11" l="1"/>
  <c r="Q4" i="11"/>
  <c r="N3" i="8"/>
  <c r="O4" i="8"/>
  <c r="M8" i="1"/>
  <c r="M15" i="1"/>
  <c r="M22" i="1"/>
  <c r="M29" i="1"/>
  <c r="M36" i="1"/>
  <c r="M12" i="1"/>
  <c r="M19" i="1"/>
  <c r="M26" i="1"/>
  <c r="M33" i="1"/>
  <c r="M9" i="1"/>
  <c r="M16" i="1"/>
  <c r="M23" i="1"/>
  <c r="M30" i="1"/>
  <c r="M21" i="1"/>
  <c r="M13" i="1"/>
  <c r="M4" i="1"/>
  <c r="M11" i="1"/>
  <c r="M28" i="1"/>
  <c r="M6" i="1"/>
  <c r="M24" i="1"/>
  <c r="M20" i="1"/>
  <c r="M18" i="1"/>
  <c r="M35" i="1"/>
  <c r="M14" i="1"/>
  <c r="M31" i="1"/>
  <c r="M10" i="1"/>
  <c r="M25" i="1"/>
  <c r="M27" i="1"/>
  <c r="N5" i="1"/>
  <c r="M7" i="1"/>
  <c r="M34" i="1"/>
  <c r="M17" i="1"/>
  <c r="M32" i="1"/>
  <c r="R3" i="10"/>
  <c r="S4" i="10"/>
  <c r="Q4" i="6"/>
  <c r="P3" i="6"/>
  <c r="N3" i="14"/>
  <c r="O4" i="14"/>
  <c r="P4" i="7"/>
  <c r="O3" i="7"/>
  <c r="R4" i="13"/>
  <c r="Q3" i="13"/>
  <c r="M3" i="3"/>
  <c r="N4" i="3"/>
  <c r="O4" i="9"/>
  <c r="N3" i="9"/>
  <c r="O3" i="4"/>
  <c r="P4" i="4"/>
  <c r="N3" i="5"/>
  <c r="O4" i="5"/>
  <c r="R3" i="13" l="1"/>
  <c r="S4" i="13"/>
  <c r="O3" i="14"/>
  <c r="P4" i="14"/>
  <c r="P4" i="5"/>
  <c r="O3" i="5"/>
  <c r="Q4" i="4"/>
  <c r="P3" i="4"/>
  <c r="T4" i="10"/>
  <c r="S3" i="10"/>
  <c r="R4" i="6"/>
  <c r="Q3" i="6"/>
  <c r="O4" i="3"/>
  <c r="N3" i="3"/>
  <c r="O3" i="9"/>
  <c r="P4" i="9"/>
  <c r="O5" i="1"/>
  <c r="N11" i="1"/>
  <c r="N18" i="1"/>
  <c r="N25" i="1"/>
  <c r="N32" i="1"/>
  <c r="N12" i="1"/>
  <c r="N19" i="1"/>
  <c r="N26" i="1"/>
  <c r="N33" i="1"/>
  <c r="N4" i="1"/>
  <c r="N7" i="1"/>
  <c r="N14" i="1"/>
  <c r="N21" i="1"/>
  <c r="N28" i="1"/>
  <c r="N35" i="1"/>
  <c r="N15" i="1"/>
  <c r="N17" i="1"/>
  <c r="N30" i="1"/>
  <c r="N13" i="1"/>
  <c r="N36" i="1"/>
  <c r="N6" i="1"/>
  <c r="N22" i="1"/>
  <c r="N24" i="1"/>
  <c r="N20" i="1"/>
  <c r="N27" i="1"/>
  <c r="N16" i="1"/>
  <c r="N8" i="1"/>
  <c r="N10" i="1"/>
  <c r="N23" i="1"/>
  <c r="N31" i="1"/>
  <c r="N34" i="1"/>
  <c r="N9" i="1"/>
  <c r="N29" i="1"/>
  <c r="P4" i="8"/>
  <c r="O3" i="8"/>
  <c r="Q4" i="7"/>
  <c r="P3" i="7"/>
  <c r="Q3" i="11"/>
  <c r="R4" i="11"/>
  <c r="R3" i="11" l="1"/>
  <c r="S4" i="11"/>
  <c r="T3" i="10"/>
  <c r="U4" i="10"/>
  <c r="S4" i="6"/>
  <c r="R3" i="6"/>
  <c r="R4" i="7"/>
  <c r="Q3" i="7"/>
  <c r="Q4" i="8"/>
  <c r="P3" i="8"/>
  <c r="R4" i="4"/>
  <c r="Q3" i="4"/>
  <c r="O3" i="3"/>
  <c r="P4" i="3"/>
  <c r="P3" i="5"/>
  <c r="Q4" i="5"/>
  <c r="P3" i="14"/>
  <c r="Q4" i="14"/>
  <c r="O6" i="1"/>
  <c r="O13" i="1"/>
  <c r="O20" i="1"/>
  <c r="O27" i="1"/>
  <c r="O34" i="1"/>
  <c r="O10" i="1"/>
  <c r="O17" i="1"/>
  <c r="O24" i="1"/>
  <c r="O31" i="1"/>
  <c r="O4" i="1"/>
  <c r="O7" i="1"/>
  <c r="O14" i="1"/>
  <c r="O21" i="1"/>
  <c r="O28" i="1"/>
  <c r="O23" i="1"/>
  <c r="O15" i="1"/>
  <c r="O30" i="1"/>
  <c r="P5" i="1"/>
  <c r="O9" i="1"/>
  <c r="O26" i="1"/>
  <c r="O22" i="1"/>
  <c r="O16" i="1"/>
  <c r="O33" i="1"/>
  <c r="O12" i="1"/>
  <c r="O29" i="1"/>
  <c r="O11" i="1"/>
  <c r="O19" i="1"/>
  <c r="O8" i="1"/>
  <c r="O18" i="1"/>
  <c r="O36" i="1"/>
  <c r="O35" i="1"/>
  <c r="O32" i="1"/>
  <c r="O25" i="1"/>
  <c r="Q4" i="9"/>
  <c r="P3" i="9"/>
  <c r="T4" i="13"/>
  <c r="S3" i="13"/>
  <c r="T3" i="13" l="1"/>
  <c r="U4" i="13"/>
  <c r="Q4" i="3"/>
  <c r="P3" i="3"/>
  <c r="R3" i="4"/>
  <c r="S4" i="4"/>
  <c r="Q3" i="8"/>
  <c r="R4" i="8"/>
  <c r="Q3" i="9"/>
  <c r="R4" i="9"/>
  <c r="P4" i="1"/>
  <c r="Q5" i="1"/>
  <c r="R3" i="7"/>
  <c r="S4" i="7"/>
  <c r="S3" i="6"/>
  <c r="T4" i="6"/>
  <c r="Q3" i="14"/>
  <c r="R4" i="14"/>
  <c r="V4" i="10"/>
  <c r="U3" i="10"/>
  <c r="R4" i="5"/>
  <c r="Q3" i="5"/>
  <c r="S3" i="11"/>
  <c r="T4" i="11"/>
  <c r="R3" i="9" l="1"/>
  <c r="S4" i="9"/>
  <c r="R3" i="8"/>
  <c r="S4" i="8"/>
  <c r="T3" i="11"/>
  <c r="U4" i="11"/>
  <c r="R3" i="5"/>
  <c r="S4" i="5"/>
  <c r="V3" i="10"/>
  <c r="W4" i="10"/>
  <c r="R3" i="14"/>
  <c r="S4" i="14"/>
  <c r="S3" i="4"/>
  <c r="T4" i="4"/>
  <c r="Q3" i="3"/>
  <c r="R4" i="3"/>
  <c r="U4" i="6"/>
  <c r="T3" i="6"/>
  <c r="T4" i="7"/>
  <c r="S3" i="7"/>
  <c r="R5" i="1"/>
  <c r="Q11" i="1"/>
  <c r="Q18" i="1"/>
  <c r="Q25" i="1"/>
  <c r="Q32" i="1"/>
  <c r="Q8" i="1"/>
  <c r="Q15" i="1"/>
  <c r="Q22" i="1"/>
  <c r="Q29" i="1"/>
  <c r="Q36" i="1"/>
  <c r="Q12" i="1"/>
  <c r="Q19" i="1"/>
  <c r="Q26" i="1"/>
  <c r="Q33" i="1"/>
  <c r="Q10" i="1"/>
  <c r="Q27" i="1"/>
  <c r="Q17" i="1"/>
  <c r="Q34" i="1"/>
  <c r="Q13" i="1"/>
  <c r="Q28" i="1"/>
  <c r="Q9" i="1"/>
  <c r="Q24" i="1"/>
  <c r="Q20" i="1"/>
  <c r="Q7" i="1"/>
  <c r="Q14" i="1"/>
  <c r="Q31" i="1"/>
  <c r="Q30" i="1"/>
  <c r="Q6" i="1"/>
  <c r="Q4" i="1"/>
  <c r="Q16" i="1"/>
  <c r="Q21" i="1"/>
  <c r="Q23" i="1"/>
  <c r="Q35" i="1"/>
  <c r="V4" i="13"/>
  <c r="U3" i="13"/>
  <c r="T3" i="4" l="1"/>
  <c r="U4" i="4"/>
  <c r="S3" i="14"/>
  <c r="T4" i="14"/>
  <c r="W3" i="10"/>
  <c r="X4" i="10"/>
  <c r="V3" i="13"/>
  <c r="W4" i="13"/>
  <c r="T4" i="5"/>
  <c r="S3" i="5"/>
  <c r="R4" i="1"/>
  <c r="R7" i="1"/>
  <c r="R14" i="1"/>
  <c r="R21" i="1"/>
  <c r="R28" i="1"/>
  <c r="R35" i="1"/>
  <c r="R8" i="1"/>
  <c r="R15" i="1"/>
  <c r="R22" i="1"/>
  <c r="R29" i="1"/>
  <c r="R36" i="1"/>
  <c r="R10" i="1"/>
  <c r="R17" i="1"/>
  <c r="R24" i="1"/>
  <c r="R31" i="1"/>
  <c r="R19" i="1"/>
  <c r="R30" i="1"/>
  <c r="R11" i="1"/>
  <c r="R13" i="1"/>
  <c r="R26" i="1"/>
  <c r="S5" i="1"/>
  <c r="R9" i="1"/>
  <c r="R6" i="1"/>
  <c r="R16" i="1"/>
  <c r="R33" i="1"/>
  <c r="R27" i="1"/>
  <c r="R32" i="1"/>
  <c r="R18" i="1"/>
  <c r="R12" i="1"/>
  <c r="R23" i="1"/>
  <c r="R20" i="1"/>
  <c r="R34" i="1"/>
  <c r="R25" i="1"/>
  <c r="V4" i="11"/>
  <c r="U3" i="11"/>
  <c r="T3" i="7"/>
  <c r="U4" i="7"/>
  <c r="T4" i="8"/>
  <c r="S3" i="8"/>
  <c r="V4" i="6"/>
  <c r="U3" i="6"/>
  <c r="S4" i="3"/>
  <c r="R3" i="3"/>
  <c r="T4" i="9"/>
  <c r="S3" i="9"/>
  <c r="T3" i="5" l="1"/>
  <c r="U4" i="5"/>
  <c r="U4" i="9"/>
  <c r="T3" i="9"/>
  <c r="X4" i="13"/>
  <c r="W3" i="13"/>
  <c r="X3" i="10"/>
  <c r="Y4" i="10"/>
  <c r="S3" i="3"/>
  <c r="T4" i="3"/>
  <c r="V3" i="6"/>
  <c r="W4" i="6"/>
  <c r="T3" i="8"/>
  <c r="U4" i="8"/>
  <c r="U3" i="7"/>
  <c r="V4" i="7"/>
  <c r="T3" i="14"/>
  <c r="U4" i="14"/>
  <c r="S9" i="1"/>
  <c r="S16" i="1"/>
  <c r="S23" i="1"/>
  <c r="S30" i="1"/>
  <c r="S6" i="1"/>
  <c r="S13" i="1"/>
  <c r="S20" i="1"/>
  <c r="S27" i="1"/>
  <c r="S34" i="1"/>
  <c r="S10" i="1"/>
  <c r="S17" i="1"/>
  <c r="S24" i="1"/>
  <c r="S31" i="1"/>
  <c r="S12" i="1"/>
  <c r="S29" i="1"/>
  <c r="S21" i="1"/>
  <c r="S8" i="1"/>
  <c r="S19" i="1"/>
  <c r="S4" i="1"/>
  <c r="S15" i="1"/>
  <c r="S32" i="1"/>
  <c r="S28" i="1"/>
  <c r="S36" i="1"/>
  <c r="S11" i="1"/>
  <c r="S26" i="1"/>
  <c r="S22" i="1"/>
  <c r="S18" i="1"/>
  <c r="S33" i="1"/>
  <c r="S35" i="1"/>
  <c r="T5" i="1"/>
  <c r="S7" i="1"/>
  <c r="S14" i="1"/>
  <c r="S25" i="1"/>
  <c r="V3" i="11"/>
  <c r="W4" i="11"/>
  <c r="V4" i="4"/>
  <c r="U3" i="4"/>
  <c r="U3" i="8" l="1"/>
  <c r="V4" i="8"/>
  <c r="U4" i="3"/>
  <c r="T3" i="3"/>
  <c r="Z4" i="10"/>
  <c r="Y3" i="10"/>
  <c r="W3" i="6"/>
  <c r="X4" i="6"/>
  <c r="W3" i="11"/>
  <c r="X4" i="11"/>
  <c r="X3" i="13"/>
  <c r="Y4" i="13"/>
  <c r="V3" i="4"/>
  <c r="W4" i="4"/>
  <c r="U3" i="14"/>
  <c r="V4" i="14"/>
  <c r="U3" i="9"/>
  <c r="V4" i="9"/>
  <c r="T12" i="1"/>
  <c r="T19" i="1"/>
  <c r="T26" i="1"/>
  <c r="T33" i="1"/>
  <c r="T6" i="1"/>
  <c r="T13" i="1"/>
  <c r="T20" i="1"/>
  <c r="T27" i="1"/>
  <c r="T34" i="1"/>
  <c r="T8" i="1"/>
  <c r="T15" i="1"/>
  <c r="T22" i="1"/>
  <c r="T29" i="1"/>
  <c r="T36" i="1"/>
  <c r="T7" i="1"/>
  <c r="T14" i="1"/>
  <c r="T23" i="1"/>
  <c r="T25" i="1"/>
  <c r="T21" i="1"/>
  <c r="T4" i="1"/>
  <c r="T30" i="1"/>
  <c r="T32" i="1"/>
  <c r="T28" i="1"/>
  <c r="U5" i="1"/>
  <c r="T11" i="1"/>
  <c r="T16" i="1"/>
  <c r="T10" i="1"/>
  <c r="T18" i="1"/>
  <c r="T31" i="1"/>
  <c r="T35" i="1"/>
  <c r="T17" i="1"/>
  <c r="T9" i="1"/>
  <c r="T24" i="1"/>
  <c r="V3" i="7"/>
  <c r="W4" i="7"/>
  <c r="U3" i="5"/>
  <c r="V4" i="5"/>
  <c r="W3" i="4" l="1"/>
  <c r="X4" i="4"/>
  <c r="V3" i="5"/>
  <c r="W4" i="5"/>
  <c r="Z4" i="13"/>
  <c r="Y3" i="13"/>
  <c r="U4" i="1"/>
  <c r="U7" i="1"/>
  <c r="U14" i="1"/>
  <c r="U21" i="1"/>
  <c r="U28" i="1"/>
  <c r="U35" i="1"/>
  <c r="V5" i="1"/>
  <c r="U11" i="1"/>
  <c r="U18" i="1"/>
  <c r="U25" i="1"/>
  <c r="U32" i="1"/>
  <c r="U8" i="1"/>
  <c r="U15" i="1"/>
  <c r="U22" i="1"/>
  <c r="U29" i="1"/>
  <c r="U16" i="1"/>
  <c r="U31" i="1"/>
  <c r="U23" i="1"/>
  <c r="U17" i="1"/>
  <c r="U34" i="1"/>
  <c r="U13" i="1"/>
  <c r="U30" i="1"/>
  <c r="U36" i="1"/>
  <c r="U9" i="1"/>
  <c r="U24" i="1"/>
  <c r="U20" i="1"/>
  <c r="U33" i="1"/>
  <c r="U6" i="1"/>
  <c r="U19" i="1"/>
  <c r="U10" i="1"/>
  <c r="U26" i="1"/>
  <c r="U12" i="1"/>
  <c r="U27" i="1"/>
  <c r="X4" i="7"/>
  <c r="W3" i="7"/>
  <c r="X3" i="11"/>
  <c r="Y4" i="11"/>
  <c r="Y4" i="6"/>
  <c r="X3" i="6"/>
  <c r="Z3" i="10"/>
  <c r="AA4" i="10"/>
  <c r="W4" i="9"/>
  <c r="V3" i="9"/>
  <c r="U3" i="3"/>
  <c r="V4" i="3"/>
  <c r="W4" i="14"/>
  <c r="V3" i="14"/>
  <c r="V3" i="8"/>
  <c r="W4" i="8"/>
  <c r="V10" i="1" l="1"/>
  <c r="V17" i="1"/>
  <c r="V24" i="1"/>
  <c r="V31" i="1"/>
  <c r="W5" i="1"/>
  <c r="V11" i="1"/>
  <c r="V18" i="1"/>
  <c r="V25" i="1"/>
  <c r="V32" i="1"/>
  <c r="V6" i="1"/>
  <c r="V13" i="1"/>
  <c r="V20" i="1"/>
  <c r="V27" i="1"/>
  <c r="V34" i="1"/>
  <c r="V8" i="1"/>
  <c r="V33" i="1"/>
  <c r="V35" i="1"/>
  <c r="V19" i="1"/>
  <c r="V15" i="1"/>
  <c r="V4" i="1"/>
  <c r="V26" i="1"/>
  <c r="V14" i="1"/>
  <c r="V22" i="1"/>
  <c r="V30" i="1"/>
  <c r="V21" i="1"/>
  <c r="V36" i="1"/>
  <c r="V23" i="1"/>
  <c r="V7" i="1"/>
  <c r="V9" i="1"/>
  <c r="V28" i="1"/>
  <c r="V12" i="1"/>
  <c r="V29" i="1"/>
  <c r="V16" i="1"/>
  <c r="X3" i="7"/>
  <c r="Y4" i="7"/>
  <c r="Y3" i="11"/>
  <c r="Z4" i="11"/>
  <c r="X4" i="8"/>
  <c r="W3" i="8"/>
  <c r="V3" i="3"/>
  <c r="W4" i="3"/>
  <c r="AB4" i="10"/>
  <c r="AA3" i="10"/>
  <c r="Z3" i="13"/>
  <c r="AA4" i="13"/>
  <c r="W3" i="14"/>
  <c r="X4" i="14"/>
  <c r="X4" i="5"/>
  <c r="W3" i="5"/>
  <c r="W3" i="9"/>
  <c r="X4" i="9"/>
  <c r="Y3" i="6"/>
  <c r="Z4" i="6"/>
  <c r="Y4" i="4"/>
  <c r="X3" i="4"/>
  <c r="Y4" i="14" l="1"/>
  <c r="X3" i="14"/>
  <c r="AB4" i="13"/>
  <c r="AA3" i="13"/>
  <c r="AB3" i="10"/>
  <c r="AC4" i="10"/>
  <c r="W3" i="3"/>
  <c r="X4" i="3"/>
  <c r="Y3" i="4"/>
  <c r="Z4" i="4"/>
  <c r="AA4" i="6"/>
  <c r="Z3" i="6"/>
  <c r="Y4" i="8"/>
  <c r="X3" i="8"/>
  <c r="X3" i="9"/>
  <c r="Y4" i="9"/>
  <c r="AA4" i="11"/>
  <c r="Z3" i="11"/>
  <c r="Y3" i="7"/>
  <c r="Z4" i="7"/>
  <c r="Y4" i="5"/>
  <c r="X3" i="5"/>
  <c r="W12" i="1"/>
  <c r="W19" i="1"/>
  <c r="W26" i="1"/>
  <c r="W33" i="1"/>
  <c r="W9" i="1"/>
  <c r="W16" i="1"/>
  <c r="W23" i="1"/>
  <c r="W30" i="1"/>
  <c r="W6" i="1"/>
  <c r="W13" i="1"/>
  <c r="W20" i="1"/>
  <c r="W27" i="1"/>
  <c r="W34" i="1"/>
  <c r="W18" i="1"/>
  <c r="W10" i="1"/>
  <c r="W25" i="1"/>
  <c r="W21" i="1"/>
  <c r="W17" i="1"/>
  <c r="W15" i="1"/>
  <c r="W32" i="1"/>
  <c r="W11" i="1"/>
  <c r="W28" i="1"/>
  <c r="W22" i="1"/>
  <c r="W14" i="1"/>
  <c r="W4" i="1"/>
  <c r="W8" i="1"/>
  <c r="W29" i="1"/>
  <c r="W36" i="1"/>
  <c r="W31" i="1"/>
  <c r="W35" i="1"/>
  <c r="X5" i="1"/>
  <c r="W7" i="1"/>
  <c r="W24" i="1"/>
  <c r="X8" i="1" l="1"/>
  <c r="X15" i="1"/>
  <c r="X22" i="1"/>
  <c r="X29" i="1"/>
  <c r="X36" i="1"/>
  <c r="X9" i="1"/>
  <c r="X16" i="1"/>
  <c r="X23" i="1"/>
  <c r="X30" i="1"/>
  <c r="Y5" i="1"/>
  <c r="X11" i="1"/>
  <c r="X18" i="1"/>
  <c r="X25" i="1"/>
  <c r="X32" i="1"/>
  <c r="X6" i="1"/>
  <c r="X12" i="1"/>
  <c r="X14" i="1"/>
  <c r="X27" i="1"/>
  <c r="X10" i="1"/>
  <c r="X19" i="1"/>
  <c r="X21" i="1"/>
  <c r="X34" i="1"/>
  <c r="X17" i="1"/>
  <c r="X4" i="1"/>
  <c r="X24" i="1"/>
  <c r="X13" i="1"/>
  <c r="X26" i="1"/>
  <c r="X31" i="1"/>
  <c r="X28" i="1"/>
  <c r="X35" i="1"/>
  <c r="X33" i="1"/>
  <c r="X20" i="1"/>
  <c r="Y3" i="8"/>
  <c r="Z4" i="8"/>
  <c r="AB4" i="6"/>
  <c r="AA3" i="6"/>
  <c r="Z3" i="4"/>
  <c r="AA4" i="4"/>
  <c r="X3" i="3"/>
  <c r="Y4" i="3"/>
  <c r="Z4" i="5"/>
  <c r="Y3" i="5"/>
  <c r="Z3" i="7"/>
  <c r="AA4" i="7"/>
  <c r="AD4" i="10"/>
  <c r="AC3" i="10"/>
  <c r="AA3" i="11"/>
  <c r="AB4" i="11"/>
  <c r="AB3" i="13"/>
  <c r="AC4" i="13"/>
  <c r="Y3" i="9"/>
  <c r="Z4" i="9"/>
  <c r="Z4" i="14"/>
  <c r="Y3" i="14"/>
  <c r="AB3" i="6" l="1"/>
  <c r="AC4" i="6"/>
  <c r="AC4" i="11"/>
  <c r="AB3" i="11"/>
  <c r="AA4" i="8"/>
  <c r="Z3" i="8"/>
  <c r="AB4" i="7"/>
  <c r="AA3" i="7"/>
  <c r="AD3" i="10"/>
  <c r="AE4" i="10"/>
  <c r="AE3" i="10" s="1"/>
  <c r="Z4" i="3"/>
  <c r="Y3" i="3"/>
  <c r="AA4" i="9"/>
  <c r="Z3" i="9"/>
  <c r="AB4" i="4"/>
  <c r="AA3" i="4"/>
  <c r="Z3" i="5"/>
  <c r="AA4" i="5"/>
  <c r="Z3" i="14"/>
  <c r="AA4" i="14"/>
  <c r="Y10" i="1"/>
  <c r="Y17" i="1"/>
  <c r="Y24" i="1"/>
  <c r="Y31" i="1"/>
  <c r="Y4" i="1"/>
  <c r="Y7" i="1"/>
  <c r="Y14" i="1"/>
  <c r="Y21" i="1"/>
  <c r="Y28" i="1"/>
  <c r="Y35" i="1"/>
  <c r="Z5" i="1"/>
  <c r="Y11" i="1"/>
  <c r="Y18" i="1"/>
  <c r="Y25" i="1"/>
  <c r="Y32" i="1"/>
  <c r="Y20" i="1"/>
  <c r="Y29" i="1"/>
  <c r="Y12" i="1"/>
  <c r="Y27" i="1"/>
  <c r="Y8" i="1"/>
  <c r="Y23" i="1"/>
  <c r="Y19" i="1"/>
  <c r="Y34" i="1"/>
  <c r="Y13" i="1"/>
  <c r="Y30" i="1"/>
  <c r="Y6" i="1"/>
  <c r="Y9" i="1"/>
  <c r="Y26" i="1"/>
  <c r="Y22" i="1"/>
  <c r="Y16" i="1"/>
  <c r="Y15" i="1"/>
  <c r="Y36" i="1"/>
  <c r="Y33" i="1"/>
  <c r="AD4" i="13"/>
  <c r="AC3" i="13"/>
  <c r="AA4" i="3" l="1"/>
  <c r="Z3" i="3"/>
  <c r="AC4" i="7"/>
  <c r="AB3" i="7"/>
  <c r="AB4" i="9"/>
  <c r="AA3" i="9"/>
  <c r="AD3" i="13"/>
  <c r="AE4" i="13"/>
  <c r="AE3" i="13" s="1"/>
  <c r="AB4" i="14"/>
  <c r="AA3" i="14"/>
  <c r="AB4" i="8"/>
  <c r="AA3" i="8"/>
  <c r="AB4" i="5"/>
  <c r="AA3" i="5"/>
  <c r="Z6" i="1"/>
  <c r="Z13" i="1"/>
  <c r="Z20" i="1"/>
  <c r="Z27" i="1"/>
  <c r="Z34" i="1"/>
  <c r="Z4" i="1"/>
  <c r="Z7" i="1"/>
  <c r="Z14" i="1"/>
  <c r="Z21" i="1"/>
  <c r="Z28" i="1"/>
  <c r="Z35" i="1"/>
  <c r="Z9" i="1"/>
  <c r="Z16" i="1"/>
  <c r="Z23" i="1"/>
  <c r="Z30" i="1"/>
  <c r="AA5" i="1"/>
  <c r="Z22" i="1"/>
  <c r="Z31" i="1"/>
  <c r="Z29" i="1"/>
  <c r="Z8" i="1"/>
  <c r="Z15" i="1"/>
  <c r="Z36" i="1"/>
  <c r="Z25" i="1"/>
  <c r="Z11" i="1"/>
  <c r="Z24" i="1"/>
  <c r="Z10" i="1"/>
  <c r="Z18" i="1"/>
  <c r="Z26" i="1"/>
  <c r="Z17" i="1"/>
  <c r="Z19" i="1"/>
  <c r="Z32" i="1"/>
  <c r="Z12" i="1"/>
  <c r="Z33" i="1"/>
  <c r="AD4" i="11"/>
  <c r="AC3" i="11"/>
  <c r="AC3" i="6"/>
  <c r="AD4" i="6"/>
  <c r="AB3" i="4"/>
  <c r="AC4" i="4"/>
  <c r="AC4" i="5" l="1"/>
  <c r="AB3" i="5"/>
  <c r="AD4" i="4"/>
  <c r="AC3" i="4"/>
  <c r="AB3" i="8"/>
  <c r="AC4" i="8"/>
  <c r="AE4" i="6"/>
  <c r="AD3" i="6"/>
  <c r="AC4" i="14"/>
  <c r="AB3" i="14"/>
  <c r="AE4" i="11"/>
  <c r="AD3" i="11"/>
  <c r="AC4" i="9"/>
  <c r="AB3" i="9"/>
  <c r="AD4" i="7"/>
  <c r="AC3" i="7"/>
  <c r="AB5" i="1"/>
  <c r="AA4" i="1"/>
  <c r="AA3" i="3"/>
  <c r="AB4" i="3"/>
  <c r="AC5" i="1" l="1"/>
  <c r="AB11" i="1"/>
  <c r="AB18" i="1"/>
  <c r="AB25" i="1"/>
  <c r="AB32" i="1"/>
  <c r="AB12" i="1"/>
  <c r="AB19" i="1"/>
  <c r="AB26" i="1"/>
  <c r="AB33" i="1"/>
  <c r="AB4" i="1"/>
  <c r="AB7" i="1"/>
  <c r="AB14" i="1"/>
  <c r="AB21" i="1"/>
  <c r="AB28" i="1"/>
  <c r="AB35" i="1"/>
  <c r="AB6" i="1"/>
  <c r="AB16" i="1"/>
  <c r="AB27" i="1"/>
  <c r="AB10" i="1"/>
  <c r="AB23" i="1"/>
  <c r="AB8" i="1"/>
  <c r="AB34" i="1"/>
  <c r="AB13" i="1"/>
  <c r="AB17" i="1"/>
  <c r="AB22" i="1"/>
  <c r="AB24" i="1"/>
  <c r="AB29" i="1"/>
  <c r="AB15" i="1"/>
  <c r="AB9" i="1"/>
  <c r="AB20" i="1"/>
  <c r="AB31" i="1"/>
  <c r="AB30" i="1"/>
  <c r="AB36" i="1"/>
  <c r="AE3" i="11"/>
  <c r="AF4" i="11"/>
  <c r="AF3" i="11" s="1"/>
  <c r="AC3" i="9"/>
  <c r="AD4" i="9"/>
  <c r="AC4" i="3"/>
  <c r="AC3" i="3" s="1"/>
  <c r="AB3" i="3"/>
  <c r="AC3" i="14"/>
  <c r="AD4" i="14"/>
  <c r="AF4" i="6"/>
  <c r="AF3" i="6" s="1"/>
  <c r="AE3" i="6"/>
  <c r="AC3" i="8"/>
  <c r="AD4" i="8"/>
  <c r="AE4" i="4"/>
  <c r="AD3" i="4"/>
  <c r="AD3" i="7"/>
  <c r="AE4" i="7"/>
  <c r="AE3" i="7" s="1"/>
  <c r="AD4" i="5"/>
  <c r="AC3" i="5"/>
  <c r="AD3" i="14" l="1"/>
  <c r="AE4" i="14"/>
  <c r="AD3" i="9"/>
  <c r="AE4" i="9"/>
  <c r="AD3" i="5"/>
  <c r="AE4" i="5"/>
  <c r="AE3" i="5" s="1"/>
  <c r="AF4" i="4"/>
  <c r="AF3" i="4" s="1"/>
  <c r="AE3" i="4"/>
  <c r="AE4" i="8"/>
  <c r="AD3" i="8"/>
  <c r="AC6" i="1"/>
  <c r="AC13" i="1"/>
  <c r="AC20" i="1"/>
  <c r="AC27" i="1"/>
  <c r="AC34" i="1"/>
  <c r="AC10" i="1"/>
  <c r="AC17" i="1"/>
  <c r="AC24" i="1"/>
  <c r="AC31" i="1"/>
  <c r="AC4" i="1"/>
  <c r="AC7" i="1"/>
  <c r="AC14" i="1"/>
  <c r="AC21" i="1"/>
  <c r="AC28" i="1"/>
  <c r="AC9" i="1"/>
  <c r="AC26" i="1"/>
  <c r="AC36" i="1"/>
  <c r="AC18" i="1"/>
  <c r="AC16" i="1"/>
  <c r="AC33" i="1"/>
  <c r="AC35" i="1"/>
  <c r="AC12" i="1"/>
  <c r="AC29" i="1"/>
  <c r="AC25" i="1"/>
  <c r="AC23" i="1"/>
  <c r="AC19" i="1"/>
  <c r="AC15" i="1"/>
  <c r="AC30" i="1"/>
  <c r="AC11" i="1"/>
  <c r="AC8" i="1"/>
  <c r="AC32" i="1"/>
  <c r="AD5" i="1"/>
  <c r="AC22" i="1"/>
  <c r="AD9" i="1" l="1"/>
  <c r="AD16" i="1"/>
  <c r="AD23" i="1"/>
  <c r="AD30" i="1"/>
  <c r="AD10" i="1"/>
  <c r="AD17" i="1"/>
  <c r="AD24" i="1"/>
  <c r="AD31" i="1"/>
  <c r="AD12" i="1"/>
  <c r="AD19" i="1"/>
  <c r="AD26" i="1"/>
  <c r="AD33" i="1"/>
  <c r="AD4" i="1"/>
  <c r="AD7" i="1"/>
  <c r="AE5" i="1"/>
  <c r="AD11" i="1"/>
  <c r="AD20" i="1"/>
  <c r="AD22" i="1"/>
  <c r="AD18" i="1"/>
  <c r="AD27" i="1"/>
  <c r="AD29" i="1"/>
  <c r="AD25" i="1"/>
  <c r="AD8" i="1"/>
  <c r="AD32" i="1"/>
  <c r="AD34" i="1"/>
  <c r="AD14" i="1"/>
  <c r="AD6" i="1"/>
  <c r="AD13" i="1"/>
  <c r="AD21" i="1"/>
  <c r="AD28" i="1"/>
  <c r="AD35" i="1"/>
  <c r="AD15" i="1"/>
  <c r="AD36" i="1"/>
  <c r="AE3" i="8"/>
  <c r="AF4" i="8"/>
  <c r="AF3" i="8" s="1"/>
  <c r="AE3" i="9"/>
  <c r="AF4" i="9"/>
  <c r="AF3" i="9" s="1"/>
  <c r="AE3" i="14"/>
  <c r="AF4" i="14"/>
  <c r="AF3" i="14" s="1"/>
  <c r="AF5" i="1" l="1"/>
  <c r="AE11" i="1"/>
  <c r="AE18" i="1"/>
  <c r="AE25" i="1"/>
  <c r="AE32" i="1"/>
  <c r="AE8" i="1"/>
  <c r="AE15" i="1"/>
  <c r="AE22" i="1"/>
  <c r="AE29" i="1"/>
  <c r="AE36" i="1"/>
  <c r="AE12" i="1"/>
  <c r="AE19" i="1"/>
  <c r="AE26" i="1"/>
  <c r="AE33" i="1"/>
  <c r="AE13" i="1"/>
  <c r="AE28" i="1"/>
  <c r="AE20" i="1"/>
  <c r="AE14" i="1"/>
  <c r="AE31" i="1"/>
  <c r="AE35" i="1"/>
  <c r="AE10" i="1"/>
  <c r="AE27" i="1"/>
  <c r="AE21" i="1"/>
  <c r="AE4" i="1"/>
  <c r="AE17" i="1"/>
  <c r="AE34" i="1"/>
  <c r="AE9" i="1"/>
  <c r="AE6" i="1"/>
  <c r="AE16" i="1"/>
  <c r="AE24" i="1"/>
  <c r="AE30" i="1"/>
  <c r="AE7" i="1"/>
  <c r="AE23" i="1"/>
  <c r="AF4" i="1" l="1"/>
  <c r="AF7" i="1"/>
  <c r="AF14" i="1"/>
  <c r="AF21" i="1"/>
  <c r="AF28" i="1"/>
  <c r="AF35" i="1"/>
  <c r="AF8" i="1"/>
  <c r="AF15" i="1"/>
  <c r="AF22" i="1"/>
  <c r="AF29" i="1"/>
  <c r="AF36" i="1"/>
  <c r="AF10" i="1"/>
  <c r="AF17" i="1"/>
  <c r="AF24" i="1"/>
  <c r="AF31" i="1"/>
  <c r="AF30" i="1"/>
  <c r="AF6" i="1"/>
  <c r="AF16" i="1"/>
  <c r="AF12" i="1"/>
  <c r="AF23" i="1"/>
  <c r="AF20" i="1"/>
  <c r="AF9" i="1"/>
  <c r="AF25" i="1"/>
  <c r="AF34" i="1"/>
  <c r="AF11" i="1"/>
  <c r="AF27" i="1"/>
  <c r="AF33" i="1"/>
  <c r="AF13" i="1"/>
  <c r="AF32" i="1"/>
  <c r="AF26" i="1"/>
  <c r="AF18" i="1"/>
  <c r="AF19" i="1"/>
  <c r="AH13" i="1" l="1"/>
  <c r="C17" i="15" s="1"/>
  <c r="AJ13" i="1"/>
  <c r="E17" i="15" s="1"/>
  <c r="AG13" i="1"/>
  <c r="AI13" i="1"/>
  <c r="AK13" i="1"/>
  <c r="F17" i="15" s="1"/>
  <c r="AH24" i="1"/>
  <c r="AJ24" i="1"/>
  <c r="AK24" i="1"/>
  <c r="AG24" i="1"/>
  <c r="AI24" i="1"/>
  <c r="AI33" i="1"/>
  <c r="AJ33" i="1"/>
  <c r="AK33" i="1"/>
  <c r="AG33" i="1"/>
  <c r="AH33" i="1"/>
  <c r="AI11" i="1"/>
  <c r="AJ11" i="1"/>
  <c r="AK11" i="1"/>
  <c r="AH11" i="1"/>
  <c r="AG11" i="1"/>
  <c r="AG36" i="1"/>
  <c r="AH36" i="1"/>
  <c r="AI36" i="1"/>
  <c r="AK36" i="1"/>
  <c r="AJ36" i="1"/>
  <c r="AG18" i="1"/>
  <c r="AJ18" i="1"/>
  <c r="AH18" i="1"/>
  <c r="AI18" i="1"/>
  <c r="AK18" i="1"/>
  <c r="AH34" i="1"/>
  <c r="AJ34" i="1"/>
  <c r="AK34" i="1"/>
  <c r="AG34" i="1"/>
  <c r="AI34" i="1"/>
  <c r="AJ29" i="1"/>
  <c r="AH29" i="1"/>
  <c r="AK29" i="1"/>
  <c r="AI29" i="1"/>
  <c r="AG29" i="1"/>
  <c r="AG19" i="1"/>
  <c r="AH19" i="1"/>
  <c r="AJ19" i="1"/>
  <c r="AK19" i="1"/>
  <c r="AI19" i="1"/>
  <c r="AI25" i="1"/>
  <c r="AG25" i="1"/>
  <c r="AJ25" i="1"/>
  <c r="AK25" i="1"/>
  <c r="AH25" i="1"/>
  <c r="AJ22" i="1"/>
  <c r="AH22" i="1"/>
  <c r="AI22" i="1"/>
  <c r="AG22" i="1"/>
  <c r="AK22" i="1"/>
  <c r="AJ27" i="1"/>
  <c r="AI27" i="1"/>
  <c r="AH27" i="1"/>
  <c r="AK27" i="1"/>
  <c r="AG27" i="1"/>
  <c r="AG9" i="1"/>
  <c r="AJ9" i="1"/>
  <c r="E11" i="15" s="1"/>
  <c r="AH9" i="1"/>
  <c r="C11" i="15" s="1"/>
  <c r="AK9" i="1"/>
  <c r="AI9" i="1"/>
  <c r="AK15" i="1"/>
  <c r="AG15" i="1"/>
  <c r="AI15" i="1"/>
  <c r="AH15" i="1"/>
  <c r="AJ15" i="1"/>
  <c r="AJ10" i="1"/>
  <c r="E12" i="15" s="1"/>
  <c r="AI10" i="1"/>
  <c r="AH10" i="1"/>
  <c r="AG10" i="1"/>
  <c r="AK10" i="1"/>
  <c r="AG20" i="1"/>
  <c r="AJ20" i="1"/>
  <c r="AK20" i="1"/>
  <c r="AI20" i="1"/>
  <c r="AH20" i="1"/>
  <c r="AJ8" i="1"/>
  <c r="AH8" i="1"/>
  <c r="C10" i="15" s="1"/>
  <c r="AI8" i="1"/>
  <c r="AK8" i="1"/>
  <c r="AG8" i="1"/>
  <c r="AJ23" i="1"/>
  <c r="AI23" i="1"/>
  <c r="AG23" i="1"/>
  <c r="AH23" i="1"/>
  <c r="AK23" i="1"/>
  <c r="AI35" i="1"/>
  <c r="AJ35" i="1"/>
  <c r="AH35" i="1"/>
  <c r="AG35" i="1"/>
  <c r="AK35" i="1"/>
  <c r="AJ17" i="1"/>
  <c r="AK17" i="1"/>
  <c r="AI17" i="1"/>
  <c r="AG17" i="1"/>
  <c r="AH17" i="1"/>
  <c r="AK12" i="1"/>
  <c r="AJ12" i="1"/>
  <c r="E16" i="15" s="1"/>
  <c r="AI12" i="1"/>
  <c r="AH12" i="1"/>
  <c r="AG12" i="1"/>
  <c r="AJ28" i="1"/>
  <c r="AI28" i="1"/>
  <c r="AH28" i="1"/>
  <c r="AG28" i="1"/>
  <c r="AK28" i="1"/>
  <c r="AJ16" i="1"/>
  <c r="AK16" i="1"/>
  <c r="AG16" i="1"/>
  <c r="AI16" i="1"/>
  <c r="AH16" i="1"/>
  <c r="AG21" i="1"/>
  <c r="AI21" i="1"/>
  <c r="AJ21" i="1"/>
  <c r="AH21" i="1"/>
  <c r="AK21" i="1"/>
  <c r="AG6" i="1"/>
  <c r="AH6" i="1"/>
  <c r="AI6" i="1"/>
  <c r="AJ6" i="1"/>
  <c r="AK6" i="1"/>
  <c r="AK14" i="1"/>
  <c r="AI14" i="1"/>
  <c r="AH14" i="1"/>
  <c r="AG14" i="1"/>
  <c r="AJ14" i="1"/>
  <c r="AJ26" i="1"/>
  <c r="AK26" i="1"/>
  <c r="AI26" i="1"/>
  <c r="AH26" i="1"/>
  <c r="AG26" i="1"/>
  <c r="AG30" i="1"/>
  <c r="AI30" i="1"/>
  <c r="AK30" i="1"/>
  <c r="AH30" i="1"/>
  <c r="AJ30" i="1"/>
  <c r="AG7" i="1"/>
  <c r="AJ7" i="1"/>
  <c r="AK7" i="1"/>
  <c r="F9" i="15" s="1"/>
  <c r="AI7" i="1"/>
  <c r="D9" i="15" s="1"/>
  <c r="AH7" i="1"/>
  <c r="AJ32" i="1"/>
  <c r="AG32" i="1"/>
  <c r="AH32" i="1"/>
  <c r="AK32" i="1"/>
  <c r="AI32" i="1"/>
  <c r="AG31" i="1"/>
  <c r="AH31" i="1"/>
  <c r="AK31" i="1"/>
  <c r="AI31" i="1"/>
  <c r="AJ31" i="1"/>
</calcChain>
</file>

<file path=xl/sharedStrings.xml><?xml version="1.0" encoding="utf-8"?>
<sst xmlns="http://schemas.openxmlformats.org/spreadsheetml/2006/main" count="1579" uniqueCount="148">
  <si>
    <t>Year :</t>
  </si>
  <si>
    <t>Analyst Name:</t>
  </si>
  <si>
    <t>Deloitte Email ID:</t>
  </si>
  <si>
    <t>Module:</t>
  </si>
  <si>
    <t>Location:</t>
  </si>
  <si>
    <t>PTO Type:</t>
  </si>
  <si>
    <t>From Date:</t>
  </si>
  <si>
    <t>To Date:</t>
  </si>
  <si>
    <t>Reason of PTO:</t>
  </si>
  <si>
    <t>Status:</t>
  </si>
  <si>
    <t>PTO Count</t>
  </si>
  <si>
    <t>Email Status</t>
  </si>
  <si>
    <t>Approver</t>
  </si>
  <si>
    <t>Nitish Kumar</t>
  </si>
  <si>
    <t>PTO</t>
  </si>
  <si>
    <t>Approved</t>
  </si>
  <si>
    <t>Sruthi G</t>
  </si>
  <si>
    <t>Anusree Saha</t>
  </si>
  <si>
    <t>Emergency</t>
  </si>
  <si>
    <t>Sick Leave</t>
  </si>
  <si>
    <t>Akshaya Kumar</t>
  </si>
  <si>
    <t>Rajitha D</t>
  </si>
  <si>
    <t>Half Day</t>
  </si>
  <si>
    <t>Pragati Rawat</t>
  </si>
  <si>
    <t>Ankita Roy</t>
  </si>
  <si>
    <t>Sujitha Satti</t>
  </si>
  <si>
    <t>Pavani B Raj</t>
  </si>
  <si>
    <t>Tanu Gupta</t>
  </si>
  <si>
    <t>Divya Maheshwari</t>
  </si>
  <si>
    <t>Robin babu</t>
  </si>
  <si>
    <t>Ujjwal waikar</t>
  </si>
  <si>
    <t>Parth Zalavadia</t>
  </si>
  <si>
    <t>Friendsis Rai</t>
  </si>
  <si>
    <t>Jagannath Belel</t>
  </si>
  <si>
    <t>Bharti Kumari</t>
  </si>
  <si>
    <t>Lavleen Kaur</t>
  </si>
  <si>
    <t>Harshit Malpani</t>
  </si>
  <si>
    <t>Balagopalan, Akhila</t>
  </si>
  <si>
    <t>Amisha Shaw</t>
  </si>
  <si>
    <t>Gollapudi, Gireesh</t>
  </si>
  <si>
    <t>Tanuja, Sunkara</t>
  </si>
  <si>
    <t>Sanchi Yadav</t>
  </si>
  <si>
    <t>Rachana, Golla</t>
  </si>
  <si>
    <t>Sanjay Singhal</t>
  </si>
  <si>
    <t>Vacation</t>
  </si>
  <si>
    <t>Meghana Baddam</t>
  </si>
  <si>
    <t>Abburi Durga Grishmitha</t>
  </si>
  <si>
    <t>Personal reason</t>
  </si>
  <si>
    <t>Going to my Home town</t>
  </si>
  <si>
    <t>Sent</t>
  </si>
  <si>
    <t>Charan S</t>
  </si>
  <si>
    <t>Emergency PTO</t>
  </si>
  <si>
    <t>Marriage</t>
  </si>
  <si>
    <t>Kiran Kumar S</t>
  </si>
  <si>
    <t>racharachana@deloitte.com</t>
  </si>
  <si>
    <t>Reporting</t>
  </si>
  <si>
    <t>MUM</t>
  </si>
  <si>
    <t/>
  </si>
  <si>
    <t>pjagdishzalavadia@deloitte.com</t>
  </si>
  <si>
    <t>Tanima Debmallik/Nitish Kumar</t>
  </si>
  <si>
    <t>MyChart</t>
  </si>
  <si>
    <t>HYD</t>
  </si>
  <si>
    <t>To attend Wedding</t>
  </si>
  <si>
    <t>Bridges</t>
  </si>
  <si>
    <t>BLR</t>
  </si>
  <si>
    <t>dwaikar@deloitte.com</t>
  </si>
  <si>
    <t>SER</t>
  </si>
  <si>
    <t>rmbabu@deloitte.com</t>
  </si>
  <si>
    <t>ECLink</t>
  </si>
  <si>
    <t>tgupta10@deloitte.com</t>
  </si>
  <si>
    <t>Automation</t>
  </si>
  <si>
    <t>pbraj@deloitte.com</t>
  </si>
  <si>
    <t>susujitha@deloitte.com</t>
  </si>
  <si>
    <t>QA</t>
  </si>
  <si>
    <t>anussaha@deloitte.com</t>
  </si>
  <si>
    <t>srug@deloitte.com</t>
  </si>
  <si>
    <t>sancyadav@deloitte.com</t>
  </si>
  <si>
    <t>gigollapudi@deloitte.com</t>
  </si>
  <si>
    <t>agrishmitha@deloitte.com</t>
  </si>
  <si>
    <t>bmeghana@deloitte.com</t>
  </si>
  <si>
    <t>hamalpani@deloitte.com</t>
  </si>
  <si>
    <t>lakaur@deloitte.com</t>
  </si>
  <si>
    <t>GUR</t>
  </si>
  <si>
    <t>ankitaroy2@deloitte.com</t>
  </si>
  <si>
    <t>EC/DC</t>
  </si>
  <si>
    <t>akshayakumar@deloitte.com</t>
  </si>
  <si>
    <t>pragrawat@deloitte.com</t>
  </si>
  <si>
    <t>stanuja@deloitte.com</t>
  </si>
  <si>
    <t>divmaheshwari@deloitte.com</t>
  </si>
  <si>
    <t>scharan1@deloitte.com</t>
  </si>
  <si>
    <t>amisshaw@deloitte.com</t>
  </si>
  <si>
    <t>bharkumari@deloitte.com</t>
  </si>
  <si>
    <t>January</t>
  </si>
  <si>
    <r>
      <rPr>
        <sz val="11"/>
        <color theme="1"/>
        <rFont val="Calibri"/>
        <family val="2"/>
        <scheme val="minor"/>
      </rPr>
      <t xml:space="preserve">                                                                                                                                                                                                                          </t>
    </r>
    <r>
      <rPr>
        <sz val="11"/>
        <color rgb="FF7030A0"/>
        <rFont val="Calibri"/>
        <family val="2"/>
        <scheme val="minor"/>
      </rPr>
      <t xml:space="preserve">  </t>
    </r>
    <r>
      <rPr>
        <b/>
        <sz val="22"/>
        <color rgb="FF7030A0"/>
        <rFont val="Calibri"/>
        <family val="2"/>
        <scheme val="minor"/>
      </rPr>
      <t>CHRISTUS Health Monthly Leave Calendar - 2026</t>
    </r>
  </si>
  <si>
    <t>Team Members</t>
  </si>
  <si>
    <t>Total Absence Days</t>
  </si>
  <si>
    <t>Total Vacation Leave Days</t>
  </si>
  <si>
    <t>Total Sick/Emergency Leave Days</t>
  </si>
  <si>
    <t>Maternity or Paternity</t>
  </si>
  <si>
    <t>Leave without Pay</t>
  </si>
  <si>
    <t>Absence type</t>
  </si>
  <si>
    <t>Code</t>
  </si>
  <si>
    <t>PT</t>
  </si>
  <si>
    <t>Sick leave/ Emergency leave</t>
  </si>
  <si>
    <t>S</t>
  </si>
  <si>
    <t>H1</t>
  </si>
  <si>
    <t>Maternity/Paternity</t>
  </si>
  <si>
    <t>MT</t>
  </si>
  <si>
    <t>Firm Holiday</t>
  </si>
  <si>
    <t>FH</t>
  </si>
  <si>
    <t>U</t>
  </si>
  <si>
    <t>Ujjwal Waikar</t>
  </si>
  <si>
    <t>Robin Babu</t>
  </si>
  <si>
    <t>Arittri Das</t>
  </si>
  <si>
    <t>Bhalerao, Rachana</t>
  </si>
  <si>
    <t>February</t>
  </si>
  <si>
    <t>Total Sick Leave Days</t>
  </si>
  <si>
    <t>Absence Type</t>
  </si>
  <si>
    <t>March</t>
  </si>
  <si>
    <t>Employee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</si>
  <si>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</si>
  <si>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</si>
  <si>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</si>
  <si>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</si>
  <si>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</si>
  <si>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</si>
  <si>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</si>
  <si>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</si>
  <si>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</si>
  <si>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Year Summary</t>
  </si>
  <si>
    <t>Test</t>
  </si>
  <si>
    <t>kikumars@deloitte.com</t>
  </si>
  <si>
    <t>S M, Kavyashree</t>
  </si>
  <si>
    <t>Manohar E R</t>
  </si>
  <si>
    <t>Tanvi Arora</t>
  </si>
  <si>
    <t>Analyst Name</t>
  </si>
  <si>
    <t>Deloitte Email ID</t>
  </si>
  <si>
    <t>Module</t>
  </si>
  <si>
    <t>Location</t>
  </si>
  <si>
    <t>nitishkumar44@deloitte.com</t>
  </si>
  <si>
    <t>abalagopalan@deloitte.com</t>
  </si>
  <si>
    <t>jbelel@deloitte.com</t>
  </si>
  <si>
    <t>frai@deloitte.com</t>
  </si>
  <si>
    <t>Drajitha@deloitte.com</t>
  </si>
  <si>
    <t>sanjasinghal@deloitte.com</t>
  </si>
  <si>
    <t>arittdas@deloitte.com</t>
  </si>
  <si>
    <t>ASAP</t>
  </si>
  <si>
    <t>rabhalerao@deloitte.com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</si>
</sst>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m"/>
    <numFmt numFmtId="165" formatCode="ddd"/>
    <numFmt numFmtId="166" formatCode="d"/>
  </numFmts>
  <fonts count="2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Helvetica"/>
    </font>
    <font>
      <sz val="14"/>
      <color theme="0"/>
      <name val="Calibri"/>
      <family val="2"/>
      <scheme val="minor"/>
    </font>
    <font>
      <sz val="12"/>
      <name val="Calibri"/>
      <family val="2"/>
      <scheme val="minor"/>
    </font>
    <font>
      <sz val="36"/>
      <color theme="0"/>
      <name val="Calibri"/>
      <family val="2"/>
      <scheme val="minor"/>
    </font>
    <font>
      <b/>
      <sz val="36"/>
      <color theme="9" tint="-0.249977111117893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36"/>
      <color rgb="FF7030A0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8"/>
      <color theme="1"/>
      <name val="Calibri"/>
      <family val="2"/>
    </font>
    <font>
      <sz val="18"/>
      <color rgb="FF000000"/>
      <name val="Calibri"/>
      <family val="2"/>
    </font>
    <font>
      <b/>
      <sz val="2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22"/>
      <color rgb="FF7030A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Calibri"/>
      <family val="2"/>
    </font>
    <font>
      <u/>
      <sz val="11"/>
      <color rgb="FF0563C1"/>
      <name val="Calibri"/>
      <family val="2"/>
    </font>
    <font>
      <sz val="11"/>
      <color rgb="FF000000"/>
      <name val="Aptos Narrow"/>
      <family val="2"/>
    </font>
    <font>
      <sz val="12"/>
      <color rgb="FF000000"/>
      <name val="Calibri"/>
      <family val="2"/>
    </font>
  </fonts>
  <fills count="23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385E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2" tint="-0.249977111117893"/>
        <bgColor rgb="FFE8ECF1"/>
      </patternFill>
    </fill>
    <fill>
      <patternFill patternType="solid">
        <fgColor rgb="FFF5B88F"/>
        <bgColor indexed="64"/>
      </patternFill>
    </fill>
    <fill>
      <patternFill patternType="solid">
        <fgColor rgb="FFFFE797"/>
        <bgColor indexed="64"/>
      </patternFill>
    </fill>
    <fill>
      <patternFill patternType="solid">
        <fgColor rgb="FFF4AFFF"/>
        <bgColor indexed="64"/>
      </patternFill>
    </fill>
    <fill>
      <patternFill patternType="solid">
        <fgColor rgb="FFFFFFFF"/>
        <bgColor rgb="FF000000"/>
      </patternFill>
    </fill>
  </fills>
  <borders count="21">
    <border>
      <left/>
      <right/>
      <top/>
      <bottom/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/>
      <right style="thin">
        <color theme="4" tint="0.39994506668294322"/>
      </right>
      <top/>
      <bottom style="thin">
        <color theme="4" tint="0.39994506668294322"/>
      </bottom>
      <diagonal/>
    </border>
    <border>
      <left style="thin">
        <color theme="4" tint="0.39994506668294322"/>
      </left>
      <right style="thin">
        <color theme="4" tint="0.39994506668294322"/>
      </right>
      <top/>
      <bottom style="thin">
        <color theme="4" tint="0.39994506668294322"/>
      </bottom>
      <diagonal/>
    </border>
    <border>
      <left style="thin">
        <color theme="4" tint="0.39994506668294322"/>
      </left>
      <right/>
      <top/>
      <bottom style="thin">
        <color theme="4" tint="0.399945066682943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/>
      <right/>
      <top/>
      <bottom style="thin">
        <color theme="1"/>
      </bottom>
      <diagonal/>
    </border>
    <border>
      <left style="thin">
        <color theme="1" tint="4.9989318521683403E-2"/>
      </left>
      <right style="thin">
        <color theme="1" tint="4.9989318521683403E-2"/>
      </right>
      <top style="thin">
        <color theme="1" tint="4.9989318521683403E-2"/>
      </top>
      <bottom style="thin">
        <color theme="1" tint="4.9989318521683403E-2"/>
      </bottom>
      <diagonal/>
    </border>
    <border>
      <left/>
      <right style="thin">
        <color theme="4" tint="0.39994506668294322"/>
      </right>
      <top style="thin">
        <color theme="4" tint="0.39994506668294322"/>
      </top>
      <bottom/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4506668294322"/>
      </top>
      <bottom/>
      <diagonal/>
    </border>
    <border>
      <left style="thin">
        <color theme="1" tint="4.9989318521683403E-2"/>
      </left>
      <right style="thin">
        <color theme="1" tint="4.9989318521683403E-2"/>
      </right>
      <top/>
      <bottom style="thin">
        <color theme="1" tint="4.9989318521683403E-2"/>
      </bottom>
      <diagonal/>
    </border>
    <border>
      <left/>
      <right/>
      <top/>
      <bottom style="thin">
        <color theme="1" tint="4.9989318521683403E-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1" fillId="6" borderId="0" applyNumberFormat="0" applyBorder="0" applyAlignment="0" applyProtection="0"/>
    <xf numFmtId="0" fontId="22" fillId="0" borderId="0" applyNumberFormat="0" applyFill="0" applyBorder="0" applyAlignment="0" applyProtection="0"/>
  </cellStyleXfs>
  <cellXfs count="97">
    <xf numFmtId="0" fontId="0" fillId="0" borderId="0" xfId="0"/>
    <xf numFmtId="165" fontId="1" fillId="11" borderId="11" xfId="0" applyNumberFormat="1" applyFont="1" applyFill="1" applyBorder="1" applyAlignment="1">
      <alignment horizontal="left" vertical="center" wrapText="1"/>
    </xf>
    <xf numFmtId="0" fontId="2" fillId="8" borderId="0" xfId="0" applyFont="1" applyFill="1"/>
    <xf numFmtId="0" fontId="2" fillId="0" borderId="0" xfId="0" applyFont="1"/>
    <xf numFmtId="0" fontId="2" fillId="0" borderId="3" xfId="1" applyFont="1" applyFill="1" applyBorder="1" applyAlignment="1">
      <alignment horizontal="center" vertical="center" wrapText="1"/>
    </xf>
    <xf numFmtId="0" fontId="2" fillId="0" borderId="4" xfId="1" applyFont="1" applyFill="1" applyBorder="1" applyAlignment="1">
      <alignment horizontal="center" vertical="center" wrapText="1"/>
    </xf>
    <xf numFmtId="0" fontId="2" fillId="0" borderId="1" xfId="1" applyFont="1" applyFill="1" applyBorder="1" applyAlignment="1">
      <alignment horizontal="center" vertical="center" wrapText="1"/>
    </xf>
    <xf numFmtId="0" fontId="2" fillId="8" borderId="10" xfId="0" applyFont="1" applyFill="1" applyBorder="1"/>
    <xf numFmtId="0" fontId="2" fillId="0" borderId="11" xfId="1" applyFont="1" applyFill="1" applyBorder="1" applyAlignment="1">
      <alignment horizontal="center" vertical="center" wrapText="1"/>
    </xf>
    <xf numFmtId="0" fontId="15" fillId="8" borderId="11" xfId="0" applyFont="1" applyFill="1" applyBorder="1"/>
    <xf numFmtId="0" fontId="16" fillId="8" borderId="11" xfId="0" applyFont="1" applyFill="1" applyBorder="1"/>
    <xf numFmtId="0" fontId="1" fillId="0" borderId="5" xfId="2" applyFill="1" applyBorder="1" applyAlignment="1">
      <alignment horizontal="left" vertical="center" wrapText="1"/>
    </xf>
    <xf numFmtId="0" fontId="4" fillId="18" borderId="2" xfId="0" applyFont="1" applyFill="1" applyBorder="1" applyAlignment="1">
      <alignment horizontal="center" vertical="center" wrapText="1"/>
    </xf>
    <xf numFmtId="0" fontId="4" fillId="18" borderId="11" xfId="0" applyFont="1" applyFill="1" applyBorder="1" applyAlignment="1">
      <alignment horizontal="center" vertical="center" wrapText="1"/>
    </xf>
    <xf numFmtId="0" fontId="16" fillId="8" borderId="14" xfId="0" applyFont="1" applyFill="1" applyBorder="1"/>
    <xf numFmtId="0" fontId="0" fillId="0" borderId="11" xfId="0" applyBorder="1"/>
    <xf numFmtId="0" fontId="7" fillId="11" borderId="0" xfId="0" applyFont="1" applyFill="1"/>
    <xf numFmtId="0" fontId="7" fillId="11" borderId="5" xfId="0" applyFont="1" applyFill="1" applyBorder="1" applyAlignment="1">
      <alignment horizontal="center" vertical="center"/>
    </xf>
    <xf numFmtId="164" fontId="13" fillId="11" borderId="11" xfId="0" applyNumberFormat="1" applyFont="1" applyFill="1" applyBorder="1" applyAlignment="1">
      <alignment horizontal="center" vertical="center" wrapText="1"/>
    </xf>
    <xf numFmtId="164" fontId="3" fillId="8" borderId="0" xfId="0" applyNumberFormat="1" applyFont="1" applyFill="1" applyAlignment="1">
      <alignment horizontal="center" vertical="center" wrapText="1"/>
    </xf>
    <xf numFmtId="166" fontId="14" fillId="11" borderId="11" xfId="0" applyNumberFormat="1" applyFont="1" applyFill="1" applyBorder="1" applyAlignment="1">
      <alignment horizontal="center" vertical="center" wrapText="1"/>
    </xf>
    <xf numFmtId="0" fontId="4" fillId="16" borderId="11" xfId="0" applyFont="1" applyFill="1" applyBorder="1" applyAlignment="1">
      <alignment horizontal="center" vertical="center" wrapText="1"/>
    </xf>
    <xf numFmtId="0" fontId="4" fillId="8" borderId="11" xfId="0" applyFont="1" applyFill="1" applyBorder="1" applyAlignment="1">
      <alignment horizontal="center" vertical="center" wrapText="1"/>
    </xf>
    <xf numFmtId="0" fontId="3" fillId="8" borderId="0" xfId="0" applyFont="1" applyFill="1" applyAlignment="1">
      <alignment horizontal="center" vertical="center" wrapText="1"/>
    </xf>
    <xf numFmtId="0" fontId="0" fillId="7" borderId="5" xfId="0" applyFill="1" applyBorder="1" applyAlignment="1">
      <alignment horizontal="left" vertical="center" wrapText="1"/>
    </xf>
    <xf numFmtId="0" fontId="4" fillId="8" borderId="5" xfId="0" applyFont="1" applyFill="1" applyBorder="1" applyAlignment="1">
      <alignment horizontal="center" vertical="center" wrapText="1"/>
    </xf>
    <xf numFmtId="0" fontId="0" fillId="19" borderId="5" xfId="0" applyFill="1" applyBorder="1" applyAlignment="1">
      <alignment horizontal="left" vertical="center" wrapText="1"/>
    </xf>
    <xf numFmtId="0" fontId="0" fillId="20" borderId="5" xfId="0" applyFill="1" applyBorder="1" applyAlignment="1">
      <alignment horizontal="left" vertical="center" wrapText="1"/>
    </xf>
    <xf numFmtId="0" fontId="0" fillId="21" borderId="5" xfId="0" applyFill="1" applyBorder="1" applyAlignment="1">
      <alignment horizontal="left" vertical="center" wrapText="1"/>
    </xf>
    <xf numFmtId="0" fontId="1" fillId="12" borderId="5" xfId="0" applyFont="1" applyFill="1" applyBorder="1" applyAlignment="1">
      <alignment horizontal="left" vertical="center" wrapText="1"/>
    </xf>
    <xf numFmtId="0" fontId="1" fillId="14" borderId="5" xfId="0" applyFont="1" applyFill="1" applyBorder="1" applyAlignment="1">
      <alignment horizontal="left" vertical="center" wrapText="1"/>
    </xf>
    <xf numFmtId="166" fontId="13" fillId="11" borderId="11" xfId="0" applyNumberFormat="1" applyFont="1" applyFill="1" applyBorder="1" applyAlignment="1">
      <alignment horizontal="center" vertical="center" wrapText="1"/>
    </xf>
    <xf numFmtId="0" fontId="1" fillId="7" borderId="5" xfId="0" applyFont="1" applyFill="1" applyBorder="1" applyAlignment="1">
      <alignment horizontal="left" vertical="center" wrapText="1"/>
    </xf>
    <xf numFmtId="0" fontId="1" fillId="3" borderId="5" xfId="0" applyFont="1" applyFill="1" applyBorder="1" applyAlignment="1">
      <alignment horizontal="left" vertical="center" wrapText="1"/>
    </xf>
    <xf numFmtId="0" fontId="1" fillId="5" borderId="5" xfId="0" applyFont="1" applyFill="1" applyBorder="1" applyAlignment="1">
      <alignment horizontal="left" vertical="center" wrapText="1"/>
    </xf>
    <xf numFmtId="0" fontId="1" fillId="13" borderId="5" xfId="0" applyFont="1" applyFill="1" applyBorder="1" applyAlignment="1">
      <alignment horizontal="left" vertical="center" wrapText="1"/>
    </xf>
    <xf numFmtId="0" fontId="1" fillId="0" borderId="0" xfId="0" applyFont="1" applyAlignment="1">
      <alignment horizontal="left" vertical="center" wrapText="1"/>
    </xf>
    <xf numFmtId="0" fontId="4" fillId="8" borderId="0" xfId="0" applyFont="1" applyFill="1" applyAlignment="1">
      <alignment horizontal="center" vertical="center" wrapText="1"/>
    </xf>
    <xf numFmtId="164" fontId="10" fillId="11" borderId="11" xfId="0" applyNumberFormat="1" applyFont="1" applyFill="1" applyBorder="1" applyAlignment="1">
      <alignment horizontal="center" vertical="center" wrapText="1"/>
    </xf>
    <xf numFmtId="166" fontId="10" fillId="11" borderId="11" xfId="0" applyNumberFormat="1" applyFont="1" applyFill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 wrapText="1"/>
    </xf>
    <xf numFmtId="0" fontId="4" fillId="8" borderId="2" xfId="0" applyFont="1" applyFill="1" applyBorder="1" applyAlignment="1">
      <alignment horizontal="center" vertical="center" wrapText="1"/>
    </xf>
    <xf numFmtId="164" fontId="10" fillId="11" borderId="6" xfId="0" applyNumberFormat="1" applyFont="1" applyFill="1" applyBorder="1" applyAlignment="1">
      <alignment horizontal="center" vertical="center" wrapText="1"/>
    </xf>
    <xf numFmtId="166" fontId="10" fillId="11" borderId="12" xfId="0" applyNumberFormat="1" applyFont="1" applyFill="1" applyBorder="1" applyAlignment="1">
      <alignment horizontal="center" vertical="center" wrapText="1"/>
    </xf>
    <xf numFmtId="166" fontId="10" fillId="11" borderId="13" xfId="0" applyNumberFormat="1" applyFont="1" applyFill="1" applyBorder="1" applyAlignment="1">
      <alignment horizontal="center" vertical="center" wrapText="1"/>
    </xf>
    <xf numFmtId="0" fontId="1" fillId="14" borderId="7" xfId="0" applyFont="1" applyFill="1" applyBorder="1" applyAlignment="1">
      <alignment horizontal="left" vertical="center" wrapText="1"/>
    </xf>
    <xf numFmtId="0" fontId="4" fillId="8" borderId="7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3" fillId="9" borderId="9" xfId="0" applyFont="1" applyFill="1" applyBorder="1"/>
    <xf numFmtId="14" fontId="0" fillId="0" borderId="0" xfId="0" applyNumberFormat="1"/>
    <xf numFmtId="0" fontId="21" fillId="0" borderId="16" xfId="0" applyFont="1" applyBorder="1"/>
    <xf numFmtId="0" fontId="23" fillId="8" borderId="16" xfId="0" applyFont="1" applyFill="1" applyBorder="1"/>
    <xf numFmtId="0" fontId="24" fillId="22" borderId="16" xfId="0" applyFont="1" applyFill="1" applyBorder="1"/>
    <xf numFmtId="0" fontId="25" fillId="0" borderId="16" xfId="0" applyFont="1" applyBorder="1"/>
    <xf numFmtId="0" fontId="25" fillId="0" borderId="17" xfId="0" applyFont="1" applyBorder="1"/>
    <xf numFmtId="0" fontId="26" fillId="8" borderId="16" xfId="0" applyFont="1" applyFill="1" applyBorder="1"/>
    <xf numFmtId="0" fontId="26" fillId="8" borderId="18" xfId="0" applyFont="1" applyFill="1" applyBorder="1"/>
    <xf numFmtId="0" fontId="22" fillId="0" borderId="16" xfId="3" applyBorder="1" applyAlignment="1"/>
    <xf numFmtId="0" fontId="22" fillId="22" borderId="16" xfId="3" applyFill="1" applyBorder="1" applyAlignment="1"/>
    <xf numFmtId="0" fontId="24" fillId="0" borderId="16" xfId="0" applyFont="1" applyBorder="1"/>
    <xf numFmtId="0" fontId="22" fillId="0" borderId="18" xfId="3" applyBorder="1" applyAlignment="1"/>
    <xf numFmtId="0" fontId="25" fillId="0" borderId="18" xfId="0" applyFont="1" applyBorder="1"/>
    <xf numFmtId="0" fontId="25" fillId="0" borderId="19" xfId="0" applyFont="1" applyBorder="1"/>
    <xf numFmtId="0" fontId="25" fillId="0" borderId="20" xfId="0" applyFont="1" applyBorder="1"/>
    <xf numFmtId="164" fontId="5" fillId="4" borderId="7" xfId="0" applyNumberFormat="1" applyFont="1" applyFill="1" applyBorder="1" applyAlignment="1">
      <alignment horizontal="center" vertical="center" wrapText="1"/>
    </xf>
    <xf numFmtId="164" fontId="5" fillId="4" borderId="8" xfId="0" applyNumberFormat="1" applyFont="1" applyFill="1" applyBorder="1" applyAlignment="1">
      <alignment horizontal="center" vertical="center" wrapText="1"/>
    </xf>
    <xf numFmtId="0" fontId="0" fillId="0" borderId="15" xfId="0" applyBorder="1"/>
    <xf numFmtId="0" fontId="11" fillId="8" borderId="11" xfId="0" applyFont="1" applyFill="1" applyBorder="1" applyAlignment="1">
      <alignment horizontal="center" vertical="center"/>
    </xf>
    <xf numFmtId="0" fontId="8" fillId="8" borderId="11" xfId="0" applyFont="1" applyFill="1" applyBorder="1" applyAlignment="1">
      <alignment horizontal="center" vertical="center"/>
    </xf>
    <xf numFmtId="0" fontId="17" fillId="11" borderId="11" xfId="0" applyFont="1" applyFill="1" applyBorder="1" applyAlignment="1">
      <alignment horizontal="center" vertical="center"/>
    </xf>
    <xf numFmtId="164" fontId="6" fillId="12" borderId="11" xfId="0" applyNumberFormat="1" applyFont="1" applyFill="1" applyBorder="1" applyAlignment="1">
      <alignment horizontal="center" vertical="center" wrapText="1"/>
    </xf>
    <xf numFmtId="164" fontId="3" fillId="7" borderId="11" xfId="0" applyNumberFormat="1" applyFont="1" applyFill="1" applyBorder="1" applyAlignment="1">
      <alignment horizontal="center" vertical="center" wrapText="1"/>
    </xf>
    <xf numFmtId="164" fontId="2" fillId="20" borderId="11" xfId="0" applyNumberFormat="1" applyFont="1" applyFill="1" applyBorder="1" applyAlignment="1">
      <alignment horizontal="center" vertical="center" wrapText="1"/>
    </xf>
    <xf numFmtId="164" fontId="2" fillId="21" borderId="11" xfId="0" applyNumberFormat="1" applyFont="1" applyFill="1" applyBorder="1" applyAlignment="1">
      <alignment horizontal="center" vertical="center" wrapText="1"/>
    </xf>
    <xf numFmtId="164" fontId="3" fillId="14" borderId="11" xfId="0" applyNumberFormat="1" applyFont="1" applyFill="1" applyBorder="1" applyAlignment="1">
      <alignment horizontal="center" vertical="center" wrapText="1"/>
    </xf>
    <xf numFmtId="164" fontId="18" fillId="16" borderId="7" xfId="0" applyNumberFormat="1" applyFont="1" applyFill="1" applyBorder="1" applyAlignment="1">
      <alignment horizontal="center" vertical="center" wrapText="1"/>
    </xf>
    <xf numFmtId="164" fontId="5" fillId="16" borderId="8" xfId="0" applyNumberFormat="1" applyFont="1" applyFill="1" applyBorder="1" applyAlignment="1">
      <alignment horizontal="center" vertical="center" wrapText="1"/>
    </xf>
    <xf numFmtId="0" fontId="9" fillId="11" borderId="11" xfId="0" applyFont="1" applyFill="1" applyBorder="1" applyAlignment="1">
      <alignment horizontal="center" vertical="center"/>
    </xf>
    <xf numFmtId="164" fontId="3" fillId="3" borderId="11" xfId="0" applyNumberFormat="1" applyFont="1" applyFill="1" applyBorder="1" applyAlignment="1">
      <alignment horizontal="center" vertical="center" wrapText="1"/>
    </xf>
    <xf numFmtId="164" fontId="3" fillId="15" borderId="11" xfId="0" applyNumberFormat="1" applyFont="1" applyFill="1" applyBorder="1" applyAlignment="1">
      <alignment horizontal="center" vertical="center" wrapText="1"/>
    </xf>
    <xf numFmtId="164" fontId="3" fillId="17" borderId="11" xfId="0" applyNumberFormat="1" applyFont="1" applyFill="1" applyBorder="1" applyAlignment="1">
      <alignment horizontal="center" vertical="center" wrapText="1"/>
    </xf>
    <xf numFmtId="165" fontId="1" fillId="11" borderId="11" xfId="0" applyNumberFormat="1" applyFont="1" applyFill="1" applyBorder="1" applyAlignment="1">
      <alignment horizontal="left" vertical="center" wrapText="1"/>
    </xf>
    <xf numFmtId="164" fontId="6" fillId="16" borderId="11" xfId="0" applyNumberFormat="1" applyFont="1" applyFill="1" applyBorder="1" applyAlignment="1">
      <alignment horizontal="center" vertical="center" wrapText="1"/>
    </xf>
    <xf numFmtId="164" fontId="3" fillId="6" borderId="11" xfId="0" applyNumberFormat="1" applyFont="1" applyFill="1" applyBorder="1" applyAlignment="1">
      <alignment horizontal="center" vertical="center" wrapText="1"/>
    </xf>
    <xf numFmtId="164" fontId="3" fillId="5" borderId="11" xfId="0" applyNumberFormat="1" applyFont="1" applyFill="1" applyBorder="1" applyAlignment="1">
      <alignment horizontal="center" vertical="center" wrapText="1"/>
    </xf>
    <xf numFmtId="164" fontId="6" fillId="10" borderId="11" xfId="0" applyNumberFormat="1" applyFont="1" applyFill="1" applyBorder="1" applyAlignment="1">
      <alignment horizontal="center" vertical="center" wrapText="1"/>
    </xf>
    <xf numFmtId="0" fontId="11" fillId="8" borderId="0" xfId="0" applyFont="1" applyFill="1" applyAlignment="1">
      <alignment horizontal="center" vertical="center"/>
    </xf>
    <xf numFmtId="0" fontId="8" fillId="8" borderId="0" xfId="0" applyFont="1" applyFill="1" applyAlignment="1">
      <alignment horizontal="center" vertical="center"/>
    </xf>
    <xf numFmtId="0" fontId="9" fillId="11" borderId="9" xfId="0" applyFont="1" applyFill="1" applyBorder="1" applyAlignment="1">
      <alignment horizontal="center" vertical="center"/>
    </xf>
    <xf numFmtId="164" fontId="6" fillId="16" borderId="0" xfId="0" applyNumberFormat="1" applyFont="1" applyFill="1" applyAlignment="1">
      <alignment horizontal="center" vertical="center" wrapText="1"/>
    </xf>
    <xf numFmtId="164" fontId="3" fillId="7" borderId="0" xfId="0" applyNumberFormat="1" applyFont="1" applyFill="1" applyAlignment="1">
      <alignment horizontal="center" vertical="center" wrapText="1"/>
    </xf>
    <xf numFmtId="164" fontId="3" fillId="6" borderId="0" xfId="0" applyNumberFormat="1" applyFont="1" applyFill="1" applyAlignment="1">
      <alignment horizontal="center" vertical="center" wrapText="1"/>
    </xf>
    <xf numFmtId="164" fontId="3" fillId="5" borderId="0" xfId="0" applyNumberFormat="1" applyFont="1" applyFill="1" applyAlignment="1">
      <alignment horizontal="center" vertical="center" wrapText="1"/>
    </xf>
    <xf numFmtId="164" fontId="3" fillId="3" borderId="1" xfId="0" applyNumberFormat="1" applyFont="1" applyFill="1" applyBorder="1" applyAlignment="1">
      <alignment horizontal="center" vertical="center" wrapText="1"/>
    </xf>
    <xf numFmtId="164" fontId="3" fillId="3" borderId="13" xfId="0" applyNumberFormat="1" applyFont="1" applyFill="1" applyBorder="1" applyAlignment="1">
      <alignment horizontal="center" vertical="center" wrapText="1"/>
    </xf>
    <xf numFmtId="0" fontId="9" fillId="9" borderId="9" xfId="0" applyFont="1" applyFill="1" applyBorder="1" applyAlignment="1">
      <alignment horizontal="center" vertical="center"/>
    </xf>
    <xf numFmtId="164" fontId="6" fillId="10" borderId="0" xfId="0" applyNumberFormat="1" applyFont="1" applyFill="1" applyAlignment="1">
      <alignment horizontal="center" vertical="center" wrapText="1"/>
    </xf>
  </cellXfs>
  <cellStyles count="4">
    <cellStyle name="Accent1" xfId="1" builtinId="29"/>
    <cellStyle name="Accent5" xfId="2" builtinId="45"/>
    <cellStyle name="Hyperlink" xfId="3" builtinId="8"/>
    <cellStyle name="Normal" xfId="0" builtinId="0"/>
  </cellStyles>
  <dxfs count="63">
    <dxf>
      <font>
        <color theme="0"/>
      </font>
    </dxf>
    <dxf>
      <font>
        <color theme="0"/>
      </font>
    </dxf>
    <dxf>
      <font>
        <color theme="0"/>
      </font>
      <fill>
        <patternFill patternType="solid">
          <fgColor auto="1"/>
          <bgColor theme="9" tint="-0.24994659260841701"/>
        </patternFill>
      </fill>
    </dxf>
    <dxf>
      <font>
        <color theme="0"/>
      </font>
      <fill>
        <patternFill patternType="solid">
          <fgColor auto="1"/>
          <bgColor theme="4"/>
        </patternFill>
      </fill>
    </dxf>
    <dxf>
      <font>
        <color theme="0"/>
      </font>
      <fill>
        <patternFill patternType="solid">
          <fgColor auto="1"/>
          <bgColor rgb="FFFFC000"/>
        </patternFill>
      </fill>
    </dxf>
    <dxf>
      <font>
        <color theme="0"/>
      </font>
      <fill>
        <patternFill patternType="solid">
          <fgColor auto="1"/>
          <bgColor theme="5"/>
        </patternFill>
      </fill>
    </dxf>
    <dxf>
      <font>
        <color theme="0"/>
      </font>
    </dxf>
    <dxf>
      <font>
        <color theme="0"/>
      </font>
      <fill>
        <patternFill patternType="solid">
          <fgColor auto="1"/>
          <bgColor theme="9" tint="-0.24994659260841701"/>
        </patternFill>
      </fill>
    </dxf>
    <dxf>
      <font>
        <color theme="0"/>
      </font>
      <fill>
        <patternFill patternType="solid">
          <fgColor auto="1"/>
          <bgColor theme="4"/>
        </patternFill>
      </fill>
    </dxf>
    <dxf>
      <font>
        <color theme="0"/>
      </font>
      <fill>
        <patternFill patternType="solid">
          <fgColor auto="1"/>
          <bgColor rgb="FFFFC000"/>
        </patternFill>
      </fill>
    </dxf>
    <dxf>
      <font>
        <color theme="0"/>
      </font>
      <fill>
        <patternFill patternType="solid">
          <fgColor auto="1"/>
          <bgColor theme="5"/>
        </patternFill>
      </fill>
    </dxf>
    <dxf>
      <font>
        <color theme="0"/>
      </font>
    </dxf>
    <dxf>
      <font>
        <color theme="0"/>
      </font>
      <fill>
        <patternFill patternType="solid">
          <fgColor auto="1"/>
          <bgColor theme="9" tint="-0.24994659260841701"/>
        </patternFill>
      </fill>
    </dxf>
    <dxf>
      <font>
        <color theme="0"/>
      </font>
      <fill>
        <patternFill patternType="solid">
          <fgColor auto="1"/>
          <bgColor theme="4"/>
        </patternFill>
      </fill>
    </dxf>
    <dxf>
      <font>
        <color theme="0"/>
      </font>
      <fill>
        <patternFill patternType="solid">
          <fgColor auto="1"/>
          <bgColor rgb="FFFFC000"/>
        </patternFill>
      </fill>
    </dxf>
    <dxf>
      <font>
        <color theme="0"/>
      </font>
      <fill>
        <patternFill patternType="solid">
          <fgColor auto="1"/>
          <bgColor theme="5"/>
        </patternFill>
      </fill>
    </dxf>
    <dxf>
      <font>
        <color theme="0"/>
      </font>
    </dxf>
    <dxf>
      <font>
        <color theme="0"/>
      </font>
      <fill>
        <patternFill patternType="solid">
          <fgColor auto="1"/>
          <bgColor theme="9" tint="-0.24994659260841701"/>
        </patternFill>
      </fill>
    </dxf>
    <dxf>
      <font>
        <color theme="0"/>
      </font>
      <fill>
        <patternFill patternType="solid">
          <fgColor auto="1"/>
          <bgColor theme="4"/>
        </patternFill>
      </fill>
    </dxf>
    <dxf>
      <font>
        <color theme="0"/>
      </font>
      <fill>
        <patternFill patternType="solid">
          <fgColor auto="1"/>
          <bgColor rgb="FFFFC000"/>
        </patternFill>
      </fill>
    </dxf>
    <dxf>
      <font>
        <color theme="0"/>
      </font>
      <fill>
        <patternFill patternType="solid">
          <fgColor auto="1"/>
          <bgColor theme="5"/>
        </patternFill>
      </fill>
    </dxf>
    <dxf>
      <font>
        <color theme="0"/>
      </font>
    </dxf>
    <dxf>
      <font>
        <color theme="0"/>
      </font>
      <fill>
        <patternFill patternType="solid">
          <fgColor auto="1"/>
          <bgColor theme="9" tint="-0.24994659260841701"/>
        </patternFill>
      </fill>
    </dxf>
    <dxf>
      <font>
        <color theme="0"/>
      </font>
      <fill>
        <patternFill patternType="solid">
          <fgColor auto="1"/>
          <bgColor theme="4"/>
        </patternFill>
      </fill>
    </dxf>
    <dxf>
      <font>
        <color theme="0"/>
      </font>
      <fill>
        <patternFill patternType="solid">
          <fgColor auto="1"/>
          <bgColor rgb="FFFFC000"/>
        </patternFill>
      </fill>
    </dxf>
    <dxf>
      <font>
        <color theme="0"/>
      </font>
      <fill>
        <patternFill patternType="solid">
          <fgColor auto="1"/>
          <bgColor theme="5"/>
        </patternFill>
      </fill>
    </dxf>
    <dxf>
      <font>
        <color theme="0"/>
      </font>
    </dxf>
    <dxf>
      <font>
        <color theme="0"/>
      </font>
      <fill>
        <patternFill patternType="solid">
          <fgColor auto="1"/>
          <bgColor theme="9" tint="-0.24994659260841701"/>
        </patternFill>
      </fill>
    </dxf>
    <dxf>
      <font>
        <color theme="0"/>
      </font>
      <fill>
        <patternFill patternType="solid">
          <fgColor auto="1"/>
          <bgColor theme="4"/>
        </patternFill>
      </fill>
    </dxf>
    <dxf>
      <font>
        <color theme="0"/>
      </font>
      <fill>
        <patternFill patternType="solid">
          <fgColor auto="1"/>
          <bgColor rgb="FFFFC000"/>
        </patternFill>
      </fill>
    </dxf>
    <dxf>
      <font>
        <color theme="0"/>
      </font>
      <fill>
        <patternFill patternType="solid">
          <fgColor auto="1"/>
          <bgColor theme="5"/>
        </patternFill>
      </fill>
    </dxf>
    <dxf>
      <font>
        <color theme="0"/>
      </font>
    </dxf>
    <dxf>
      <font>
        <color theme="0"/>
      </font>
      <fill>
        <patternFill patternType="solid">
          <fgColor auto="1"/>
          <bgColor theme="9" tint="-0.24994659260841701"/>
        </patternFill>
      </fill>
    </dxf>
    <dxf>
      <font>
        <color theme="0"/>
      </font>
      <fill>
        <patternFill patternType="solid">
          <fgColor auto="1"/>
          <bgColor theme="4"/>
        </patternFill>
      </fill>
    </dxf>
    <dxf>
      <font>
        <color theme="0"/>
      </font>
      <fill>
        <patternFill patternType="solid">
          <fgColor auto="1"/>
          <bgColor rgb="FFFFC000"/>
        </patternFill>
      </fill>
    </dxf>
    <dxf>
      <font>
        <color theme="0"/>
      </font>
      <fill>
        <patternFill patternType="solid">
          <fgColor auto="1"/>
          <bgColor theme="5"/>
        </patternFill>
      </fill>
    </dxf>
    <dxf>
      <font>
        <color theme="0"/>
      </font>
    </dxf>
    <dxf>
      <font>
        <color theme="0"/>
      </font>
      <fill>
        <patternFill patternType="solid">
          <fgColor auto="1"/>
          <bgColor theme="9" tint="-0.24994659260841701"/>
        </patternFill>
      </fill>
    </dxf>
    <dxf>
      <font>
        <color theme="0"/>
      </font>
      <fill>
        <patternFill patternType="solid">
          <fgColor auto="1"/>
          <bgColor theme="4"/>
        </patternFill>
      </fill>
    </dxf>
    <dxf>
      <font>
        <color theme="0"/>
      </font>
      <fill>
        <patternFill patternType="solid">
          <fgColor auto="1"/>
          <bgColor rgb="FFFFC000"/>
        </patternFill>
      </fill>
    </dxf>
    <dxf>
      <font>
        <color theme="0"/>
      </font>
      <fill>
        <patternFill patternType="solid">
          <fgColor auto="1"/>
          <bgColor theme="5"/>
        </patternFill>
      </fill>
    </dxf>
    <dxf>
      <font>
        <color theme="0"/>
      </font>
    </dxf>
    <dxf>
      <font>
        <color theme="0"/>
      </font>
      <fill>
        <patternFill patternType="solid">
          <fgColor auto="1"/>
          <bgColor theme="9" tint="-0.24994659260841701"/>
        </patternFill>
      </fill>
    </dxf>
    <dxf>
      <font>
        <color theme="0"/>
      </font>
      <fill>
        <patternFill patternType="solid">
          <fgColor auto="1"/>
          <bgColor theme="4"/>
        </patternFill>
      </fill>
    </dxf>
    <dxf>
      <font>
        <color theme="0"/>
      </font>
      <fill>
        <patternFill patternType="solid">
          <fgColor auto="1"/>
          <bgColor rgb="FFFFC000"/>
        </patternFill>
      </fill>
    </dxf>
    <dxf>
      <font>
        <color theme="0"/>
      </font>
      <fill>
        <patternFill patternType="solid">
          <fgColor auto="1"/>
          <bgColor theme="5"/>
        </patternFill>
      </fill>
    </dxf>
    <dxf>
      <font>
        <color theme="0"/>
      </font>
    </dxf>
    <dxf>
      <font>
        <color theme="0"/>
      </font>
      <fill>
        <patternFill patternType="solid">
          <fgColor auto="1"/>
          <bgColor theme="9" tint="-0.24994659260841701"/>
        </patternFill>
      </fill>
    </dxf>
    <dxf>
      <font>
        <color theme="0"/>
      </font>
      <fill>
        <patternFill patternType="solid">
          <fgColor auto="1"/>
          <bgColor theme="4"/>
        </patternFill>
      </fill>
    </dxf>
    <dxf>
      <font>
        <color theme="0"/>
      </font>
      <fill>
        <patternFill patternType="solid">
          <fgColor auto="1"/>
          <bgColor rgb="FFFFC000"/>
        </patternFill>
      </fill>
    </dxf>
    <dxf>
      <font>
        <color theme="0"/>
      </font>
      <fill>
        <patternFill patternType="solid">
          <fgColor auto="1"/>
          <bgColor theme="5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24994659260841701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</dxfs>
  <tableStyles count="0" defaultTableStyle="TableStyleMedium2" defaultPivotStyle="PivotStyleLight16"/>
  <colors>
    <mruColors>
      <color rgb="FFFFE797"/>
      <color rgb="FFF4AFFF"/>
      <color rgb="FFEDE797"/>
      <color rgb="FFF5B88F"/>
      <color rgb="FFF395E6"/>
      <color rgb="FFFAD2F4"/>
      <color rgb="FFFF99FF"/>
      <color rgb="FFF385E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agrishmitha@deloitte.com" TargetMode="External"/><Relationship Id="rId3" Type="http://schemas.openxmlformats.org/officeDocument/2006/relationships/hyperlink" Target="mailto:susujitha@deloitte.com" TargetMode="External"/><Relationship Id="rId7" Type="http://schemas.openxmlformats.org/officeDocument/2006/relationships/hyperlink" Target="mailto:arittdas@deloitte.com" TargetMode="External"/><Relationship Id="rId2" Type="http://schemas.openxmlformats.org/officeDocument/2006/relationships/hyperlink" Target="mailto:akshayakumar@deloitte.com" TargetMode="External"/><Relationship Id="rId1" Type="http://schemas.openxmlformats.org/officeDocument/2006/relationships/hyperlink" Target="mailto:gigollapudi@deloitte.com" TargetMode="External"/><Relationship Id="rId6" Type="http://schemas.openxmlformats.org/officeDocument/2006/relationships/hyperlink" Target="mailto:pragrawat@deloitte.com" TargetMode="External"/><Relationship Id="rId5" Type="http://schemas.openxmlformats.org/officeDocument/2006/relationships/hyperlink" Target="mailto:ankitaroy2@deloitte.com" TargetMode="External"/><Relationship Id="rId4" Type="http://schemas.openxmlformats.org/officeDocument/2006/relationships/hyperlink" Target="mailto:stanuja@deloitte.com" TargetMode="External"/><Relationship Id="rId9" Type="http://schemas.openxmlformats.org/officeDocument/2006/relationships/hyperlink" Target="mailto:kikumars@deloitte.co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339D60-C2D6-4C1D-AC80-F678368421CD}">
  <sheetPr codeName="Sheet1"/>
  <dimension ref="A2:B2"/>
  <sheetViews>
    <sheetView workbookViewId="0">
      <selection activeCell="K20" sqref="K20"/>
    </sheetView>
  </sheetViews>
  <sheetFormatPr defaultRowHeight="14.5" x14ac:dyDescent="0.35"/>
  <cols>
    <col min="1" max="1" width="18.26953125" bestFit="1" customWidth="1"/>
    <col min="2" max="2" width="26.26953125" customWidth="1"/>
    <col min="3" max="4" width="9.1796875" customWidth="1"/>
    <col min="5" max="5" width="12.26953125" bestFit="1" customWidth="1"/>
  </cols>
  <sheetData>
    <row r="2" spans="1:2" ht="46" customHeight="1" x14ac:dyDescent="1">
      <c r="A2" s="16" t="s">
        <v>0</v>
      </c>
      <c r="B2" s="17">
        <v>2026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L31"/>
  <sheetViews>
    <sheetView workbookViewId="0">
      <selection activeCell="D1" activeCellId="1" sqref="A1 D1"/>
    </sheetView>
  </sheetViews>
  <sheetFormatPr defaultRowHeight="14.5" x14ac:dyDescent="0.35"/>
  <cols>
    <col min="1" max="1" width="21.81640625" bestFit="1" customWidth="1"/>
    <col min="2" max="2" width="28.08984375" bestFit="1" customWidth="1"/>
    <col min="3" max="3" width="10.7265625" bestFit="1" customWidth="1"/>
    <col min="4" max="4" width="8.36328125" bestFit="1" customWidth="1"/>
    <col min="5" max="5" width="9.90625" bestFit="1" customWidth="1"/>
    <col min="6" max="6" width="10.08984375" bestFit="1" customWidth="1"/>
    <col min="7" max="7" width="9.453125" bestFit="1" customWidth="1"/>
    <col min="8" max="8" width="21.26953125" bestFit="1" customWidth="1"/>
    <col min="9" max="9" width="9" bestFit="1" customWidth="1"/>
    <col min="10" max="10" width="9.6328125" bestFit="1" customWidth="1"/>
    <col min="11" max="11" width="10.90625" bestFit="1" customWidth="1"/>
    <col min="12" max="12" width="27.54296875" bestFit="1" customWidth="1"/>
  </cols>
  <sheetData>
    <row r="1" spans="1:12" x14ac:dyDescent="0.3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</row>
    <row r="2" spans="1:12" x14ac:dyDescent="0.35">
      <c r="A2" t="s">
        <v>30</v>
      </c>
      <c r="B2" t="s">
        <v>65</v>
      </c>
      <c r="C2" t="s">
        <v>66</v>
      </c>
      <c r="D2" t="s">
        <v>64</v>
      </c>
      <c r="E2" t="s">
        <v>14</v>
      </c>
      <c r="F2" s="49">
        <v>46069</v>
      </c>
      <c r="G2" s="49">
        <v>46073</v>
      </c>
      <c r="H2" t="s">
        <v>14</v>
      </c>
      <c r="I2" t="s">
        <v>15</v>
      </c>
      <c r="J2">
        <v>5</v>
      </c>
      <c r="K2" t="s">
        <v>57</v>
      </c>
      <c r="L2" t="s">
        <v>24</v>
      </c>
    </row>
    <row r="3" spans="1:12" x14ac:dyDescent="0.35">
      <c r="A3" t="s">
        <v>42</v>
      </c>
      <c r="B3" t="s">
        <v>54</v>
      </c>
      <c r="C3" t="s">
        <v>55</v>
      </c>
      <c r="D3" t="s">
        <v>61</v>
      </c>
      <c r="E3" t="s">
        <v>14</v>
      </c>
      <c r="F3" s="49">
        <v>46055</v>
      </c>
      <c r="G3" s="49">
        <v>46058</v>
      </c>
      <c r="H3" t="s">
        <v>44</v>
      </c>
      <c r="I3" t="s">
        <v>15</v>
      </c>
      <c r="J3">
        <v>4</v>
      </c>
      <c r="K3" t="s">
        <v>57</v>
      </c>
      <c r="L3" t="s">
        <v>13</v>
      </c>
    </row>
    <row r="4" spans="1:12" x14ac:dyDescent="0.35">
      <c r="A4" t="s">
        <v>28</v>
      </c>
      <c r="B4" t="s">
        <v>88</v>
      </c>
      <c r="C4" t="s">
        <v>60</v>
      </c>
      <c r="D4" t="s">
        <v>82</v>
      </c>
      <c r="E4" t="s">
        <v>14</v>
      </c>
      <c r="F4" s="49">
        <v>46057</v>
      </c>
      <c r="G4" s="49">
        <v>46059</v>
      </c>
      <c r="H4" t="s">
        <v>62</v>
      </c>
      <c r="I4" t="s">
        <v>15</v>
      </c>
      <c r="J4">
        <v>3</v>
      </c>
      <c r="K4" t="s">
        <v>49</v>
      </c>
      <c r="L4" t="s">
        <v>13</v>
      </c>
    </row>
    <row r="5" spans="1:12" x14ac:dyDescent="0.35">
      <c r="A5" t="s">
        <v>31</v>
      </c>
      <c r="B5" t="s">
        <v>58</v>
      </c>
      <c r="C5" t="s">
        <v>63</v>
      </c>
      <c r="D5" t="s">
        <v>64</v>
      </c>
      <c r="E5" t="s">
        <v>14</v>
      </c>
      <c r="F5" s="49">
        <v>46064</v>
      </c>
      <c r="G5" s="49">
        <v>46066</v>
      </c>
      <c r="H5" t="s">
        <v>47</v>
      </c>
      <c r="I5" t="s">
        <v>15</v>
      </c>
      <c r="J5">
        <v>3</v>
      </c>
      <c r="K5" t="s">
        <v>57</v>
      </c>
      <c r="L5" t="s">
        <v>59</v>
      </c>
    </row>
    <row r="6" spans="1:12" x14ac:dyDescent="0.35">
      <c r="A6" t="s">
        <v>27</v>
      </c>
      <c r="B6" t="s">
        <v>69</v>
      </c>
      <c r="C6" t="s">
        <v>70</v>
      </c>
      <c r="D6" t="s">
        <v>61</v>
      </c>
      <c r="E6" t="s">
        <v>14</v>
      </c>
      <c r="F6" s="49">
        <v>46055</v>
      </c>
      <c r="G6" s="49">
        <v>46055</v>
      </c>
      <c r="H6" t="s">
        <v>130</v>
      </c>
      <c r="I6" t="s">
        <v>15</v>
      </c>
      <c r="J6">
        <v>1</v>
      </c>
      <c r="K6" t="s">
        <v>57</v>
      </c>
      <c r="L6" t="s">
        <v>31</v>
      </c>
    </row>
    <row r="7" spans="1:12" x14ac:dyDescent="0.35">
      <c r="A7" t="s">
        <v>27</v>
      </c>
      <c r="B7" t="s">
        <v>69</v>
      </c>
      <c r="C7" t="s">
        <v>70</v>
      </c>
      <c r="D7" t="s">
        <v>61</v>
      </c>
      <c r="E7" t="s">
        <v>14</v>
      </c>
      <c r="F7" s="49">
        <v>46024</v>
      </c>
      <c r="G7" s="49">
        <v>46024</v>
      </c>
      <c r="H7" t="s">
        <v>14</v>
      </c>
      <c r="I7" t="s">
        <v>15</v>
      </c>
      <c r="J7">
        <v>1</v>
      </c>
      <c r="K7" t="s">
        <v>57</v>
      </c>
      <c r="L7" t="s">
        <v>31</v>
      </c>
    </row>
    <row r="8" spans="1:12" x14ac:dyDescent="0.35">
      <c r="A8" t="s">
        <v>26</v>
      </c>
      <c r="B8" t="s">
        <v>71</v>
      </c>
      <c r="C8" t="s">
        <v>70</v>
      </c>
      <c r="D8" t="s">
        <v>64</v>
      </c>
      <c r="E8" t="s">
        <v>14</v>
      </c>
      <c r="F8" s="49">
        <v>46024</v>
      </c>
      <c r="G8" s="49">
        <v>46024</v>
      </c>
      <c r="H8" t="s">
        <v>14</v>
      </c>
      <c r="I8" t="s">
        <v>15</v>
      </c>
      <c r="J8">
        <v>1</v>
      </c>
      <c r="K8" t="s">
        <v>57</v>
      </c>
      <c r="L8" t="s">
        <v>13</v>
      </c>
    </row>
    <row r="9" spans="1:12" x14ac:dyDescent="0.35">
      <c r="A9" t="s">
        <v>25</v>
      </c>
      <c r="B9" t="s">
        <v>72</v>
      </c>
      <c r="C9" t="s">
        <v>73</v>
      </c>
      <c r="D9" t="s">
        <v>61</v>
      </c>
      <c r="E9" t="s">
        <v>14</v>
      </c>
      <c r="F9" s="49">
        <v>46024</v>
      </c>
      <c r="G9" s="49">
        <v>46024</v>
      </c>
      <c r="H9" t="s">
        <v>14</v>
      </c>
      <c r="I9" t="s">
        <v>15</v>
      </c>
      <c r="J9">
        <v>1</v>
      </c>
      <c r="K9" t="s">
        <v>57</v>
      </c>
      <c r="L9" t="s">
        <v>24</v>
      </c>
    </row>
    <row r="10" spans="1:12" x14ac:dyDescent="0.35">
      <c r="A10" t="s">
        <v>17</v>
      </c>
      <c r="B10" t="s">
        <v>74</v>
      </c>
      <c r="C10" t="s">
        <v>70</v>
      </c>
      <c r="D10" t="s">
        <v>61</v>
      </c>
      <c r="E10" t="s">
        <v>14</v>
      </c>
      <c r="F10" s="49">
        <v>46024</v>
      </c>
      <c r="G10" s="49">
        <v>46024</v>
      </c>
      <c r="H10" t="s">
        <v>14</v>
      </c>
      <c r="I10" t="s">
        <v>15</v>
      </c>
      <c r="J10">
        <v>1</v>
      </c>
      <c r="K10" t="s">
        <v>57</v>
      </c>
      <c r="L10" t="s">
        <v>13</v>
      </c>
    </row>
    <row r="11" spans="1:12" x14ac:dyDescent="0.35">
      <c r="A11" t="s">
        <v>16</v>
      </c>
      <c r="B11" t="s">
        <v>75</v>
      </c>
      <c r="C11" t="s">
        <v>55</v>
      </c>
      <c r="D11" t="s">
        <v>64</v>
      </c>
      <c r="E11" t="s">
        <v>14</v>
      </c>
      <c r="F11" s="49">
        <v>46024</v>
      </c>
      <c r="G11" s="49">
        <v>46024</v>
      </c>
      <c r="H11" t="s">
        <v>14</v>
      </c>
      <c r="I11" t="s">
        <v>15</v>
      </c>
      <c r="J11">
        <v>1</v>
      </c>
      <c r="K11" t="s">
        <v>57</v>
      </c>
      <c r="L11" t="s">
        <v>33</v>
      </c>
    </row>
    <row r="12" spans="1:12" x14ac:dyDescent="0.35">
      <c r="A12" t="s">
        <v>41</v>
      </c>
      <c r="B12" t="s">
        <v>76</v>
      </c>
      <c r="C12" t="s">
        <v>55</v>
      </c>
      <c r="D12" t="s">
        <v>61</v>
      </c>
      <c r="E12" t="s">
        <v>14</v>
      </c>
      <c r="F12" s="49">
        <v>46024</v>
      </c>
      <c r="G12" s="49">
        <v>46024</v>
      </c>
      <c r="H12" t="s">
        <v>14</v>
      </c>
      <c r="I12" t="s">
        <v>15</v>
      </c>
      <c r="J12">
        <v>1</v>
      </c>
      <c r="K12" t="s">
        <v>57</v>
      </c>
      <c r="L12" t="s">
        <v>13</v>
      </c>
    </row>
    <row r="13" spans="1:12" x14ac:dyDescent="0.35">
      <c r="A13" t="s">
        <v>39</v>
      </c>
      <c r="B13" t="s">
        <v>77</v>
      </c>
      <c r="C13" t="s">
        <v>55</v>
      </c>
      <c r="D13" t="s">
        <v>61</v>
      </c>
      <c r="E13" t="s">
        <v>14</v>
      </c>
      <c r="F13" s="49">
        <v>46024</v>
      </c>
      <c r="G13" s="49">
        <v>46024</v>
      </c>
      <c r="H13" t="s">
        <v>14</v>
      </c>
      <c r="I13" t="s">
        <v>15</v>
      </c>
      <c r="J13">
        <v>1</v>
      </c>
      <c r="K13" t="s">
        <v>57</v>
      </c>
      <c r="L13" t="s">
        <v>33</v>
      </c>
    </row>
    <row r="14" spans="1:12" x14ac:dyDescent="0.35">
      <c r="A14" t="s">
        <v>46</v>
      </c>
      <c r="B14" t="s">
        <v>78</v>
      </c>
      <c r="C14" t="s">
        <v>60</v>
      </c>
      <c r="D14" t="s">
        <v>61</v>
      </c>
      <c r="E14" t="s">
        <v>14</v>
      </c>
      <c r="F14" s="49">
        <v>46024</v>
      </c>
      <c r="G14" s="49">
        <v>46024</v>
      </c>
      <c r="H14" t="s">
        <v>14</v>
      </c>
      <c r="I14" t="s">
        <v>15</v>
      </c>
      <c r="J14">
        <v>1</v>
      </c>
      <c r="K14" t="s">
        <v>57</v>
      </c>
      <c r="L14" t="s">
        <v>13</v>
      </c>
    </row>
    <row r="15" spans="1:12" x14ac:dyDescent="0.35">
      <c r="A15" t="s">
        <v>45</v>
      </c>
      <c r="B15" t="s">
        <v>79</v>
      </c>
      <c r="C15" t="s">
        <v>63</v>
      </c>
      <c r="D15" t="s">
        <v>64</v>
      </c>
      <c r="E15" t="s">
        <v>14</v>
      </c>
      <c r="F15" s="49">
        <v>46024</v>
      </c>
      <c r="G15" s="49">
        <v>46024</v>
      </c>
      <c r="H15" t="s">
        <v>14</v>
      </c>
      <c r="I15" t="s">
        <v>15</v>
      </c>
      <c r="J15">
        <v>1</v>
      </c>
      <c r="K15" t="s">
        <v>57</v>
      </c>
      <c r="L15" t="s">
        <v>31</v>
      </c>
    </row>
    <row r="16" spans="1:12" x14ac:dyDescent="0.35">
      <c r="A16" t="s">
        <v>36</v>
      </c>
      <c r="B16" t="s">
        <v>80</v>
      </c>
      <c r="C16" t="s">
        <v>60</v>
      </c>
      <c r="D16" t="s">
        <v>61</v>
      </c>
      <c r="E16" t="s">
        <v>14</v>
      </c>
      <c r="F16" s="49">
        <v>46038</v>
      </c>
      <c r="G16" s="49">
        <v>46041</v>
      </c>
      <c r="H16" t="s">
        <v>14</v>
      </c>
      <c r="I16" t="s">
        <v>15</v>
      </c>
      <c r="J16">
        <v>2</v>
      </c>
      <c r="K16" t="s">
        <v>57</v>
      </c>
      <c r="L16" t="s">
        <v>13</v>
      </c>
    </row>
    <row r="17" spans="1:12" x14ac:dyDescent="0.35">
      <c r="A17" t="s">
        <v>35</v>
      </c>
      <c r="B17" t="s">
        <v>81</v>
      </c>
      <c r="C17" t="s">
        <v>66</v>
      </c>
      <c r="D17" t="s">
        <v>82</v>
      </c>
      <c r="E17" t="s">
        <v>14</v>
      </c>
      <c r="F17" s="49">
        <v>46030</v>
      </c>
      <c r="G17" s="49">
        <v>46034</v>
      </c>
      <c r="H17" t="s">
        <v>14</v>
      </c>
      <c r="I17" t="s">
        <v>15</v>
      </c>
      <c r="J17">
        <v>3</v>
      </c>
      <c r="K17" t="s">
        <v>57</v>
      </c>
      <c r="L17" t="s">
        <v>24</v>
      </c>
    </row>
    <row r="18" spans="1:12" x14ac:dyDescent="0.35">
      <c r="A18" t="s">
        <v>24</v>
      </c>
      <c r="B18" t="s">
        <v>83</v>
      </c>
      <c r="C18" t="s">
        <v>84</v>
      </c>
      <c r="D18" t="s">
        <v>64</v>
      </c>
      <c r="E18" t="s">
        <v>14</v>
      </c>
      <c r="F18" s="49">
        <v>46024</v>
      </c>
      <c r="G18" s="49">
        <v>46031</v>
      </c>
      <c r="H18" t="s">
        <v>14</v>
      </c>
      <c r="I18" t="s">
        <v>15</v>
      </c>
      <c r="J18">
        <v>6</v>
      </c>
      <c r="K18" t="s">
        <v>57</v>
      </c>
      <c r="L18">
        <v>0</v>
      </c>
    </row>
    <row r="19" spans="1:12" x14ac:dyDescent="0.35">
      <c r="A19" t="s">
        <v>20</v>
      </c>
      <c r="B19" t="s">
        <v>85</v>
      </c>
      <c r="C19" t="s">
        <v>70</v>
      </c>
      <c r="D19" t="s">
        <v>64</v>
      </c>
      <c r="E19" t="s">
        <v>14</v>
      </c>
      <c r="F19" s="49">
        <v>46030</v>
      </c>
      <c r="G19" s="49">
        <v>46031</v>
      </c>
      <c r="H19" t="s">
        <v>14</v>
      </c>
      <c r="I19" t="s">
        <v>15</v>
      </c>
      <c r="J19">
        <v>2</v>
      </c>
      <c r="K19" t="s">
        <v>57</v>
      </c>
      <c r="L19" t="s">
        <v>31</v>
      </c>
    </row>
    <row r="20" spans="1:12" x14ac:dyDescent="0.35">
      <c r="A20" t="s">
        <v>30</v>
      </c>
      <c r="B20" t="s">
        <v>65</v>
      </c>
      <c r="C20" t="s">
        <v>66</v>
      </c>
      <c r="D20" t="s">
        <v>64</v>
      </c>
      <c r="E20" t="s">
        <v>18</v>
      </c>
      <c r="F20" s="49">
        <v>46029</v>
      </c>
      <c r="G20" s="49">
        <v>46029</v>
      </c>
      <c r="H20" t="s">
        <v>19</v>
      </c>
      <c r="I20" t="s">
        <v>15</v>
      </c>
      <c r="J20">
        <v>1</v>
      </c>
      <c r="K20" t="s">
        <v>57</v>
      </c>
      <c r="L20" t="s">
        <v>24</v>
      </c>
    </row>
    <row r="21" spans="1:12" x14ac:dyDescent="0.35">
      <c r="A21" t="s">
        <v>39</v>
      </c>
      <c r="B21" t="s">
        <v>77</v>
      </c>
      <c r="C21" t="s">
        <v>55</v>
      </c>
      <c r="D21" t="s">
        <v>61</v>
      </c>
      <c r="E21" t="s">
        <v>14</v>
      </c>
      <c r="F21" s="49">
        <v>46038</v>
      </c>
      <c r="G21" s="49">
        <v>46038</v>
      </c>
      <c r="H21" t="s">
        <v>14</v>
      </c>
      <c r="I21" t="s">
        <v>15</v>
      </c>
      <c r="J21">
        <v>1</v>
      </c>
      <c r="K21" t="s">
        <v>57</v>
      </c>
      <c r="L21" t="s">
        <v>33</v>
      </c>
    </row>
    <row r="22" spans="1:12" x14ac:dyDescent="0.35">
      <c r="A22" t="s">
        <v>23</v>
      </c>
      <c r="B22" t="s">
        <v>86</v>
      </c>
      <c r="C22" t="s">
        <v>84</v>
      </c>
      <c r="D22" t="s">
        <v>82</v>
      </c>
      <c r="E22" t="s">
        <v>14</v>
      </c>
      <c r="F22" s="49">
        <v>46038</v>
      </c>
      <c r="G22" s="49">
        <v>46038</v>
      </c>
      <c r="H22" t="s">
        <v>14</v>
      </c>
      <c r="I22" t="s">
        <v>15</v>
      </c>
      <c r="J22">
        <v>1</v>
      </c>
      <c r="K22" t="s">
        <v>57</v>
      </c>
      <c r="L22" t="s">
        <v>24</v>
      </c>
    </row>
    <row r="23" spans="1:12" x14ac:dyDescent="0.35">
      <c r="A23" t="s">
        <v>27</v>
      </c>
      <c r="B23" t="s">
        <v>69</v>
      </c>
      <c r="C23" t="s">
        <v>70</v>
      </c>
      <c r="D23" t="s">
        <v>61</v>
      </c>
      <c r="E23" t="s">
        <v>18</v>
      </c>
      <c r="F23" s="49">
        <v>46038</v>
      </c>
      <c r="G23" s="49">
        <v>46038</v>
      </c>
      <c r="H23" t="s">
        <v>19</v>
      </c>
      <c r="I23" t="s">
        <v>15</v>
      </c>
      <c r="J23">
        <v>1</v>
      </c>
      <c r="K23" t="s">
        <v>57</v>
      </c>
      <c r="L23" t="s">
        <v>31</v>
      </c>
    </row>
    <row r="24" spans="1:12" x14ac:dyDescent="0.35">
      <c r="A24" t="s">
        <v>40</v>
      </c>
      <c r="B24" t="s">
        <v>87</v>
      </c>
      <c r="C24" t="s">
        <v>73</v>
      </c>
      <c r="D24" t="s">
        <v>61</v>
      </c>
      <c r="E24" t="s">
        <v>14</v>
      </c>
      <c r="F24" s="49">
        <v>46049</v>
      </c>
      <c r="G24" s="49">
        <v>46049</v>
      </c>
      <c r="H24" t="s">
        <v>48</v>
      </c>
      <c r="I24" t="s">
        <v>15</v>
      </c>
      <c r="J24">
        <v>1</v>
      </c>
      <c r="K24" t="s">
        <v>49</v>
      </c>
      <c r="L24" t="s">
        <v>24</v>
      </c>
    </row>
    <row r="25" spans="1:12" x14ac:dyDescent="0.35">
      <c r="A25" t="s">
        <v>28</v>
      </c>
      <c r="B25" t="s">
        <v>88</v>
      </c>
      <c r="C25" t="s">
        <v>60</v>
      </c>
      <c r="D25" t="s">
        <v>82</v>
      </c>
      <c r="E25" t="s">
        <v>18</v>
      </c>
      <c r="F25" s="49">
        <v>46042</v>
      </c>
      <c r="G25" s="49">
        <v>46042</v>
      </c>
      <c r="H25" t="s">
        <v>19</v>
      </c>
      <c r="I25" t="s">
        <v>15</v>
      </c>
      <c r="J25">
        <v>1</v>
      </c>
      <c r="K25" t="s">
        <v>57</v>
      </c>
      <c r="L25" t="s">
        <v>13</v>
      </c>
    </row>
    <row r="26" spans="1:12" x14ac:dyDescent="0.35">
      <c r="A26" t="s">
        <v>50</v>
      </c>
      <c r="B26" t="s">
        <v>89</v>
      </c>
      <c r="C26" t="s">
        <v>63</v>
      </c>
      <c r="D26" t="s">
        <v>61</v>
      </c>
      <c r="E26" t="s">
        <v>18</v>
      </c>
      <c r="F26" s="49">
        <v>46049</v>
      </c>
      <c r="G26" s="49">
        <v>46050</v>
      </c>
      <c r="H26" t="s">
        <v>19</v>
      </c>
      <c r="I26" t="s">
        <v>15</v>
      </c>
      <c r="J26">
        <v>2</v>
      </c>
      <c r="K26" t="s">
        <v>57</v>
      </c>
      <c r="L26" t="s">
        <v>13</v>
      </c>
    </row>
    <row r="27" spans="1:12" x14ac:dyDescent="0.35">
      <c r="A27" t="s">
        <v>38</v>
      </c>
      <c r="B27" t="s">
        <v>90</v>
      </c>
      <c r="C27" t="s">
        <v>70</v>
      </c>
      <c r="D27" t="s">
        <v>56</v>
      </c>
      <c r="E27" t="s">
        <v>18</v>
      </c>
      <c r="F27" s="49">
        <v>46050</v>
      </c>
      <c r="G27" s="49">
        <v>46050</v>
      </c>
      <c r="H27" t="s">
        <v>19</v>
      </c>
      <c r="I27" t="s">
        <v>15</v>
      </c>
      <c r="J27">
        <v>1</v>
      </c>
      <c r="K27" t="s">
        <v>57</v>
      </c>
      <c r="L27" t="s">
        <v>13</v>
      </c>
    </row>
    <row r="28" spans="1:12" x14ac:dyDescent="0.35">
      <c r="A28" t="s">
        <v>50</v>
      </c>
      <c r="B28" t="s">
        <v>89</v>
      </c>
      <c r="C28" t="s">
        <v>63</v>
      </c>
      <c r="D28" t="s">
        <v>61</v>
      </c>
      <c r="E28" t="s">
        <v>18</v>
      </c>
      <c r="F28" s="49">
        <v>46049</v>
      </c>
      <c r="G28" s="49">
        <v>46050</v>
      </c>
      <c r="H28" t="s">
        <v>19</v>
      </c>
      <c r="I28" t="s">
        <v>15</v>
      </c>
      <c r="J28">
        <v>2</v>
      </c>
      <c r="K28" t="s">
        <v>57</v>
      </c>
      <c r="L28" t="s">
        <v>13</v>
      </c>
    </row>
    <row r="29" spans="1:12" x14ac:dyDescent="0.35">
      <c r="A29" t="s">
        <v>29</v>
      </c>
      <c r="B29" t="s">
        <v>67</v>
      </c>
      <c r="C29" t="s">
        <v>68</v>
      </c>
      <c r="D29" t="s">
        <v>61</v>
      </c>
      <c r="E29" t="s">
        <v>18</v>
      </c>
      <c r="F29" s="49">
        <v>46049</v>
      </c>
      <c r="G29" s="49">
        <v>46050</v>
      </c>
      <c r="H29" t="s">
        <v>51</v>
      </c>
      <c r="I29" t="s">
        <v>15</v>
      </c>
      <c r="J29">
        <v>2</v>
      </c>
      <c r="K29" t="s">
        <v>57</v>
      </c>
      <c r="L29" t="s">
        <v>13</v>
      </c>
    </row>
    <row r="30" spans="1:12" x14ac:dyDescent="0.35">
      <c r="A30" t="s">
        <v>34</v>
      </c>
      <c r="B30" t="s">
        <v>91</v>
      </c>
      <c r="C30" t="s">
        <v>55</v>
      </c>
      <c r="D30" t="s">
        <v>64</v>
      </c>
      <c r="E30" t="s">
        <v>14</v>
      </c>
      <c r="F30" s="49">
        <v>46049</v>
      </c>
      <c r="G30" s="49">
        <v>46073</v>
      </c>
      <c r="H30" t="s">
        <v>52</v>
      </c>
      <c r="I30" t="s">
        <v>15</v>
      </c>
      <c r="J30">
        <v>19</v>
      </c>
      <c r="K30" t="s">
        <v>49</v>
      </c>
      <c r="L30" t="s">
        <v>13</v>
      </c>
    </row>
    <row r="31" spans="1:12" x14ac:dyDescent="0.35">
      <c r="A31" t="s">
        <v>53</v>
      </c>
      <c r="F31" s="49">
        <v>46034</v>
      </c>
    </row>
  </sheetData>
  <pageMargins left="0.75" right="0.75" top="0.75" bottom="0.5" header="0.5" footer="0.7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D30DAE-EE26-4FE8-9703-42C8D5C16883}">
  <sheetPr codeName="Sheet17"/>
  <dimension ref="A1:D35"/>
  <sheetViews>
    <sheetView tabSelected="1" workbookViewId="0">
      <selection activeCell="K55" sqref="K55"/>
    </sheetView>
  </sheetViews>
  <sheetFormatPr defaultRowHeight="14.5" x14ac:dyDescent="0.35"/>
  <cols>
    <col min="1" max="1" width="23.36328125" bestFit="1" customWidth="1"/>
    <col min="2" max="2" width="28.08984375" bestFit="1" customWidth="1"/>
    <col min="3" max="3" width="10.1796875" bestFit="1" customWidth="1"/>
    <col min="4" max="4" width="7.90625" bestFit="1" customWidth="1"/>
  </cols>
  <sheetData>
    <row r="1" spans="1:4" x14ac:dyDescent="0.35">
      <c r="A1" s="50" t="s">
        <v>135</v>
      </c>
      <c r="B1" s="50" t="s">
        <v>136</v>
      </c>
      <c r="C1" s="50" t="s">
        <v>137</v>
      </c>
      <c r="D1" s="50" t="s">
        <v>138</v>
      </c>
    </row>
    <row r="2" spans="1:4" ht="15.5" x14ac:dyDescent="0.35">
      <c r="A2" s="51" t="s">
        <v>13</v>
      </c>
      <c r="B2" s="52" t="s">
        <v>139</v>
      </c>
      <c r="C2" s="53" t="s">
        <v>55</v>
      </c>
      <c r="D2" s="54" t="s">
        <v>64</v>
      </c>
    </row>
    <row r="3" spans="1:4" ht="15.5" x14ac:dyDescent="0.35">
      <c r="A3" s="55" t="s">
        <v>34</v>
      </c>
      <c r="B3" s="52" t="s">
        <v>91</v>
      </c>
      <c r="C3" s="53" t="s">
        <v>55</v>
      </c>
      <c r="D3" s="54" t="s">
        <v>64</v>
      </c>
    </row>
    <row r="4" spans="1:4" ht="15.5" x14ac:dyDescent="0.35">
      <c r="A4" s="55" t="s">
        <v>16</v>
      </c>
      <c r="B4" s="53" t="s">
        <v>75</v>
      </c>
      <c r="C4" s="53" t="s">
        <v>55</v>
      </c>
      <c r="D4" s="54" t="s">
        <v>64</v>
      </c>
    </row>
    <row r="5" spans="1:4" ht="15.5" x14ac:dyDescent="0.35">
      <c r="A5" s="55" t="s">
        <v>37</v>
      </c>
      <c r="B5" s="52" t="s">
        <v>140</v>
      </c>
      <c r="C5" s="53" t="s">
        <v>55</v>
      </c>
      <c r="D5" s="54" t="s">
        <v>64</v>
      </c>
    </row>
    <row r="6" spans="1:4" ht="15.5" x14ac:dyDescent="0.35">
      <c r="A6" s="55" t="s">
        <v>33</v>
      </c>
      <c r="B6" s="52" t="s">
        <v>141</v>
      </c>
      <c r="C6" s="53" t="s">
        <v>55</v>
      </c>
      <c r="D6" s="54" t="s">
        <v>56</v>
      </c>
    </row>
    <row r="7" spans="1:4" ht="15.5" x14ac:dyDescent="0.35">
      <c r="A7" s="56" t="s">
        <v>41</v>
      </c>
      <c r="B7" s="57" t="s">
        <v>76</v>
      </c>
      <c r="C7" s="53" t="s">
        <v>55</v>
      </c>
      <c r="D7" s="54" t="s">
        <v>61</v>
      </c>
    </row>
    <row r="8" spans="1:4" ht="15.5" x14ac:dyDescent="0.35">
      <c r="A8" s="55" t="s">
        <v>39</v>
      </c>
      <c r="B8" s="58" t="s">
        <v>77</v>
      </c>
      <c r="C8" s="53" t="s">
        <v>55</v>
      </c>
      <c r="D8" s="54" t="s">
        <v>61</v>
      </c>
    </row>
    <row r="9" spans="1:4" ht="15.5" x14ac:dyDescent="0.35">
      <c r="A9" s="55" t="s">
        <v>42</v>
      </c>
      <c r="B9" s="58" t="s">
        <v>54</v>
      </c>
      <c r="C9" s="53" t="s">
        <v>55</v>
      </c>
      <c r="D9" s="54" t="s">
        <v>61</v>
      </c>
    </row>
    <row r="10" spans="1:4" ht="15.5" x14ac:dyDescent="0.35">
      <c r="A10" s="55" t="s">
        <v>31</v>
      </c>
      <c r="B10" s="52" t="s">
        <v>58</v>
      </c>
      <c r="C10" s="53" t="s">
        <v>63</v>
      </c>
      <c r="D10" s="54" t="s">
        <v>64</v>
      </c>
    </row>
    <row r="11" spans="1:4" ht="15.5" x14ac:dyDescent="0.35">
      <c r="A11" s="55" t="s">
        <v>36</v>
      </c>
      <c r="B11" s="52" t="s">
        <v>80</v>
      </c>
      <c r="C11" s="53" t="s">
        <v>60</v>
      </c>
      <c r="D11" s="54" t="s">
        <v>61</v>
      </c>
    </row>
    <row r="12" spans="1:4" ht="15.5" x14ac:dyDescent="0.35">
      <c r="A12" s="55" t="s">
        <v>32</v>
      </c>
      <c r="B12" s="52" t="s">
        <v>142</v>
      </c>
      <c r="C12" s="53" t="s">
        <v>60</v>
      </c>
      <c r="D12" s="54" t="s">
        <v>61</v>
      </c>
    </row>
    <row r="13" spans="1:4" ht="15.5" x14ac:dyDescent="0.35">
      <c r="A13" s="55" t="s">
        <v>28</v>
      </c>
      <c r="B13" s="52" t="s">
        <v>88</v>
      </c>
      <c r="C13" s="53" t="s">
        <v>60</v>
      </c>
      <c r="D13" s="54" t="s">
        <v>82</v>
      </c>
    </row>
    <row r="14" spans="1:4" ht="15.5" x14ac:dyDescent="0.35">
      <c r="A14" s="55" t="s">
        <v>30</v>
      </c>
      <c r="B14" s="52" t="s">
        <v>65</v>
      </c>
      <c r="C14" s="53" t="s">
        <v>66</v>
      </c>
      <c r="D14" s="54" t="s">
        <v>64</v>
      </c>
    </row>
    <row r="15" spans="1:4" ht="15.5" x14ac:dyDescent="0.35">
      <c r="A15" s="55" t="s">
        <v>21</v>
      </c>
      <c r="B15" s="52" t="s">
        <v>143</v>
      </c>
      <c r="C15" s="53" t="s">
        <v>66</v>
      </c>
      <c r="D15" s="54" t="s">
        <v>64</v>
      </c>
    </row>
    <row r="16" spans="1:4" ht="15.5" x14ac:dyDescent="0.35">
      <c r="A16" s="55" t="s">
        <v>35</v>
      </c>
      <c r="B16" s="52" t="s">
        <v>81</v>
      </c>
      <c r="C16" s="53" t="s">
        <v>66</v>
      </c>
      <c r="D16" s="54" t="s">
        <v>82</v>
      </c>
    </row>
    <row r="17" spans="1:4" ht="15.5" x14ac:dyDescent="0.35">
      <c r="A17" s="55" t="s">
        <v>43</v>
      </c>
      <c r="B17" s="53" t="s">
        <v>144</v>
      </c>
      <c r="C17" s="53" t="s">
        <v>66</v>
      </c>
      <c r="D17" s="54" t="s">
        <v>61</v>
      </c>
    </row>
    <row r="18" spans="1:4" ht="15.5" x14ac:dyDescent="0.35">
      <c r="A18" s="55" t="s">
        <v>29</v>
      </c>
      <c r="B18" s="52" t="s">
        <v>67</v>
      </c>
      <c r="C18" s="53" t="s">
        <v>68</v>
      </c>
      <c r="D18" s="54" t="s">
        <v>61</v>
      </c>
    </row>
    <row r="19" spans="1:4" ht="15.5" x14ac:dyDescent="0.35">
      <c r="A19" s="55" t="s">
        <v>26</v>
      </c>
      <c r="B19" s="59" t="s">
        <v>71</v>
      </c>
      <c r="C19" s="53" t="s">
        <v>70</v>
      </c>
      <c r="D19" s="54" t="s">
        <v>64</v>
      </c>
    </row>
    <row r="20" spans="1:4" ht="15.5" x14ac:dyDescent="0.35">
      <c r="A20" s="55" t="s">
        <v>27</v>
      </c>
      <c r="B20" s="52" t="s">
        <v>69</v>
      </c>
      <c r="C20" s="53" t="s">
        <v>70</v>
      </c>
      <c r="D20" s="54" t="s">
        <v>61</v>
      </c>
    </row>
    <row r="21" spans="1:4" ht="15.5" x14ac:dyDescent="0.35">
      <c r="A21" s="55" t="s">
        <v>20</v>
      </c>
      <c r="B21" s="57" t="s">
        <v>85</v>
      </c>
      <c r="C21" s="53" t="s">
        <v>70</v>
      </c>
      <c r="D21" s="54" t="s">
        <v>64</v>
      </c>
    </row>
    <row r="22" spans="1:4" ht="15.5" x14ac:dyDescent="0.35">
      <c r="A22" s="55" t="s">
        <v>38</v>
      </c>
      <c r="B22" s="52" t="s">
        <v>90</v>
      </c>
      <c r="C22" s="53" t="s">
        <v>70</v>
      </c>
      <c r="D22" s="54" t="s">
        <v>56</v>
      </c>
    </row>
    <row r="23" spans="1:4" ht="15.5" x14ac:dyDescent="0.35">
      <c r="A23" s="55" t="s">
        <v>25</v>
      </c>
      <c r="B23" s="57" t="s">
        <v>72</v>
      </c>
      <c r="C23" s="53" t="s">
        <v>73</v>
      </c>
      <c r="D23" s="54" t="s">
        <v>61</v>
      </c>
    </row>
    <row r="24" spans="1:4" ht="15.5" x14ac:dyDescent="0.35">
      <c r="A24" s="55" t="s">
        <v>40</v>
      </c>
      <c r="B24" s="57" t="s">
        <v>87</v>
      </c>
      <c r="C24" s="53" t="s">
        <v>73</v>
      </c>
      <c r="D24" s="54" t="s">
        <v>61</v>
      </c>
    </row>
    <row r="25" spans="1:4" ht="15.5" x14ac:dyDescent="0.35">
      <c r="A25" s="55" t="s">
        <v>24</v>
      </c>
      <c r="B25" s="57" t="s">
        <v>83</v>
      </c>
      <c r="C25" s="53" t="s">
        <v>84</v>
      </c>
      <c r="D25" s="54" t="s">
        <v>64</v>
      </c>
    </row>
    <row r="26" spans="1:4" ht="15.5" x14ac:dyDescent="0.35">
      <c r="A26" s="56" t="s">
        <v>23</v>
      </c>
      <c r="B26" s="60" t="s">
        <v>86</v>
      </c>
      <c r="C26" s="61" t="s">
        <v>84</v>
      </c>
      <c r="D26" s="62" t="s">
        <v>82</v>
      </c>
    </row>
    <row r="27" spans="1:4" ht="15.5" x14ac:dyDescent="0.35">
      <c r="A27" s="56" t="s">
        <v>50</v>
      </c>
      <c r="B27" s="60" t="s">
        <v>89</v>
      </c>
      <c r="C27" s="61" t="s">
        <v>63</v>
      </c>
      <c r="D27" s="61" t="s">
        <v>61</v>
      </c>
    </row>
    <row r="28" spans="1:4" ht="15.5" x14ac:dyDescent="0.35">
      <c r="A28" s="56" t="s">
        <v>45</v>
      </c>
      <c r="B28" s="60" t="s">
        <v>79</v>
      </c>
      <c r="C28" s="61" t="s">
        <v>63</v>
      </c>
      <c r="D28" s="61" t="s">
        <v>64</v>
      </c>
    </row>
    <row r="29" spans="1:4" ht="15.5" x14ac:dyDescent="0.35">
      <c r="A29" s="56" t="s">
        <v>113</v>
      </c>
      <c r="B29" s="60" t="s">
        <v>145</v>
      </c>
      <c r="C29" s="61" t="s">
        <v>146</v>
      </c>
      <c r="D29" s="61" t="s">
        <v>61</v>
      </c>
    </row>
    <row r="30" spans="1:4" ht="15.5" x14ac:dyDescent="0.35">
      <c r="A30" s="56" t="s">
        <v>46</v>
      </c>
      <c r="B30" s="60" t="s">
        <v>78</v>
      </c>
      <c r="C30" s="61" t="s">
        <v>60</v>
      </c>
      <c r="D30" s="61" t="s">
        <v>61</v>
      </c>
    </row>
    <row r="31" spans="1:4" ht="15.5" x14ac:dyDescent="0.35">
      <c r="A31" s="56" t="s">
        <v>53</v>
      </c>
      <c r="B31" s="60" t="s">
        <v>131</v>
      </c>
      <c r="C31" s="61" t="s">
        <v>70</v>
      </c>
      <c r="D31" s="61" t="s">
        <v>64</v>
      </c>
    </row>
    <row r="32" spans="1:4" ht="15.5" x14ac:dyDescent="0.35">
      <c r="A32" s="55" t="s">
        <v>114</v>
      </c>
      <c r="B32" s="57" t="s">
        <v>147</v>
      </c>
      <c r="C32" s="53" t="s">
        <v>73</v>
      </c>
      <c r="D32" s="53" t="s">
        <v>61</v>
      </c>
    </row>
    <row r="33" spans="1:4" x14ac:dyDescent="0.35">
      <c r="A33" t="s">
        <v>132</v>
      </c>
      <c r="D33" s="63" t="s">
        <v>64</v>
      </c>
    </row>
    <row r="34" spans="1:4" x14ac:dyDescent="0.35">
      <c r="A34" t="s">
        <v>133</v>
      </c>
      <c r="D34" s="63" t="s">
        <v>64</v>
      </c>
    </row>
    <row r="35" spans="1:4" x14ac:dyDescent="0.35">
      <c r="A35" t="s">
        <v>134</v>
      </c>
      <c r="D35" s="63" t="s">
        <v>64</v>
      </c>
    </row>
  </sheetData>
  <hyperlinks>
    <hyperlink ref="B8" r:id="rId1" xr:uid="{6024F45F-12CE-4954-B0D8-77321A2385F4}"/>
    <hyperlink ref="B21" r:id="rId2" xr:uid="{4A6A80B2-67BC-476A-B796-5A987BED6637}"/>
    <hyperlink ref="B23" r:id="rId3" xr:uid="{D39AA58F-CD21-4B45-80BF-56654F549CE4}"/>
    <hyperlink ref="B24" r:id="rId4" xr:uid="{DC575EC3-6532-454C-9DF9-1A07C09E77B5}"/>
    <hyperlink ref="B25" r:id="rId5" xr:uid="{CD5FAC30-611B-41F0-A49E-79D7CF44BC53}"/>
    <hyperlink ref="B26" r:id="rId6" xr:uid="{A763B0E8-1537-407F-80FC-21C20A70F392}"/>
    <hyperlink ref="B29" r:id="rId7" xr:uid="{AD3CD22A-0A83-450B-9844-660909B4CFBC}"/>
    <hyperlink ref="B30" r:id="rId8" xr:uid="{B66945C7-6D6F-4431-B1DC-79775B9EBA42}"/>
    <hyperlink ref="B31" r:id="rId9" xr:uid="{F6245D2D-560A-41E2-9C46-204FD8452041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B011F-F8E5-4EE9-96E1-8B5D93E3B6EB}">
  <sheetPr codeName="Sheet2"/>
  <dimension ref="A1:B61"/>
  <sheetViews>
    <sheetView tabSelected="1" topLeftCell="A49" workbookViewId="0">
      <selection activeCell="K55" sqref="K55"/>
    </sheetView>
  </sheetViews>
  <sheetFormatPr defaultRowHeight="14.5" x14ac:dyDescent="0.35"/>
  <cols>
    <col min="1" max="1" width="8.36328125" bestFit="1" customWidth="1"/>
    <col min="2" max="2" width="13.54296875" bestFit="1" customWidth="1"/>
  </cols>
  <sheetData>
    <row r="1" spans="1:2" x14ac:dyDescent="0.35">
      <c r="A1" t="s">
        <v>138</v>
      </c>
      <c r="B1" t="s">
        <v>108</v>
      </c>
    </row>
    <row r="2" spans="1:2" x14ac:dyDescent="0.35">
      <c r="A2" t="s">
        <v>61</v>
      </c>
      <c r="B2" s="49">
        <v>46023</v>
      </c>
    </row>
    <row r="3" spans="1:2" x14ac:dyDescent="0.35">
      <c r="A3" t="s">
        <v>64</v>
      </c>
      <c r="B3" s="49">
        <v>46023</v>
      </c>
    </row>
    <row r="4" spans="1:2" x14ac:dyDescent="0.35">
      <c r="A4" t="s">
        <v>56</v>
      </c>
      <c r="B4" s="49">
        <v>46023</v>
      </c>
    </row>
    <row r="5" spans="1:2" x14ac:dyDescent="0.35">
      <c r="A5" t="s">
        <v>82</v>
      </c>
      <c r="B5" s="49">
        <v>46023</v>
      </c>
    </row>
    <row r="6" spans="1:2" x14ac:dyDescent="0.35">
      <c r="A6" t="s">
        <v>61</v>
      </c>
      <c r="B6" s="49">
        <v>46048</v>
      </c>
    </row>
    <row r="7" spans="1:2" x14ac:dyDescent="0.35">
      <c r="A7" t="s">
        <v>64</v>
      </c>
      <c r="B7" s="49">
        <v>46048</v>
      </c>
    </row>
    <row r="8" spans="1:2" x14ac:dyDescent="0.35">
      <c r="A8" t="s">
        <v>56</v>
      </c>
      <c r="B8" s="49">
        <v>46048</v>
      </c>
    </row>
    <row r="9" spans="1:2" x14ac:dyDescent="0.35">
      <c r="A9" t="s">
        <v>82</v>
      </c>
      <c r="B9" s="49">
        <v>46048</v>
      </c>
    </row>
    <row r="10" spans="1:2" x14ac:dyDescent="0.35">
      <c r="A10" t="s">
        <v>61</v>
      </c>
      <c r="B10" s="49">
        <v>46037</v>
      </c>
    </row>
    <row r="11" spans="1:2" x14ac:dyDescent="0.35">
      <c r="A11" t="s">
        <v>64</v>
      </c>
      <c r="B11" s="49">
        <v>46037</v>
      </c>
    </row>
    <row r="12" spans="1:2" x14ac:dyDescent="0.35">
      <c r="A12" t="s">
        <v>56</v>
      </c>
      <c r="B12" s="49">
        <v>46037</v>
      </c>
    </row>
    <row r="13" spans="1:2" x14ac:dyDescent="0.35">
      <c r="A13" t="s">
        <v>82</v>
      </c>
      <c r="B13" s="49">
        <v>46037</v>
      </c>
    </row>
    <row r="14" spans="1:2" x14ac:dyDescent="0.35">
      <c r="A14" t="s">
        <v>82</v>
      </c>
      <c r="B14" s="49">
        <v>46085</v>
      </c>
    </row>
    <row r="15" spans="1:2" x14ac:dyDescent="0.35">
      <c r="A15" t="s">
        <v>61</v>
      </c>
      <c r="B15" s="49">
        <v>46084</v>
      </c>
    </row>
    <row r="16" spans="1:2" x14ac:dyDescent="0.35">
      <c r="A16" t="s">
        <v>64</v>
      </c>
      <c r="B16" s="49">
        <v>46084</v>
      </c>
    </row>
    <row r="17" spans="1:2" x14ac:dyDescent="0.35">
      <c r="A17" t="s">
        <v>56</v>
      </c>
      <c r="B17" s="49">
        <v>46084</v>
      </c>
    </row>
    <row r="18" spans="1:2" x14ac:dyDescent="0.35">
      <c r="A18" t="s">
        <v>61</v>
      </c>
      <c r="B18" s="49">
        <v>46100</v>
      </c>
    </row>
    <row r="19" spans="1:2" x14ac:dyDescent="0.35">
      <c r="A19" t="s">
        <v>64</v>
      </c>
      <c r="B19" s="49">
        <v>46100</v>
      </c>
    </row>
    <row r="20" spans="1:2" x14ac:dyDescent="0.35">
      <c r="A20" t="s">
        <v>56</v>
      </c>
      <c r="B20" s="49">
        <v>46100</v>
      </c>
    </row>
    <row r="21" spans="1:2" x14ac:dyDescent="0.35">
      <c r="A21" t="s">
        <v>82</v>
      </c>
      <c r="B21" s="49">
        <v>46126</v>
      </c>
    </row>
    <row r="22" spans="1:2" x14ac:dyDescent="0.35">
      <c r="A22" t="s">
        <v>61</v>
      </c>
      <c r="B22" s="49">
        <v>46143</v>
      </c>
    </row>
    <row r="23" spans="1:2" x14ac:dyDescent="0.35">
      <c r="A23" t="s">
        <v>64</v>
      </c>
      <c r="B23" s="49">
        <v>46143</v>
      </c>
    </row>
    <row r="24" spans="1:2" x14ac:dyDescent="0.35">
      <c r="A24" t="s">
        <v>56</v>
      </c>
      <c r="B24" s="49">
        <v>46143</v>
      </c>
    </row>
    <row r="25" spans="1:2" x14ac:dyDescent="0.35">
      <c r="A25" t="s">
        <v>82</v>
      </c>
      <c r="B25" s="49">
        <v>46143</v>
      </c>
    </row>
    <row r="26" spans="1:2" x14ac:dyDescent="0.35">
      <c r="A26" t="s">
        <v>61</v>
      </c>
      <c r="B26" s="49">
        <v>46175</v>
      </c>
    </row>
    <row r="27" spans="1:2" x14ac:dyDescent="0.35">
      <c r="A27" t="s">
        <v>82</v>
      </c>
      <c r="B27" s="49">
        <v>46262</v>
      </c>
    </row>
    <row r="28" spans="1:2" x14ac:dyDescent="0.35">
      <c r="A28" t="s">
        <v>64</v>
      </c>
      <c r="B28" s="49">
        <v>46279</v>
      </c>
    </row>
    <row r="29" spans="1:2" x14ac:dyDescent="0.35">
      <c r="A29" t="s">
        <v>56</v>
      </c>
      <c r="B29" s="49">
        <v>46279</v>
      </c>
    </row>
    <row r="30" spans="1:2" x14ac:dyDescent="0.35">
      <c r="A30" t="s">
        <v>61</v>
      </c>
      <c r="B30" s="49">
        <v>46297</v>
      </c>
    </row>
    <row r="31" spans="1:2" x14ac:dyDescent="0.35">
      <c r="A31" t="s">
        <v>64</v>
      </c>
      <c r="B31" s="49">
        <v>46297</v>
      </c>
    </row>
    <row r="32" spans="1:2" x14ac:dyDescent="0.35">
      <c r="A32" t="s">
        <v>56</v>
      </c>
      <c r="B32" s="49">
        <v>46297</v>
      </c>
    </row>
    <row r="33" spans="1:2" x14ac:dyDescent="0.35">
      <c r="A33" t="s">
        <v>82</v>
      </c>
      <c r="B33" s="49">
        <v>46297</v>
      </c>
    </row>
    <row r="34" spans="1:2" x14ac:dyDescent="0.35">
      <c r="A34" t="s">
        <v>56</v>
      </c>
      <c r="B34" s="49">
        <v>46315</v>
      </c>
    </row>
    <row r="35" spans="1:2" x14ac:dyDescent="0.35">
      <c r="A35" t="s">
        <v>82</v>
      </c>
      <c r="B35" s="49">
        <v>46315</v>
      </c>
    </row>
    <row r="36" spans="1:2" x14ac:dyDescent="0.35">
      <c r="A36" t="s">
        <v>61</v>
      </c>
      <c r="B36" s="49">
        <v>46315</v>
      </c>
    </row>
    <row r="37" spans="1:2" x14ac:dyDescent="0.35">
      <c r="A37" t="s">
        <v>64</v>
      </c>
      <c r="B37" s="49">
        <v>46316</v>
      </c>
    </row>
    <row r="38" spans="1:2" x14ac:dyDescent="0.35">
      <c r="A38" t="s">
        <v>56</v>
      </c>
      <c r="B38" s="49">
        <v>46335</v>
      </c>
    </row>
    <row r="39" spans="1:2" x14ac:dyDescent="0.35">
      <c r="A39" t="s">
        <v>82</v>
      </c>
      <c r="B39" s="49">
        <v>46335</v>
      </c>
    </row>
    <row r="40" spans="1:2" x14ac:dyDescent="0.35">
      <c r="A40" t="s">
        <v>61</v>
      </c>
      <c r="B40" s="49">
        <v>46335</v>
      </c>
    </row>
    <row r="41" spans="1:2" x14ac:dyDescent="0.35">
      <c r="A41" t="s">
        <v>64</v>
      </c>
      <c r="B41" s="49">
        <v>46335</v>
      </c>
    </row>
    <row r="42" spans="1:2" x14ac:dyDescent="0.35">
      <c r="A42" t="s">
        <v>56</v>
      </c>
      <c r="B42" s="49">
        <v>46381</v>
      </c>
    </row>
    <row r="43" spans="1:2" x14ac:dyDescent="0.35">
      <c r="A43" t="s">
        <v>82</v>
      </c>
      <c r="B43" s="49">
        <v>46381</v>
      </c>
    </row>
    <row r="44" spans="1:2" x14ac:dyDescent="0.35">
      <c r="A44" t="s">
        <v>61</v>
      </c>
      <c r="B44" s="49">
        <v>46381</v>
      </c>
    </row>
    <row r="45" spans="1:2" x14ac:dyDescent="0.35">
      <c r="A45" t="s">
        <v>64</v>
      </c>
      <c r="B45" s="49">
        <v>46381</v>
      </c>
    </row>
    <row r="46" spans="1:2" x14ac:dyDescent="0.35">
      <c r="A46" t="s">
        <v>56</v>
      </c>
      <c r="B46" s="49">
        <v>46384</v>
      </c>
    </row>
    <row r="47" spans="1:2" x14ac:dyDescent="0.35">
      <c r="A47" t="s">
        <v>82</v>
      </c>
      <c r="B47" s="49">
        <v>46384</v>
      </c>
    </row>
    <row r="48" spans="1:2" x14ac:dyDescent="0.35">
      <c r="A48" t="s">
        <v>61</v>
      </c>
      <c r="B48" s="49">
        <v>46384</v>
      </c>
    </row>
    <row r="49" spans="1:2" x14ac:dyDescent="0.35">
      <c r="A49" t="s">
        <v>64</v>
      </c>
      <c r="B49" s="49">
        <v>46384</v>
      </c>
    </row>
    <row r="50" spans="1:2" x14ac:dyDescent="0.35">
      <c r="A50" t="s">
        <v>56</v>
      </c>
      <c r="B50" s="49">
        <v>46385</v>
      </c>
    </row>
    <row r="51" spans="1:2" x14ac:dyDescent="0.35">
      <c r="A51" t="s">
        <v>82</v>
      </c>
      <c r="B51" s="49">
        <v>46385</v>
      </c>
    </row>
    <row r="52" spans="1:2" x14ac:dyDescent="0.35">
      <c r="A52" t="s">
        <v>61</v>
      </c>
      <c r="B52" s="49">
        <v>46385</v>
      </c>
    </row>
    <row r="53" spans="1:2" x14ac:dyDescent="0.35">
      <c r="A53" t="s">
        <v>64</v>
      </c>
      <c r="B53" s="49">
        <v>46385</v>
      </c>
    </row>
    <row r="54" spans="1:2" x14ac:dyDescent="0.35">
      <c r="A54" t="s">
        <v>56</v>
      </c>
      <c r="B54" s="49">
        <v>46386</v>
      </c>
    </row>
    <row r="55" spans="1:2" x14ac:dyDescent="0.35">
      <c r="A55" t="s">
        <v>82</v>
      </c>
      <c r="B55" s="49">
        <v>46386</v>
      </c>
    </row>
    <row r="56" spans="1:2" x14ac:dyDescent="0.35">
      <c r="A56" t="s">
        <v>61</v>
      </c>
      <c r="B56" s="49">
        <v>46386</v>
      </c>
    </row>
    <row r="57" spans="1:2" x14ac:dyDescent="0.35">
      <c r="A57" t="s">
        <v>64</v>
      </c>
      <c r="B57" s="49">
        <v>46386</v>
      </c>
    </row>
    <row r="58" spans="1:2" x14ac:dyDescent="0.35">
      <c r="A58" t="s">
        <v>56</v>
      </c>
      <c r="B58" s="49">
        <v>46387</v>
      </c>
    </row>
    <row r="59" spans="1:2" x14ac:dyDescent="0.35">
      <c r="A59" t="s">
        <v>82</v>
      </c>
      <c r="B59" s="49">
        <v>46387</v>
      </c>
    </row>
    <row r="60" spans="1:2" x14ac:dyDescent="0.35">
      <c r="A60" t="s">
        <v>61</v>
      </c>
      <c r="B60" s="49">
        <v>46387</v>
      </c>
    </row>
    <row r="61" spans="1:2" x14ac:dyDescent="0.35">
      <c r="A61" t="s">
        <v>64</v>
      </c>
      <c r="B61" s="49">
        <v>46387</v>
      </c>
    </row>
  </sheetData>
  <autoFilter ref="A1:B5" xr:uid="{597B011F-F8E5-4EE9-96E1-8B5D93E3B6EB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B58DD-C113-4A19-8440-C4C655A39066}">
  <sheetPr codeName="Sheet3"/>
  <dimension ref="A1:BC75"/>
  <sheetViews>
    <sheetView topLeftCell="A25" zoomScale="51" zoomScaleNormal="40" workbookViewId="0">
      <selection activeCell="AM35" sqref="AM35"/>
    </sheetView>
  </sheetViews>
  <sheetFormatPr defaultRowHeight="14.5" x14ac:dyDescent="0.35"/>
  <cols>
    <col min="1" max="1" width="36.1796875" customWidth="1"/>
    <col min="2" max="2" width="9.81640625" bestFit="1" customWidth="1"/>
    <col min="3" max="32" width="5.7265625" customWidth="1"/>
    <col min="33" max="33" width="19.7265625" customWidth="1"/>
    <col min="34" max="37" width="11.26953125" hidden="1" customWidth="1"/>
    <col min="38" max="38" width="9.1796875" customWidth="1"/>
    <col min="39" max="39" width="29.26953125" bestFit="1" customWidth="1"/>
  </cols>
  <sheetData>
    <row r="1" spans="1:55" ht="31.9" customHeight="1" x14ac:dyDescent="0.65">
      <c r="A1" s="66" t="s">
        <v>93</v>
      </c>
      <c r="B1" s="66"/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</row>
    <row r="2" spans="1:55" s="3" customFormat="1" ht="25.15" customHeight="1" x14ac:dyDescent="0.35">
      <c r="A2" s="67" t="s">
        <v>92</v>
      </c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  <c r="AA2" s="68"/>
      <c r="AB2" s="68"/>
      <c r="AC2" s="68"/>
      <c r="AD2" s="68"/>
      <c r="AE2" s="68"/>
      <c r="AF2" s="68"/>
      <c r="AG2" s="68"/>
      <c r="AH2" s="68"/>
      <c r="AI2" s="68"/>
      <c r="AJ2" s="68"/>
      <c r="AK2" s="68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</row>
    <row r="3" spans="1:55" s="3" customFormat="1" ht="9" customHeight="1" x14ac:dyDescent="0.35">
      <c r="A3" s="68"/>
      <c r="B3" s="68"/>
      <c r="C3" s="68"/>
      <c r="D3" s="68"/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68"/>
      <c r="S3" s="68"/>
      <c r="T3" s="68"/>
      <c r="U3" s="68"/>
      <c r="V3" s="68"/>
      <c r="W3" s="68"/>
      <c r="X3" s="68"/>
      <c r="Y3" s="68"/>
      <c r="Z3" s="68"/>
      <c r="AA3" s="68"/>
      <c r="AB3" s="68"/>
      <c r="AC3" s="68"/>
      <c r="AD3" s="68"/>
      <c r="AE3" s="68"/>
      <c r="AF3" s="68"/>
      <c r="AG3" s="68"/>
      <c r="AH3" s="68"/>
      <c r="AI3" s="68"/>
      <c r="AJ3" s="68"/>
      <c r="AK3" s="68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</row>
    <row r="4" spans="1:55" s="3" customFormat="1" ht="25.15" customHeight="1" x14ac:dyDescent="0.35">
      <c r="A4" s="69" t="s">
        <v>94</v>
      </c>
      <c r="B4" s="18" t="str">
        <f>IF(B5="","",INDEX({"Sun";"Mon";"Tue";"Wed";"Thu";"Fri";"Sat"},WEEKDAY(B5,1)))</f>
        <v>Thu</v>
      </c>
      <c r="C4" s="18" t="str">
        <f>IF(C5="","",INDEX({"Sun";"Mon";"Tue";"Wed";"Thu";"Fri";"Sat"},WEEKDAY(C5,1)))</f>
        <v>Fri</v>
      </c>
      <c r="D4" s="18" t="str">
        <f>IF(D5="","",INDEX({"Sun";"Mon";"Tue";"Wed";"Thu";"Fri";"Sat"},WEEKDAY(D5,1)))</f>
        <v>Sat</v>
      </c>
      <c r="E4" s="18" t="str">
        <f>IF(E5="","",INDEX({"Sun";"Mon";"Tue";"Wed";"Thu";"Fri";"Sat"},WEEKDAY(E5,1)))</f>
        <v>Sun</v>
      </c>
      <c r="F4" s="18" t="str">
        <f>IF(F5="","",INDEX({"Sun";"Mon";"Tue";"Wed";"Thu";"Fri";"Sat"},WEEKDAY(F5,1)))</f>
        <v>Mon</v>
      </c>
      <c r="G4" s="18" t="str">
        <f>IF(G5="","",INDEX({"Sun";"Mon";"Tue";"Wed";"Thu";"Fri";"Sat"},WEEKDAY(G5,1)))</f>
        <v>Tue</v>
      </c>
      <c r="H4" s="18" t="str">
        <f>IF(H5="","",INDEX({"Sun";"Mon";"Tue";"Wed";"Thu";"Fri";"Sat"},WEEKDAY(H5,1)))</f>
        <v>Wed</v>
      </c>
      <c r="I4" s="18" t="str">
        <f>IF(I5="","",INDEX({"Sun";"Mon";"Tue";"Wed";"Thu";"Fri";"Sat"},WEEKDAY(I5,1)))</f>
        <v>Thu</v>
      </c>
      <c r="J4" s="18" t="str">
        <f>IF(J5="","",INDEX({"Sun";"Mon";"Tue";"Wed";"Thu";"Fri";"Sat"},WEEKDAY(J5,1)))</f>
        <v>Fri</v>
      </c>
      <c r="K4" s="18" t="str">
        <f>IF(K5="","",INDEX({"Sun";"Mon";"Tue";"Wed";"Thu";"Fri";"Sat"},WEEKDAY(K5,1)))</f>
        <v>Sat</v>
      </c>
      <c r="L4" s="18" t="str">
        <f>IF(L5="","",INDEX({"Sun";"Mon";"Tue";"Wed";"Thu";"Fri";"Sat"},WEEKDAY(L5,1)))</f>
        <v>Sun</v>
      </c>
      <c r="M4" s="18" t="str">
        <f>IF(M5="","",INDEX({"Sun";"Mon";"Tue";"Wed";"Thu";"Fri";"Sat"},WEEKDAY(M5,1)))</f>
        <v>Mon</v>
      </c>
      <c r="N4" s="18" t="str">
        <f>IF(N5="","",INDEX({"Sun";"Mon";"Tue";"Wed";"Thu";"Fri";"Sat"},WEEKDAY(N5,1)))</f>
        <v>Tue</v>
      </c>
      <c r="O4" s="18" t="str">
        <f>IF(O5="","",INDEX({"Sun";"Mon";"Tue";"Wed";"Thu";"Fri";"Sat"},WEEKDAY(O5,1)))</f>
        <v>Wed</v>
      </c>
      <c r="P4" s="18" t="str">
        <f>IF(P5="","",INDEX({"Sun";"Mon";"Tue";"Wed";"Thu";"Fri";"Sat"},WEEKDAY(P5,1)))</f>
        <v>Thu</v>
      </c>
      <c r="Q4" s="18" t="str">
        <f>IF(Q5="","",INDEX({"Sun";"Mon";"Tue";"Wed";"Thu";"Fri";"Sat"},WEEKDAY(Q5,1)))</f>
        <v>Fri</v>
      </c>
      <c r="R4" s="18" t="str">
        <f>IF(R5="","",INDEX({"Sun";"Mon";"Tue";"Wed";"Thu";"Fri";"Sat"},WEEKDAY(R5,1)))</f>
        <v>Sat</v>
      </c>
      <c r="S4" s="18" t="str">
        <f>IF(S5="","",INDEX({"Sun";"Mon";"Tue";"Wed";"Thu";"Fri";"Sat"},WEEKDAY(S5,1)))</f>
        <v>Sun</v>
      </c>
      <c r="T4" s="18" t="str">
        <f>IF(T5="","",INDEX({"Sun";"Mon";"Tue";"Wed";"Thu";"Fri";"Sat"},WEEKDAY(T5,1)))</f>
        <v>Mon</v>
      </c>
      <c r="U4" s="18" t="str">
        <f>IF(U5="","",INDEX({"Sun";"Mon";"Tue";"Wed";"Thu";"Fri";"Sat"},WEEKDAY(U5,1)))</f>
        <v>Tue</v>
      </c>
      <c r="V4" s="18" t="str">
        <f>IF(V5="","",INDEX({"Sun";"Mon";"Tue";"Wed";"Thu";"Fri";"Sat"},WEEKDAY(V5,1)))</f>
        <v>Wed</v>
      </c>
      <c r="W4" s="18" t="str">
        <f>IF(W5="","",INDEX({"Sun";"Mon";"Tue";"Wed";"Thu";"Fri";"Sat"},WEEKDAY(W5,1)))</f>
        <v>Thu</v>
      </c>
      <c r="X4" s="18" t="str">
        <f>IF(X5="","",INDEX({"Sun";"Mon";"Tue";"Wed";"Thu";"Fri";"Sat"},WEEKDAY(X5,1)))</f>
        <v>Fri</v>
      </c>
      <c r="Y4" s="18" t="str">
        <f>IF(Y5="","",INDEX({"Sun";"Mon";"Tue";"Wed";"Thu";"Fri";"Sat"},WEEKDAY(Y5,1)))</f>
        <v>Sat</v>
      </c>
      <c r="Z4" s="18" t="str">
        <f>IF(Z5="","",INDEX({"Sun";"Mon";"Tue";"Wed";"Thu";"Fri";"Sat"},WEEKDAY(Z5,1)))</f>
        <v>Sun</v>
      </c>
      <c r="AA4" s="18" t="str">
        <f>IF(AA5="","",INDEX({"Sun";"Mon";"Tue";"Wed";"Thu";"Fri";"Sat"},WEEKDAY(AA5,1)))</f>
        <v>Mon</v>
      </c>
      <c r="AB4" s="18" t="str">
        <f>IF(AB5="","",INDEX({"Sun";"Mon";"Tue";"Wed";"Thu";"Fri";"Sat"},WEEKDAY(AB5,1)))</f>
        <v>Tue</v>
      </c>
      <c r="AC4" s="18" t="str">
        <f>IF(AC5="","",INDEX({"Sun";"Mon";"Tue";"Wed";"Thu";"Fri";"Sat"},WEEKDAY(AC5,1)))</f>
        <v>Wed</v>
      </c>
      <c r="AD4" s="18" t="str">
        <f>IF(AD5="","",INDEX({"Sun";"Mon";"Tue";"Wed";"Thu";"Fri";"Sat"},WEEKDAY(AD5,1)))</f>
        <v>Thu</v>
      </c>
      <c r="AE4" s="18" t="str">
        <f>IF(AE5="","",INDEX({"Sun";"Mon";"Tue";"Wed";"Thu";"Fri";"Sat"},WEEKDAY(AE5,1)))</f>
        <v>Fri</v>
      </c>
      <c r="AF4" s="18" t="str">
        <f>IF(AF5="","",INDEX({"Sun";"Mon";"Tue";"Wed";"Thu";"Fri";"Sat"},WEEKDAY(AF5,1)))</f>
        <v>Sat</v>
      </c>
      <c r="AG4" s="70" t="s">
        <v>95</v>
      </c>
      <c r="AH4" s="71" t="s">
        <v>96</v>
      </c>
      <c r="AI4" s="72" t="s">
        <v>97</v>
      </c>
      <c r="AJ4" s="73" t="s">
        <v>98</v>
      </c>
      <c r="AK4" s="74" t="s">
        <v>99</v>
      </c>
      <c r="AL4" s="19"/>
      <c r="AM4" s="64" t="s">
        <v>100</v>
      </c>
      <c r="AN4" s="64" t="s">
        <v>101</v>
      </c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</row>
    <row r="5" spans="1:55" s="3" customFormat="1" ht="45" customHeight="1" x14ac:dyDescent="0.35">
      <c r="A5" s="69"/>
      <c r="B5" s="20">
        <f>DATE(Year!$B$2,1,1)</f>
        <v>46023</v>
      </c>
      <c r="C5" s="20">
        <f t="shared" ref="C5:AF5" si="0">B5+1</f>
        <v>46024</v>
      </c>
      <c r="D5" s="20">
        <f t="shared" si="0"/>
        <v>46025</v>
      </c>
      <c r="E5" s="20">
        <f t="shared" si="0"/>
        <v>46026</v>
      </c>
      <c r="F5" s="20">
        <f t="shared" si="0"/>
        <v>46027</v>
      </c>
      <c r="G5" s="20">
        <f t="shared" si="0"/>
        <v>46028</v>
      </c>
      <c r="H5" s="20">
        <f t="shared" si="0"/>
        <v>46029</v>
      </c>
      <c r="I5" s="20">
        <f t="shared" si="0"/>
        <v>46030</v>
      </c>
      <c r="J5" s="20">
        <f t="shared" si="0"/>
        <v>46031</v>
      </c>
      <c r="K5" s="20">
        <f t="shared" si="0"/>
        <v>46032</v>
      </c>
      <c r="L5" s="20">
        <f t="shared" si="0"/>
        <v>46033</v>
      </c>
      <c r="M5" s="20">
        <f t="shared" si="0"/>
        <v>46034</v>
      </c>
      <c r="N5" s="20">
        <f t="shared" si="0"/>
        <v>46035</v>
      </c>
      <c r="O5" s="20">
        <f t="shared" si="0"/>
        <v>46036</v>
      </c>
      <c r="P5" s="20">
        <f t="shared" si="0"/>
        <v>46037</v>
      </c>
      <c r="Q5" s="20">
        <f t="shared" si="0"/>
        <v>46038</v>
      </c>
      <c r="R5" s="20">
        <f t="shared" si="0"/>
        <v>46039</v>
      </c>
      <c r="S5" s="20">
        <f t="shared" si="0"/>
        <v>46040</v>
      </c>
      <c r="T5" s="20">
        <f t="shared" si="0"/>
        <v>46041</v>
      </c>
      <c r="U5" s="20">
        <f t="shared" si="0"/>
        <v>46042</v>
      </c>
      <c r="V5" s="20">
        <f t="shared" si="0"/>
        <v>46043</v>
      </c>
      <c r="W5" s="20">
        <f t="shared" si="0"/>
        <v>46044</v>
      </c>
      <c r="X5" s="20">
        <f t="shared" si="0"/>
        <v>46045</v>
      </c>
      <c r="Y5" s="20">
        <f t="shared" si="0"/>
        <v>46046</v>
      </c>
      <c r="Z5" s="20">
        <f t="shared" si="0"/>
        <v>46047</v>
      </c>
      <c r="AA5" s="20">
        <f t="shared" si="0"/>
        <v>46048</v>
      </c>
      <c r="AB5" s="20">
        <f t="shared" si="0"/>
        <v>46049</v>
      </c>
      <c r="AC5" s="20">
        <f t="shared" si="0"/>
        <v>46050</v>
      </c>
      <c r="AD5" s="20">
        <f t="shared" si="0"/>
        <v>46051</v>
      </c>
      <c r="AE5" s="20">
        <f t="shared" si="0"/>
        <v>46052</v>
      </c>
      <c r="AF5" s="20">
        <f t="shared" si="0"/>
        <v>46053</v>
      </c>
      <c r="AG5" s="70"/>
      <c r="AH5" s="71"/>
      <c r="AI5" s="72"/>
      <c r="AJ5" s="73"/>
      <c r="AK5" s="74"/>
      <c r="AL5" s="19"/>
      <c r="AM5" s="65"/>
      <c r="AN5" s="65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</row>
    <row r="6" spans="1:55" s="3" customFormat="1" ht="24.75" customHeight="1" x14ac:dyDescent="0.55000000000000004">
      <c r="A6" s="9" t="s">
        <v>13</v>
      </c>
      <c r="B6" s="21" t="s">
        <v>109</v>
      </c>
      <c r="C6" s="21" t="str">
        <f>IF(COUNTIFS(EmployeeData!$A:$A,$A6,EmployeeData!$F:$F,C$5)&gt;0,"PT","")</f>
        <v/>
      </c>
      <c r="D6" s="21" t="str">
        <f>IF(COUNTIFS(EmployeeData!$A:$A,$A6,EmployeeData!$F:$F,D$5)&gt;0,"PT","")</f>
        <v/>
      </c>
      <c r="E6" s="21" t="str">
        <f>IF(COUNTIFS(EmployeeData!$A:$A,$A6,EmployeeData!$F:$F,E$5)&gt;0,"PT","")</f>
        <v/>
      </c>
      <c r="F6" s="21" t="str">
        <f>IF(COUNTIFS(EmployeeData!$A:$A,$A6,EmployeeData!$F:$F,F$5)&gt;0,"PT","")</f>
        <v/>
      </c>
      <c r="G6" s="21" t="str">
        <f>IF(COUNTIFS(EmployeeData!$A:$A,$A6,EmployeeData!$F:$F,G$5)&gt;0,"PT","")</f>
        <v/>
      </c>
      <c r="H6" s="21" t="str">
        <f>IF(COUNTIFS(EmployeeData!$A:$A,$A6,EmployeeData!$F:$F,H$5)&gt;0,"PT","")</f>
        <v/>
      </c>
      <c r="I6" s="21" t="str">
        <f>IF(COUNTIFS(EmployeeData!$A:$A,$A6,EmployeeData!$F:$F,I$5)&gt;0,"PT","")</f>
        <v/>
      </c>
      <c r="J6" s="21" t="str">
        <f>IF(COUNTIFS(EmployeeData!$A:$A,$A6,EmployeeData!$F:$F,J$5)&gt;0,"PT","")</f>
        <v/>
      </c>
      <c r="K6" s="21" t="str">
        <f>IF(COUNTIFS(EmployeeData!$A:$A,$A6,EmployeeData!$F:$F,K$5)&gt;0,"PT","")</f>
        <v/>
      </c>
      <c r="L6" s="21" t="str">
        <f>IF(COUNTIFS(EmployeeData!$A:$A,$A6,EmployeeData!$F:$F,L$5)&gt;0,"PT","")</f>
        <v/>
      </c>
      <c r="M6" s="21" t="str">
        <f>IF(COUNTIFS(EmployeeData!$A:$A,$A6,EmployeeData!$F:$F,M$5)&gt;0,"PT","")</f>
        <v/>
      </c>
      <c r="N6" s="21" t="str">
        <f>IF(COUNTIFS(EmployeeData!$A:$A,$A6,EmployeeData!$F:$F,N$5)&gt;0,"PT","")</f>
        <v/>
      </c>
      <c r="O6" s="21" t="str">
        <f>IF(COUNTIFS(EmployeeData!$A:$A,$A6,EmployeeData!$F:$F,O$5)&gt;0,"PT","")</f>
        <v/>
      </c>
      <c r="P6" s="21" t="s">
        <v>109</v>
      </c>
      <c r="Q6" s="21" t="str">
        <f>IF(COUNTIFS(EmployeeData!$A:$A,$A6,EmployeeData!$F:$F,Q$5)&gt;0,"PT","")</f>
        <v/>
      </c>
      <c r="R6" s="21" t="str">
        <f>IF(COUNTIFS(EmployeeData!$A:$A,$A6,EmployeeData!$F:$F,R$5)&gt;0,"PT","")</f>
        <v/>
      </c>
      <c r="S6" s="21" t="str">
        <f>IF(COUNTIFS(EmployeeData!$A:$A,$A6,EmployeeData!$F:$F,S$5)&gt;0,"PT","")</f>
        <v/>
      </c>
      <c r="T6" s="21" t="str">
        <f>IF(COUNTIFS(EmployeeData!$A:$A,$A6,EmployeeData!$F:$F,T$5)&gt;0,"PT","")</f>
        <v/>
      </c>
      <c r="U6" s="21" t="str">
        <f>IF(COUNTIFS(EmployeeData!$A:$A,$A6,EmployeeData!$F:$F,U$5)&gt;0,"PT","")</f>
        <v/>
      </c>
      <c r="V6" s="21" t="str">
        <f>IF(COUNTIFS(EmployeeData!$A:$A,$A6,EmployeeData!$F:$F,V$5)&gt;0,"PT","")</f>
        <v/>
      </c>
      <c r="W6" s="21" t="str">
        <f>IF(COUNTIFS(EmployeeData!$A:$A,$A6,EmployeeData!$F:$F,W$5)&gt;0,"PT","")</f>
        <v/>
      </c>
      <c r="X6" s="21" t="str">
        <f>IF(COUNTIFS(EmployeeData!$A:$A,$A6,EmployeeData!$F:$F,X$5)&gt;0,"PT","")</f>
        <v/>
      </c>
      <c r="Y6" s="21" t="str">
        <f>IF(COUNTIFS(EmployeeData!$A:$A,$A6,EmployeeData!$F:$F,Y$5)&gt;0,"PT","")</f>
        <v/>
      </c>
      <c r="Z6" s="21" t="str">
        <f>IF(COUNTIFS(EmployeeData!$A:$A,$A6,EmployeeData!$F:$F,Z$5)&gt;0,"PT","")</f>
        <v/>
      </c>
      <c r="AA6" s="21" t="s">
        <v>109</v>
      </c>
      <c r="AB6" s="21" t="str">
        <f>IF(COUNTIFS(EmployeeData!$A:$A,$A6,EmployeeData!$F:$F,AB$5)&gt;0,"PT","")</f>
        <v/>
      </c>
      <c r="AC6" s="21" t="str">
        <f>IF(COUNTIFS(EmployeeData!$A:$A,$A6,EmployeeData!$F:$F,AC$5)&gt;0,"PT","")</f>
        <v/>
      </c>
      <c r="AD6" s="21" t="str">
        <f>IF(COUNTIFS(EmployeeData!$A:$A,$A6,EmployeeData!$F:$F,AD$5)&gt;0,"PT","")</f>
        <v/>
      </c>
      <c r="AE6" s="21" t="str">
        <f>IF(COUNTIFS(EmployeeData!$A:$A,$A6,EmployeeData!$F:$F,AE$5)&gt;0,"PT","")</f>
        <v/>
      </c>
      <c r="AF6" s="21" t="str">
        <f>IF(COUNTIFS(EmployeeData!$A:$A,$A6,EmployeeData!$F:$F,AF$5)&gt;0,"PT","")</f>
        <v/>
      </c>
      <c r="AG6" s="8">
        <f>(COUNTIF(B6:AF6,"PT")*1)+(COUNTIF(B6:AF6,"H1")*0.5)+(COUNTIF(B6:AF6,"T")*0)+(COUNTIF(B6:AF6,"R")*0)+(COUNTIF(B6:AF6,"S")*1)+(COUNTIF(B6:AF6,"C")*1)+(COUNTIF(B6:AF6,"FH")*0)+(COUNTIF(B6:AF6,"MT")*1)</f>
        <v>0</v>
      </c>
      <c r="AH6" s="8">
        <f>COUNTIF(B6:AF6,"PT")+COUNTIF(B6:AF6,"H1")+COUNTIF(B6:AF6,"U")</f>
        <v>0</v>
      </c>
      <c r="AI6" s="8">
        <f t="shared" ref="AI6:AI36" si="1">COUNTIF(B6:AF6,"S")+COUNTIF(B6:AF6,"S1")/2+COUNTIF(B6:AF6,"S2")/2</f>
        <v>0</v>
      </c>
      <c r="AJ6" s="8">
        <f>COUNTIF(B6:AF6,"MT")</f>
        <v>0</v>
      </c>
      <c r="AK6" s="8">
        <f t="shared" ref="AK6:AK36" si="2">COUNTIF(B6:AF6,"U")</f>
        <v>0</v>
      </c>
      <c r="AL6" s="23"/>
      <c r="AM6" s="24" t="s">
        <v>14</v>
      </c>
      <c r="AN6" s="25" t="s">
        <v>102</v>
      </c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</row>
    <row r="7" spans="1:55" s="3" customFormat="1" ht="25.15" customHeight="1" x14ac:dyDescent="0.55000000000000004">
      <c r="A7" s="10" t="s">
        <v>34</v>
      </c>
      <c r="B7" s="21" t="s">
        <v>109</v>
      </c>
      <c r="C7" s="21" t="str">
        <f>IF(COUNTIFS(EmployeeData!$A:$A,$A7,EmployeeData!$F:$F,C$5)&gt;0,"PT","")</f>
        <v/>
      </c>
      <c r="D7" s="21" t="str">
        <f>IF(COUNTIFS(EmployeeData!$A:$A,$A7,EmployeeData!$F:$F,D$5)&gt;0,"PT","")</f>
        <v/>
      </c>
      <c r="E7" s="21" t="str">
        <f>IF(COUNTIFS(EmployeeData!$A:$A,$A7,EmployeeData!$F:$F,E$5)&gt;0,"PT","")</f>
        <v/>
      </c>
      <c r="F7" s="21" t="str">
        <f>IF(COUNTIFS(EmployeeData!$A:$A,$A7,EmployeeData!$F:$F,F$5)&gt;0,"PT","")</f>
        <v/>
      </c>
      <c r="G7" s="21" t="str">
        <f>IF(COUNTIFS(EmployeeData!$A:$A,$A7,EmployeeData!$F:$F,G$5)&gt;0,"PT","")</f>
        <v/>
      </c>
      <c r="H7" s="21" t="str">
        <f>IF(COUNTIFS(EmployeeData!$A:$A,$A7,EmployeeData!$F:$F,H$5)&gt;0,"PT","")</f>
        <v/>
      </c>
      <c r="I7" s="21" t="str">
        <f>IF(COUNTIFS(EmployeeData!$A:$A,$A7,EmployeeData!$F:$F,I$5)&gt;0,"PT","")</f>
        <v/>
      </c>
      <c r="J7" s="21" t="str">
        <f>IF(COUNTIFS(EmployeeData!$A:$A,$A7,EmployeeData!$F:$F,J$5)&gt;0,"PT","")</f>
        <v/>
      </c>
      <c r="K7" s="21" t="str">
        <f>IF(COUNTIFS(EmployeeData!$A:$A,$A7,EmployeeData!$F:$F,K$5)&gt;0,"PT","")</f>
        <v/>
      </c>
      <c r="L7" s="21" t="str">
        <f>IF(COUNTIFS(EmployeeData!$A:$A,$A7,EmployeeData!$F:$F,L$5)&gt;0,"PT","")</f>
        <v/>
      </c>
      <c r="M7" s="21" t="str">
        <f>IF(COUNTIFS(EmployeeData!$A:$A,$A7,EmployeeData!$F:$F,M$5)&gt;0,"PT","")</f>
        <v/>
      </c>
      <c r="N7" s="21" t="str">
        <f>IF(COUNTIFS(EmployeeData!$A:$A,$A7,EmployeeData!$F:$F,N$5)&gt;0,"PT","")</f>
        <v/>
      </c>
      <c r="O7" s="21" t="str">
        <f>IF(COUNTIFS(EmployeeData!$A:$A,$A7,EmployeeData!$F:$F,O$5)&gt;0,"PT","")</f>
        <v/>
      </c>
      <c r="P7" s="21" t="s">
        <v>109</v>
      </c>
      <c r="Q7" s="21" t="str">
        <f>IF(COUNTIFS(EmployeeData!$A:$A,$A7,EmployeeData!$F:$F,Q$5)&gt;0,"PT","")</f>
        <v/>
      </c>
      <c r="R7" s="21" t="str">
        <f>IF(COUNTIFS(EmployeeData!$A:$A,$A7,EmployeeData!$F:$F,R$5)&gt;0,"PT","")</f>
        <v/>
      </c>
      <c r="S7" s="21" t="str">
        <f>IF(COUNTIFS(EmployeeData!$A:$A,$A7,EmployeeData!$F:$F,S$5)&gt;0,"PT","")</f>
        <v/>
      </c>
      <c r="T7" s="21" t="str">
        <f>IF(COUNTIFS(EmployeeData!$A:$A,$A7,EmployeeData!$F:$F,T$5)&gt;0,"PT","")</f>
        <v/>
      </c>
      <c r="U7" s="21" t="str">
        <f>IF(COUNTIFS(EmployeeData!$A:$A,$A7,EmployeeData!$F:$F,U$5)&gt;0,"PT","")</f>
        <v/>
      </c>
      <c r="V7" s="21" t="str">
        <f>IF(COUNTIFS(EmployeeData!$A:$A,$A7,EmployeeData!$F:$F,V$5)&gt;0,"PT","")</f>
        <v/>
      </c>
      <c r="W7" s="21" t="str">
        <f>IF(COUNTIFS(EmployeeData!$A:$A,$A7,EmployeeData!$F:$F,W$5)&gt;0,"PT","")</f>
        <v/>
      </c>
      <c r="X7" s="21"/>
      <c r="Y7" s="21" t="str">
        <f>IF(COUNTIFS(EmployeeData!$A:$A,$A7,EmployeeData!$F:$F,Y$5)&gt;0,"PT","")</f>
        <v/>
      </c>
      <c r="Z7" s="21" t="str">
        <f>IF(COUNTIFS(EmployeeData!$A:$A,$A7,EmployeeData!$F:$F,Z$5)&gt;0,"PT","")</f>
        <v/>
      </c>
      <c r="AA7" s="21" t="s">
        <v>109</v>
      </c>
      <c r="AB7" s="21" t="str">
        <f>IF(COUNTIFS(EmployeeData!$A:$A,$A7,EmployeeData!$F:$F,AB$5)&gt;0,"PT","")</f>
        <v>PT</v>
      </c>
      <c r="AC7" s="21" t="str">
        <f>IF(COUNTIFS(EmployeeData!$A:$A,$A7,EmployeeData!$F:$F,AC$5)&gt;0,"PT","")</f>
        <v/>
      </c>
      <c r="AD7" s="21" t="str">
        <f>IF(COUNTIFS(EmployeeData!$A:$A,$A7,EmployeeData!$F:$F,AD$5)&gt;0,"PT","")</f>
        <v/>
      </c>
      <c r="AE7" s="21" t="str">
        <f>IF(COUNTIFS(EmployeeData!$A:$A,$A7,EmployeeData!$F:$F,AE$5)&gt;0,"PT","")</f>
        <v/>
      </c>
      <c r="AF7" s="21" t="str">
        <f>IF(COUNTIFS(EmployeeData!$A:$A,$A7,EmployeeData!$F:$F,AF$5)&gt;0,"PT","")</f>
        <v/>
      </c>
      <c r="AG7" s="8">
        <f>(COUNTIF(B7:AF7,"PT")*1)+(COUNTIF(B7:AF7,"H1")*0.5)+(COUNTIF(B7:AF7,"T")*0)+(COUNTIF(B7:AF7,"R")*0)+(COUNTIF(B7:AF7,"S")*1)+(COUNTIF(A7:B7,"C")*1)+(COUNTIF(B7:AF7,"FH")*0)+(COUNTIF(B7:AF7,"MT")*1)</f>
        <v>1</v>
      </c>
      <c r="AH7" s="8">
        <f t="shared" ref="AH7:AH36" si="3">COUNTIF(B7:AF7,"V")+COUNTIF(B7:AF7,"V1")/2+COUNTIF(B7:AF7,"V2")/2</f>
        <v>0</v>
      </c>
      <c r="AI7" s="8">
        <f t="shared" si="1"/>
        <v>0</v>
      </c>
      <c r="AJ7" s="8">
        <f t="shared" ref="AJ7:AJ36" si="4">COUNTIF(B7:AF7,"M")</f>
        <v>0</v>
      </c>
      <c r="AK7" s="8">
        <f t="shared" si="2"/>
        <v>0</v>
      </c>
      <c r="AL7" s="23"/>
      <c r="AM7" s="26" t="s">
        <v>103</v>
      </c>
      <c r="AN7" s="25" t="s">
        <v>104</v>
      </c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</row>
    <row r="8" spans="1:55" s="3" customFormat="1" ht="25.15" customHeight="1" x14ac:dyDescent="0.55000000000000004">
      <c r="A8" s="10" t="s">
        <v>16</v>
      </c>
      <c r="B8" s="21" t="s">
        <v>109</v>
      </c>
      <c r="C8" s="21" t="str">
        <f>IF(COUNTIFS(EmployeeData!$A:$A,$A8,EmployeeData!$F:$F,C$5)&gt;0,"PT","")</f>
        <v>PT</v>
      </c>
      <c r="D8" s="21" t="str">
        <f>IF(COUNTIFS(EmployeeData!$A:$A,$A8,EmployeeData!$F:$F,D$5)&gt;0,"PT","")</f>
        <v/>
      </c>
      <c r="E8" s="21" t="str">
        <f>IF(COUNTIFS(EmployeeData!$A:$A,$A8,EmployeeData!$F:$F,E$5)&gt;0,"PT","")</f>
        <v/>
      </c>
      <c r="F8" s="21" t="str">
        <f>IF(COUNTIFS(EmployeeData!$A:$A,$A8,EmployeeData!$F:$F,F$5)&gt;0,"PT","")</f>
        <v/>
      </c>
      <c r="G8" s="21" t="str">
        <f>IF(COUNTIFS(EmployeeData!$A:$A,$A8,EmployeeData!$F:$F,G$5)&gt;0,"PT","")</f>
        <v/>
      </c>
      <c r="H8" s="21" t="str">
        <f>IF(COUNTIFS(EmployeeData!$A:$A,$A8,EmployeeData!$F:$F,H$5)&gt;0,"PT","")</f>
        <v/>
      </c>
      <c r="I8" s="21" t="str">
        <f>IF(COUNTIFS(EmployeeData!$A:$A,$A8,EmployeeData!$F:$F,I$5)&gt;0,"PT","")</f>
        <v/>
      </c>
      <c r="J8" s="21" t="str">
        <f>IF(COUNTIFS(EmployeeData!$A:$A,$A8,EmployeeData!$F:$F,J$5)&gt;0,"PT","")</f>
        <v/>
      </c>
      <c r="K8" s="21" t="str">
        <f>IF(COUNTIFS(EmployeeData!$A:$A,$A8,EmployeeData!$F:$F,K$5)&gt;0,"PT","")</f>
        <v/>
      </c>
      <c r="L8" s="21" t="str">
        <f>IF(COUNTIFS(EmployeeData!$A:$A,$A8,EmployeeData!$F:$F,L$5)&gt;0,"PT","")</f>
        <v/>
      </c>
      <c r="M8" s="21" t="str">
        <f>IF(COUNTIFS(EmployeeData!$A:$A,$A8,EmployeeData!$F:$F,M$5)&gt;0,"PT","")</f>
        <v/>
      </c>
      <c r="N8" s="21" t="str">
        <f>IF(COUNTIFS(EmployeeData!$A:$A,$A8,EmployeeData!$F:$F,N$5)&gt;0,"PT","")</f>
        <v/>
      </c>
      <c r="O8" s="21" t="str">
        <f>IF(COUNTIFS(EmployeeData!$A:$A,$A8,EmployeeData!$F:$F,O$5)&gt;0,"PT","")</f>
        <v/>
      </c>
      <c r="P8" s="21" t="s">
        <v>109</v>
      </c>
      <c r="Q8" s="21" t="str">
        <f>IF(COUNTIFS(EmployeeData!$A:$A,$A8,EmployeeData!$F:$F,Q$5)&gt;0,"PT","")</f>
        <v/>
      </c>
      <c r="R8" s="21" t="str">
        <f>IF(COUNTIFS(EmployeeData!$A:$A,$A8,EmployeeData!$F:$F,R$5)&gt;0,"PT","")</f>
        <v/>
      </c>
      <c r="S8" s="21" t="str">
        <f>IF(COUNTIFS(EmployeeData!$A:$A,$A8,EmployeeData!$F:$F,S$5)&gt;0,"PT","")</f>
        <v/>
      </c>
      <c r="T8" s="21" t="str">
        <f>IF(COUNTIFS(EmployeeData!$A:$A,$A8,EmployeeData!$F:$F,T$5)&gt;0,"PT","")</f>
        <v/>
      </c>
      <c r="U8" s="21" t="str">
        <f>IF(COUNTIFS(EmployeeData!$A:$A,$A8,EmployeeData!$F:$F,U$5)&gt;0,"PT","")</f>
        <v/>
      </c>
      <c r="V8" s="21" t="str">
        <f>IF(COUNTIFS(EmployeeData!$A:$A,$A8,EmployeeData!$F:$F,V$5)&gt;0,"PT","")</f>
        <v/>
      </c>
      <c r="W8" s="21" t="str">
        <f>IF(COUNTIFS(EmployeeData!$A:$A,$A8,EmployeeData!$F:$F,W$5)&gt;0,"PT","")</f>
        <v/>
      </c>
      <c r="X8" s="21" t="str">
        <f>IF(COUNTIFS(EmployeeData!$A:$A,$A8,EmployeeData!$F:$F,X$5)&gt;0,"PT","")</f>
        <v/>
      </c>
      <c r="Y8" s="21" t="str">
        <f>IF(COUNTIFS(EmployeeData!$A:$A,$A8,EmployeeData!$F:$F,Y$5)&gt;0,"PT","")</f>
        <v/>
      </c>
      <c r="Z8" s="21" t="str">
        <f>IF(COUNTIFS(EmployeeData!$A:$A,$A8,EmployeeData!$F:$F,Z$5)&gt;0,"PT","")</f>
        <v/>
      </c>
      <c r="AA8" s="21" t="s">
        <v>109</v>
      </c>
      <c r="AB8" s="21" t="str">
        <f>IF(COUNTIFS(EmployeeData!$A:$A,$A8,EmployeeData!$F:$F,AB$5)&gt;0,"PT","")</f>
        <v/>
      </c>
      <c r="AC8" s="21" t="str">
        <f>IF(COUNTIFS(EmployeeData!$A:$A,$A8,EmployeeData!$F:$F,AC$5)&gt;0,"PT","")</f>
        <v/>
      </c>
      <c r="AD8" s="21" t="str">
        <f>IF(COUNTIFS(EmployeeData!$A:$A,$A8,EmployeeData!$F:$F,AD$5)&gt;0,"PT","")</f>
        <v/>
      </c>
      <c r="AE8" s="21" t="str">
        <f>IF(COUNTIFS(EmployeeData!$A:$A,$A8,EmployeeData!$F:$F,AE$5)&gt;0,"PT","")</f>
        <v/>
      </c>
      <c r="AF8" s="21" t="str">
        <f>IF(COUNTIFS(EmployeeData!$A:$A,$A8,EmployeeData!$F:$F,AF$5)&gt;0,"PT","")</f>
        <v/>
      </c>
      <c r="AG8" s="8">
        <f t="shared" ref="AG8:AG36" si="5">(COUNTIF(B8:AF8,"PT")*1)+(COUNTIF(B8:AF8,"H1")*0.5)+(COUNTIF(B8:AF8,"T")*0)+(COUNTIF(B8:AF8,"R")*0)+(COUNTIF(B8:AF8,"S")*1)+(COUNTIF(B8:AF8,"C")*1)+(COUNTIF(B8:AF8,"FH")*0)+(COUNTIF(B8:AF8,"MT")*1)</f>
        <v>1</v>
      </c>
      <c r="AH8" s="8">
        <f t="shared" si="3"/>
        <v>0</v>
      </c>
      <c r="AI8" s="8">
        <f t="shared" si="1"/>
        <v>0</v>
      </c>
      <c r="AJ8" s="8">
        <f t="shared" si="4"/>
        <v>0</v>
      </c>
      <c r="AK8" s="8">
        <f t="shared" si="2"/>
        <v>0</v>
      </c>
      <c r="AL8" s="23"/>
      <c r="AM8" s="27" t="s">
        <v>22</v>
      </c>
      <c r="AN8" s="25" t="s">
        <v>105</v>
      </c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</row>
    <row r="9" spans="1:55" s="3" customFormat="1" ht="25.15" customHeight="1" x14ac:dyDescent="0.55000000000000004">
      <c r="A9" s="10" t="s">
        <v>37</v>
      </c>
      <c r="B9" s="21" t="s">
        <v>109</v>
      </c>
      <c r="C9" s="21" t="str">
        <f>IF(COUNTIFS(EmployeeData!$A:$A,$A9,EmployeeData!$F:$F,C$5)&gt;0,"PT","")</f>
        <v/>
      </c>
      <c r="D9" s="21" t="str">
        <f>IF(COUNTIFS(EmployeeData!$A:$A,$A9,EmployeeData!$F:$F,D$5)&gt;0,"PT","")</f>
        <v/>
      </c>
      <c r="E9" s="21" t="str">
        <f>IF(COUNTIFS(EmployeeData!$A:$A,$A9,EmployeeData!$F:$F,E$5)&gt;0,"PT","")</f>
        <v/>
      </c>
      <c r="F9" s="21" t="str">
        <f>IF(COUNTIFS(EmployeeData!$A:$A,$A9,EmployeeData!$F:$F,F$5)&gt;0,"PT","")</f>
        <v/>
      </c>
      <c r="G9" s="21" t="str">
        <f>IF(COUNTIFS(EmployeeData!$A:$A,$A9,EmployeeData!$F:$F,G$5)&gt;0,"PT","")</f>
        <v/>
      </c>
      <c r="H9" s="21" t="str">
        <f>IF(COUNTIFS(EmployeeData!$A:$A,$A9,EmployeeData!$F:$F,H$5)&gt;0,"PT","")</f>
        <v/>
      </c>
      <c r="I9" s="21" t="str">
        <f>IF(COUNTIFS(EmployeeData!$A:$A,$A9,EmployeeData!$F:$F,I$5)&gt;0,"PT","")</f>
        <v/>
      </c>
      <c r="J9" s="21" t="str">
        <f>IF(COUNTIFS(EmployeeData!$A:$A,$A9,EmployeeData!$F:$F,J$5)&gt;0,"PT","")</f>
        <v/>
      </c>
      <c r="K9" s="21" t="str">
        <f>IF(COUNTIFS(EmployeeData!$A:$A,$A9,EmployeeData!$F:$F,K$5)&gt;0,"PT","")</f>
        <v/>
      </c>
      <c r="L9" s="21" t="str">
        <f>IF(COUNTIFS(EmployeeData!$A:$A,$A9,EmployeeData!$F:$F,L$5)&gt;0,"PT","")</f>
        <v/>
      </c>
      <c r="M9" s="21" t="str">
        <f>IF(COUNTIFS(EmployeeData!$A:$A,$A9,EmployeeData!$F:$F,M$5)&gt;0,"PT","")</f>
        <v/>
      </c>
      <c r="N9" s="21" t="str">
        <f>IF(COUNTIFS(EmployeeData!$A:$A,$A9,EmployeeData!$F:$F,N$5)&gt;0,"PT","")</f>
        <v/>
      </c>
      <c r="O9" s="21" t="str">
        <f>IF(COUNTIFS(EmployeeData!$A:$A,$A9,EmployeeData!$F:$F,O$5)&gt;0,"PT","")</f>
        <v/>
      </c>
      <c r="P9" s="21" t="s">
        <v>109</v>
      </c>
      <c r="Q9" s="21" t="str">
        <f>IF(COUNTIFS(EmployeeData!$A:$A,$A9,EmployeeData!$F:$F,Q$5)&gt;0,"PT","")</f>
        <v/>
      </c>
      <c r="R9" s="21" t="str">
        <f>IF(COUNTIFS(EmployeeData!$A:$A,$A9,EmployeeData!$F:$F,R$5)&gt;0,"PT","")</f>
        <v/>
      </c>
      <c r="S9" s="21" t="str">
        <f>IF(COUNTIFS(EmployeeData!$A:$A,$A9,EmployeeData!$F:$F,S$5)&gt;0,"PT","")</f>
        <v/>
      </c>
      <c r="T9" s="21" t="str">
        <f>IF(COUNTIFS(EmployeeData!$A:$A,$A9,EmployeeData!$F:$F,T$5)&gt;0,"PT","")</f>
        <v/>
      </c>
      <c r="U9" s="21" t="str">
        <f>IF(COUNTIFS(EmployeeData!$A:$A,$A9,EmployeeData!$F:$F,U$5)&gt;0,"PT","")</f>
        <v/>
      </c>
      <c r="V9" s="21" t="str">
        <f>IF(COUNTIFS(EmployeeData!$A:$A,$A9,EmployeeData!$F:$F,V$5)&gt;0,"PT","")</f>
        <v/>
      </c>
      <c r="W9" s="21" t="str">
        <f>IF(COUNTIFS(EmployeeData!$A:$A,$A9,EmployeeData!$F:$F,W$5)&gt;0,"PT","")</f>
        <v/>
      </c>
      <c r="X9" s="21" t="str">
        <f>IF(COUNTIFS(EmployeeData!$A:$A,$A9,EmployeeData!$F:$F,X$5)&gt;0,"PT","")</f>
        <v/>
      </c>
      <c r="Y9" s="21" t="str">
        <f>IF(COUNTIFS(EmployeeData!$A:$A,$A9,EmployeeData!$F:$F,Y$5)&gt;0,"PT","")</f>
        <v/>
      </c>
      <c r="Z9" s="21" t="str">
        <f>IF(COUNTIFS(EmployeeData!$A:$A,$A9,EmployeeData!$F:$F,Z$5)&gt;0,"PT","")</f>
        <v/>
      </c>
      <c r="AA9" s="21" t="s">
        <v>109</v>
      </c>
      <c r="AB9" s="21" t="str">
        <f>IF(COUNTIFS(EmployeeData!$A:$A,$A9,EmployeeData!$F:$F,AB$5)&gt;0,"PT","")</f>
        <v/>
      </c>
      <c r="AC9" s="21" t="str">
        <f>IF(COUNTIFS(EmployeeData!$A:$A,$A9,EmployeeData!$F:$F,AC$5)&gt;0,"PT","")</f>
        <v/>
      </c>
      <c r="AD9" s="21" t="str">
        <f>IF(COUNTIFS(EmployeeData!$A:$A,$A9,EmployeeData!$F:$F,AD$5)&gt;0,"PT","")</f>
        <v/>
      </c>
      <c r="AE9" s="21" t="str">
        <f>IF(COUNTIFS(EmployeeData!$A:$A,$A9,EmployeeData!$F:$F,AE$5)&gt;0,"PT","")</f>
        <v/>
      </c>
      <c r="AF9" s="21" t="str">
        <f>IF(COUNTIFS(EmployeeData!$A:$A,$A9,EmployeeData!$F:$F,AF$5)&gt;0,"PT","")</f>
        <v/>
      </c>
      <c r="AG9" s="8">
        <f t="shared" si="5"/>
        <v>0</v>
      </c>
      <c r="AH9" s="8">
        <f t="shared" si="3"/>
        <v>0</v>
      </c>
      <c r="AI9" s="8">
        <f t="shared" si="1"/>
        <v>0</v>
      </c>
      <c r="AJ9" s="8">
        <f t="shared" si="4"/>
        <v>0</v>
      </c>
      <c r="AK9" s="8">
        <f t="shared" si="2"/>
        <v>0</v>
      </c>
      <c r="AL9" s="23"/>
      <c r="AM9" s="28" t="s">
        <v>106</v>
      </c>
      <c r="AN9" s="25" t="s">
        <v>107</v>
      </c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</row>
    <row r="10" spans="1:55" s="3" customFormat="1" ht="25.15" customHeight="1" x14ac:dyDescent="0.55000000000000004">
      <c r="A10" s="10" t="s">
        <v>33</v>
      </c>
      <c r="B10" s="21" t="s">
        <v>109</v>
      </c>
      <c r="C10" s="21" t="str">
        <f>IF(COUNTIFS(EmployeeData!$A:$A,$A10,EmployeeData!$F:$F,C$5)&gt;0,"PT","")</f>
        <v/>
      </c>
      <c r="D10" s="21" t="str">
        <f>IF(COUNTIFS(EmployeeData!$A:$A,$A10,EmployeeData!$F:$F,D$5)&gt;0,"PT","")</f>
        <v/>
      </c>
      <c r="E10" s="21" t="str">
        <f>IF(COUNTIFS(EmployeeData!$A:$A,$A10,EmployeeData!$F:$F,E$5)&gt;0,"PT","")</f>
        <v/>
      </c>
      <c r="F10" s="21" t="str">
        <f>IF(COUNTIFS(EmployeeData!$A:$A,$A10,EmployeeData!$F:$F,F$5)&gt;0,"PT","")</f>
        <v/>
      </c>
      <c r="G10" s="21" t="str">
        <f>IF(COUNTIFS(EmployeeData!$A:$A,$A10,EmployeeData!$F:$F,G$5)&gt;0,"PT","")</f>
        <v/>
      </c>
      <c r="H10" s="21" t="str">
        <f>IF(COUNTIFS(EmployeeData!$A:$A,$A10,EmployeeData!$F:$F,H$5)&gt;0,"PT","")</f>
        <v/>
      </c>
      <c r="I10" s="21" t="str">
        <f>IF(COUNTIFS(EmployeeData!$A:$A,$A10,EmployeeData!$F:$F,I$5)&gt;0,"PT","")</f>
        <v/>
      </c>
      <c r="J10" s="21" t="str">
        <f>IF(COUNTIFS(EmployeeData!$A:$A,$A10,EmployeeData!$F:$F,J$5)&gt;0,"PT","")</f>
        <v/>
      </c>
      <c r="K10" s="21" t="str">
        <f>IF(COUNTIFS(EmployeeData!$A:$A,$A10,EmployeeData!$F:$F,K$5)&gt;0,"PT","")</f>
        <v/>
      </c>
      <c r="L10" s="21" t="str">
        <f>IF(COUNTIFS(EmployeeData!$A:$A,$A10,EmployeeData!$F:$F,L$5)&gt;0,"PT","")</f>
        <v/>
      </c>
      <c r="M10" s="21" t="str">
        <f>IF(COUNTIFS(EmployeeData!$A:$A,$A10,EmployeeData!$F:$F,M$5)&gt;0,"PT","")</f>
        <v/>
      </c>
      <c r="N10" s="21" t="str">
        <f>IF(COUNTIFS(EmployeeData!$A:$A,$A10,EmployeeData!$F:$F,N$5)&gt;0,"PT","")</f>
        <v/>
      </c>
      <c r="O10" s="21" t="str">
        <f>IF(COUNTIFS(EmployeeData!$A:$A,$A10,EmployeeData!$F:$F,O$5)&gt;0,"PT","")</f>
        <v/>
      </c>
      <c r="P10" s="21" t="s">
        <v>109</v>
      </c>
      <c r="Q10" s="21" t="str">
        <f>IF(COUNTIFS(EmployeeData!$A:$A,$A10,EmployeeData!$F:$F,Q$5)&gt;0,"PT","")</f>
        <v/>
      </c>
      <c r="R10" s="21" t="str">
        <f>IF(COUNTIFS(EmployeeData!$A:$A,$A10,EmployeeData!$F:$F,R$5)&gt;0,"PT","")</f>
        <v/>
      </c>
      <c r="S10" s="21" t="str">
        <f>IF(COUNTIFS(EmployeeData!$A:$A,$A10,EmployeeData!$F:$F,S$5)&gt;0,"PT","")</f>
        <v/>
      </c>
      <c r="T10" s="21" t="str">
        <f>IF(COUNTIFS(EmployeeData!$A:$A,$A10,EmployeeData!$F:$F,T$5)&gt;0,"PT","")</f>
        <v/>
      </c>
      <c r="U10" s="21" t="str">
        <f>IF(COUNTIFS(EmployeeData!$A:$A,$A10,EmployeeData!$F:$F,U$5)&gt;0,"PT","")</f>
        <v/>
      </c>
      <c r="V10" s="21" t="str">
        <f>IF(COUNTIFS(EmployeeData!$A:$A,$A10,EmployeeData!$F:$F,V$5)&gt;0,"PT","")</f>
        <v/>
      </c>
      <c r="W10" s="21" t="str">
        <f>IF(COUNTIFS(EmployeeData!$A:$A,$A10,EmployeeData!$F:$F,W$5)&gt;0,"PT","")</f>
        <v/>
      </c>
      <c r="X10" s="21" t="str">
        <f>IF(COUNTIFS(EmployeeData!$A:$A,$A10,EmployeeData!$F:$F,X$5)&gt;0,"PT","")</f>
        <v/>
      </c>
      <c r="Y10" s="21" t="str">
        <f>IF(COUNTIFS(EmployeeData!$A:$A,$A10,EmployeeData!$F:$F,Y$5)&gt;0,"PT","")</f>
        <v/>
      </c>
      <c r="Z10" s="21" t="str">
        <f>IF(COUNTIFS(EmployeeData!$A:$A,$A10,EmployeeData!$F:$F,Z$5)&gt;0,"PT","")</f>
        <v/>
      </c>
      <c r="AA10" s="21" t="s">
        <v>109</v>
      </c>
      <c r="AB10" s="21" t="str">
        <f>IF(COUNTIFS(EmployeeData!$A:$A,$A10,EmployeeData!$F:$F,AB$5)&gt;0,"PT","")</f>
        <v/>
      </c>
      <c r="AC10" s="21" t="str">
        <f>IF(COUNTIFS(EmployeeData!$A:$A,$A10,EmployeeData!$F:$F,AC$5)&gt;0,"PT","")</f>
        <v/>
      </c>
      <c r="AD10" s="21" t="str">
        <f>IF(COUNTIFS(EmployeeData!$A:$A,$A10,EmployeeData!$F:$F,AD$5)&gt;0,"PT","")</f>
        <v/>
      </c>
      <c r="AE10" s="21" t="str">
        <f>IF(COUNTIFS(EmployeeData!$A:$A,$A10,EmployeeData!$F:$F,AE$5)&gt;0,"PT","")</f>
        <v/>
      </c>
      <c r="AF10" s="21" t="str">
        <f>IF(COUNTIFS(EmployeeData!$A:$A,$A10,EmployeeData!$F:$F,AF$5)&gt;0,"PT","")</f>
        <v/>
      </c>
      <c r="AG10" s="8">
        <f t="shared" si="5"/>
        <v>0</v>
      </c>
      <c r="AH10" s="8">
        <f t="shared" si="3"/>
        <v>0</v>
      </c>
      <c r="AI10" s="8">
        <f t="shared" si="1"/>
        <v>0</v>
      </c>
      <c r="AJ10" s="8">
        <f t="shared" si="4"/>
        <v>0</v>
      </c>
      <c r="AK10" s="8">
        <f t="shared" si="2"/>
        <v>0</v>
      </c>
      <c r="AL10" s="23"/>
      <c r="AM10" s="29" t="s">
        <v>108</v>
      </c>
      <c r="AN10" s="25" t="s">
        <v>109</v>
      </c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</row>
    <row r="11" spans="1:55" s="3" customFormat="1" ht="25.15" customHeight="1" x14ac:dyDescent="0.55000000000000004">
      <c r="A11" s="10" t="s">
        <v>41</v>
      </c>
      <c r="B11" s="21" t="s">
        <v>109</v>
      </c>
      <c r="C11" s="21" t="str">
        <f>IF(COUNTIFS(EmployeeData!$A:$A,$A11,EmployeeData!$F:$F,C$5)&gt;0,"PT","")</f>
        <v>PT</v>
      </c>
      <c r="D11" s="21" t="str">
        <f>IF(COUNTIFS(EmployeeData!$A:$A,$A11,EmployeeData!$F:$F,D$5)&gt;0,"PT","")</f>
        <v/>
      </c>
      <c r="E11" s="21" t="str">
        <f>IF(COUNTIFS(EmployeeData!$A:$A,$A11,EmployeeData!$F:$F,E$5)&gt;0,"PT","")</f>
        <v/>
      </c>
      <c r="F11" s="21" t="str">
        <f>IF(COUNTIFS(EmployeeData!$A:$A,$A11,EmployeeData!$F:$F,F$5)&gt;0,"PT","")</f>
        <v/>
      </c>
      <c r="G11" s="21" t="str">
        <f>IF(COUNTIFS(EmployeeData!$A:$A,$A11,EmployeeData!$F:$F,G$5)&gt;0,"PT","")</f>
        <v/>
      </c>
      <c r="H11" s="21" t="str">
        <f>IF(COUNTIFS(EmployeeData!$A:$A,$A11,EmployeeData!$F:$F,H$5)&gt;0,"PT","")</f>
        <v/>
      </c>
      <c r="I11" s="21" t="str">
        <f>IF(COUNTIFS(EmployeeData!$A:$A,$A11,EmployeeData!$F:$F,I$5)&gt;0,"PT","")</f>
        <v/>
      </c>
      <c r="J11" s="21" t="str">
        <f>IF(COUNTIFS(EmployeeData!$A:$A,$A11,EmployeeData!$F:$F,J$5)&gt;0,"PT","")</f>
        <v/>
      </c>
      <c r="K11" s="21" t="str">
        <f>IF(COUNTIFS(EmployeeData!$A:$A,$A11,EmployeeData!$F:$F,K$5)&gt;0,"PT","")</f>
        <v/>
      </c>
      <c r="L11" s="21" t="str">
        <f>IF(COUNTIFS(EmployeeData!$A:$A,$A11,EmployeeData!$F:$F,L$5)&gt;0,"PT","")</f>
        <v/>
      </c>
      <c r="M11" s="21" t="str">
        <f>IF(COUNTIFS(EmployeeData!$A:$A,$A11,EmployeeData!$F:$F,M$5)&gt;0,"PT","")</f>
        <v/>
      </c>
      <c r="N11" s="21" t="str">
        <f>IF(COUNTIFS(EmployeeData!$A:$A,$A11,EmployeeData!$F:$F,N$5)&gt;0,"PT","")</f>
        <v/>
      </c>
      <c r="O11" s="21" t="str">
        <f>IF(COUNTIFS(EmployeeData!$A:$A,$A11,EmployeeData!$F:$F,O$5)&gt;0,"PT","")</f>
        <v/>
      </c>
      <c r="P11" s="21" t="s">
        <v>109</v>
      </c>
      <c r="Q11" s="21" t="str">
        <f>IF(COUNTIFS(EmployeeData!$A:$A,$A11,EmployeeData!$F:$F,Q$5)&gt;0,"PT","")</f>
        <v/>
      </c>
      <c r="R11" s="21" t="str">
        <f>IF(COUNTIFS(EmployeeData!$A:$A,$A11,EmployeeData!$F:$F,R$5)&gt;0,"PT","")</f>
        <v/>
      </c>
      <c r="S11" s="21" t="str">
        <f>IF(COUNTIFS(EmployeeData!$A:$A,$A11,EmployeeData!$F:$F,S$5)&gt;0,"PT","")</f>
        <v/>
      </c>
      <c r="T11" s="21" t="str">
        <f>IF(COUNTIFS(EmployeeData!$A:$A,$A11,EmployeeData!$F:$F,T$5)&gt;0,"PT","")</f>
        <v/>
      </c>
      <c r="U11" s="21" t="str">
        <f>IF(COUNTIFS(EmployeeData!$A:$A,$A11,EmployeeData!$F:$F,U$5)&gt;0,"PT","")</f>
        <v/>
      </c>
      <c r="V11" s="21" t="str">
        <f>IF(COUNTIFS(EmployeeData!$A:$A,$A11,EmployeeData!$F:$F,V$5)&gt;0,"PT","")</f>
        <v/>
      </c>
      <c r="W11" s="21" t="str">
        <f>IF(COUNTIFS(EmployeeData!$A:$A,$A11,EmployeeData!$F:$F,W$5)&gt;0,"PT","")</f>
        <v/>
      </c>
      <c r="X11" s="21" t="str">
        <f>IF(COUNTIFS(EmployeeData!$A:$A,$A11,EmployeeData!$F:$F,X$5)&gt;0,"PT","")</f>
        <v/>
      </c>
      <c r="Y11" s="21" t="str">
        <f>IF(COUNTIFS(EmployeeData!$A:$A,$A11,EmployeeData!$F:$F,Y$5)&gt;0,"PT","")</f>
        <v/>
      </c>
      <c r="Z11" s="21" t="str">
        <f>IF(COUNTIFS(EmployeeData!$A:$A,$A11,EmployeeData!$F:$F,Z$5)&gt;0,"PT","")</f>
        <v/>
      </c>
      <c r="AA11" s="21" t="s">
        <v>109</v>
      </c>
      <c r="AB11" s="21" t="str">
        <f>IF(COUNTIFS(EmployeeData!$A:$A,$A11,EmployeeData!$F:$F,AB$5)&gt;0,"PT","")</f>
        <v/>
      </c>
      <c r="AC11" s="21" t="str">
        <f>IF(COUNTIFS(EmployeeData!$A:$A,$A11,EmployeeData!$F:$F,AC$5)&gt;0,"PT","")</f>
        <v/>
      </c>
      <c r="AD11" s="21" t="str">
        <f>IF(COUNTIFS(EmployeeData!$A:$A,$A11,EmployeeData!$F:$F,AD$5)&gt;0,"PT","")</f>
        <v/>
      </c>
      <c r="AE11" s="21" t="str">
        <f>IF(COUNTIFS(EmployeeData!$A:$A,$A11,EmployeeData!$F:$F,AE$5)&gt;0,"PT","")</f>
        <v/>
      </c>
      <c r="AF11" s="21" t="str">
        <f>IF(COUNTIFS(EmployeeData!$A:$A,$A11,EmployeeData!$F:$F,AF$5)&gt;0,"PT","")</f>
        <v/>
      </c>
      <c r="AG11" s="8">
        <f t="shared" si="5"/>
        <v>1</v>
      </c>
      <c r="AH11" s="8">
        <f t="shared" si="3"/>
        <v>0</v>
      </c>
      <c r="AI11" s="8">
        <f t="shared" si="1"/>
        <v>0</v>
      </c>
      <c r="AJ11" s="8">
        <f t="shared" si="4"/>
        <v>0</v>
      </c>
      <c r="AK11" s="8">
        <f t="shared" si="2"/>
        <v>0</v>
      </c>
      <c r="AL11" s="23"/>
      <c r="AM11" s="30" t="s">
        <v>99</v>
      </c>
      <c r="AN11" s="25" t="s">
        <v>110</v>
      </c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</row>
    <row r="12" spans="1:55" s="3" customFormat="1" ht="25.15" customHeight="1" x14ac:dyDescent="0.55000000000000004">
      <c r="A12" s="10" t="s">
        <v>39</v>
      </c>
      <c r="B12" s="21" t="s">
        <v>109</v>
      </c>
      <c r="C12" s="21" t="str">
        <f>IF(COUNTIFS(EmployeeData!$A:$A,$A12,EmployeeData!$F:$F,C$5)&gt;0,"PT","")</f>
        <v>PT</v>
      </c>
      <c r="D12" s="21" t="str">
        <f>IF(COUNTIFS(EmployeeData!$A:$A,$A12,EmployeeData!$F:$F,D$5)&gt;0,"PT","")</f>
        <v/>
      </c>
      <c r="E12" s="21" t="str">
        <f>IF(COUNTIFS(EmployeeData!$A:$A,$A12,EmployeeData!$F:$F,E$5)&gt;0,"PT","")</f>
        <v/>
      </c>
      <c r="F12" s="21" t="str">
        <f>IF(COUNTIFS(EmployeeData!$A:$A,$A12,EmployeeData!$F:$F,F$5)&gt;0,"PT","")</f>
        <v/>
      </c>
      <c r="G12" s="21" t="str">
        <f>IF(COUNTIFS(EmployeeData!$A:$A,$A12,EmployeeData!$F:$F,G$5)&gt;0,"PT","")</f>
        <v/>
      </c>
      <c r="H12" s="21" t="str">
        <f>IF(COUNTIFS(EmployeeData!$A:$A,$A12,EmployeeData!$F:$F,H$5)&gt;0,"PT","")</f>
        <v/>
      </c>
      <c r="I12" s="21" t="str">
        <f>IF(COUNTIFS(EmployeeData!$A:$A,$A12,EmployeeData!$F:$F,I$5)&gt;0,"PT","")</f>
        <v/>
      </c>
      <c r="J12" s="21" t="str">
        <f>IF(COUNTIFS(EmployeeData!$A:$A,$A12,EmployeeData!$F:$F,J$5)&gt;0,"PT","")</f>
        <v/>
      </c>
      <c r="K12" s="21" t="str">
        <f>IF(COUNTIFS(EmployeeData!$A:$A,$A12,EmployeeData!$F:$F,K$5)&gt;0,"PT","")</f>
        <v/>
      </c>
      <c r="L12" s="21" t="str">
        <f>IF(COUNTIFS(EmployeeData!$A:$A,$A12,EmployeeData!$F:$F,L$5)&gt;0,"PT","")</f>
        <v/>
      </c>
      <c r="M12" s="21" t="str">
        <f>IF(COUNTIFS(EmployeeData!$A:$A,$A12,EmployeeData!$F:$F,M$5)&gt;0,"PT","")</f>
        <v/>
      </c>
      <c r="N12" s="21" t="str">
        <f>IF(COUNTIFS(EmployeeData!$A:$A,$A12,EmployeeData!$F:$F,N$5)&gt;0,"PT","")</f>
        <v/>
      </c>
      <c r="O12" s="21" t="str">
        <f>IF(COUNTIFS(EmployeeData!$A:$A,$A12,EmployeeData!$F:$F,O$5)&gt;0,"PT","")</f>
        <v/>
      </c>
      <c r="P12" s="21" t="s">
        <v>109</v>
      </c>
      <c r="Q12" s="21" t="str">
        <f>IF(COUNTIFS(EmployeeData!$A:$A,$A12,EmployeeData!$F:$F,Q$5)&gt;0,"PT","")</f>
        <v>PT</v>
      </c>
      <c r="R12" s="21" t="str">
        <f>IF(COUNTIFS(EmployeeData!$A:$A,$A12,EmployeeData!$F:$F,R$5)&gt;0,"PT","")</f>
        <v/>
      </c>
      <c r="S12" s="21" t="str">
        <f>IF(COUNTIFS(EmployeeData!$A:$A,$A12,EmployeeData!$F:$F,S$5)&gt;0,"PT","")</f>
        <v/>
      </c>
      <c r="T12" s="21" t="str">
        <f>IF(COUNTIFS(EmployeeData!$A:$A,$A12,EmployeeData!$F:$F,T$5)&gt;0,"PT","")</f>
        <v/>
      </c>
      <c r="U12" s="21" t="str">
        <f>IF(COUNTIFS(EmployeeData!$A:$A,$A12,EmployeeData!$F:$F,U$5)&gt;0,"PT","")</f>
        <v/>
      </c>
      <c r="V12" s="21" t="str">
        <f>IF(COUNTIFS(EmployeeData!$A:$A,$A12,EmployeeData!$F:$F,V$5)&gt;0,"PT","")</f>
        <v/>
      </c>
      <c r="W12" s="21" t="str">
        <f>IF(COUNTIFS(EmployeeData!$A:$A,$A12,EmployeeData!$F:$F,W$5)&gt;0,"PT","")</f>
        <v/>
      </c>
      <c r="X12" s="21" t="str">
        <f>IF(COUNTIFS(EmployeeData!$A:$A,$A12,EmployeeData!$F:$F,X$5)&gt;0,"PT","")</f>
        <v/>
      </c>
      <c r="Y12" s="21" t="str">
        <f>IF(COUNTIFS(EmployeeData!$A:$A,$A12,EmployeeData!$F:$F,Y$5)&gt;0,"PT","")</f>
        <v/>
      </c>
      <c r="Z12" s="21" t="str">
        <f>IF(COUNTIFS(EmployeeData!$A:$A,$A12,EmployeeData!$F:$F,Z$5)&gt;0,"PT","")</f>
        <v/>
      </c>
      <c r="AA12" s="21" t="s">
        <v>109</v>
      </c>
      <c r="AB12" s="21" t="str">
        <f>IF(COUNTIFS(EmployeeData!$A:$A,$A12,EmployeeData!$F:$F,AB$5)&gt;0,"PT","")</f>
        <v/>
      </c>
      <c r="AC12" s="21" t="str">
        <f>IF(COUNTIFS(EmployeeData!$A:$A,$A12,EmployeeData!$F:$F,AC$5)&gt;0,"PT","")</f>
        <v/>
      </c>
      <c r="AD12" s="21" t="str">
        <f>IF(COUNTIFS(EmployeeData!$A:$A,$A12,EmployeeData!$F:$F,AD$5)&gt;0,"PT","")</f>
        <v/>
      </c>
      <c r="AE12" s="21" t="str">
        <f>IF(COUNTIFS(EmployeeData!$A:$A,$A12,EmployeeData!$F:$F,AE$5)&gt;0,"PT","")</f>
        <v/>
      </c>
      <c r="AF12" s="21" t="str">
        <f>IF(COUNTIFS(EmployeeData!$A:$A,$A12,EmployeeData!$F:$F,AF$5)&gt;0,"PT","")</f>
        <v/>
      </c>
      <c r="AG12" s="8">
        <f t="shared" si="5"/>
        <v>2</v>
      </c>
      <c r="AH12" s="8">
        <f t="shared" si="3"/>
        <v>0</v>
      </c>
      <c r="AI12" s="8">
        <f t="shared" si="1"/>
        <v>0</v>
      </c>
      <c r="AJ12" s="8">
        <f t="shared" si="4"/>
        <v>0</v>
      </c>
      <c r="AK12" s="8">
        <f t="shared" si="2"/>
        <v>0</v>
      </c>
      <c r="AL12" s="23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</row>
    <row r="13" spans="1:55" s="3" customFormat="1" ht="25.15" customHeight="1" x14ac:dyDescent="0.55000000000000004">
      <c r="A13" s="10" t="s">
        <v>42</v>
      </c>
      <c r="B13" s="21" t="s">
        <v>109</v>
      </c>
      <c r="C13" s="21" t="str">
        <f>IF(COUNTIFS(EmployeeData!$A:$A,$A13,EmployeeData!$F:$F,C$5)&gt;0,"PT","")</f>
        <v/>
      </c>
      <c r="D13" s="21" t="str">
        <f>IF(COUNTIFS(EmployeeData!$A:$A,$A13,EmployeeData!$F:$F,D$5)&gt;0,"PT","")</f>
        <v/>
      </c>
      <c r="E13" s="21" t="str">
        <f>IF(COUNTIFS(EmployeeData!$A:$A,$A13,EmployeeData!$F:$F,E$5)&gt;0,"PT","")</f>
        <v/>
      </c>
      <c r="F13" s="21" t="str">
        <f>IF(COUNTIFS(EmployeeData!$A:$A,$A13,EmployeeData!$F:$F,F$5)&gt;0,"PT","")</f>
        <v/>
      </c>
      <c r="G13" s="21" t="str">
        <f>IF(COUNTIFS(EmployeeData!$A:$A,$A13,EmployeeData!$F:$F,G$5)&gt;0,"PT","")</f>
        <v/>
      </c>
      <c r="H13" s="21" t="str">
        <f>IF(COUNTIFS(EmployeeData!$A:$A,$A13,EmployeeData!$F:$F,H$5)&gt;0,"PT","")</f>
        <v/>
      </c>
      <c r="I13" s="21" t="str">
        <f>IF(COUNTIFS(EmployeeData!$A:$A,$A13,EmployeeData!$F:$F,I$5)&gt;0,"PT","")</f>
        <v/>
      </c>
      <c r="J13" s="21" t="str">
        <f>IF(COUNTIFS(EmployeeData!$A:$A,$A13,EmployeeData!$F:$F,J$5)&gt;0,"PT","")</f>
        <v/>
      </c>
      <c r="K13" s="21" t="str">
        <f>IF(COUNTIFS(EmployeeData!$A:$A,$A13,EmployeeData!$F:$F,K$5)&gt;0,"PT","")</f>
        <v/>
      </c>
      <c r="L13" s="21" t="str">
        <f>IF(COUNTIFS(EmployeeData!$A:$A,$A13,EmployeeData!$F:$F,L$5)&gt;0,"PT","")</f>
        <v/>
      </c>
      <c r="M13" s="21" t="str">
        <f>IF(COUNTIFS(EmployeeData!$A:$A,$A13,EmployeeData!$F:$F,M$5)&gt;0,"PT","")</f>
        <v/>
      </c>
      <c r="N13" s="21" t="str">
        <f>IF(COUNTIFS(EmployeeData!$A:$A,$A13,EmployeeData!$F:$F,N$5)&gt;0,"PT","")</f>
        <v/>
      </c>
      <c r="O13" s="21" t="str">
        <f>IF(COUNTIFS(EmployeeData!$A:$A,$A13,EmployeeData!$F:$F,O$5)&gt;0,"PT","")</f>
        <v/>
      </c>
      <c r="P13" s="21" t="s">
        <v>109</v>
      </c>
      <c r="Q13" s="21" t="str">
        <f>IF(COUNTIFS(EmployeeData!$A:$A,$A13,EmployeeData!$F:$F,Q$5)&gt;0,"PT","")</f>
        <v/>
      </c>
      <c r="R13" s="21" t="str">
        <f>IF(COUNTIFS(EmployeeData!$A:$A,$A13,EmployeeData!$F:$F,R$5)&gt;0,"PT","")</f>
        <v/>
      </c>
      <c r="S13" s="21" t="str">
        <f>IF(COUNTIFS(EmployeeData!$A:$A,$A13,EmployeeData!$F:$F,S$5)&gt;0,"PT","")</f>
        <v/>
      </c>
      <c r="T13" s="21" t="str">
        <f>IF(COUNTIFS(EmployeeData!$A:$A,$A13,EmployeeData!$F:$F,T$5)&gt;0,"PT","")</f>
        <v/>
      </c>
      <c r="U13" s="21" t="str">
        <f>IF(COUNTIFS(EmployeeData!$A:$A,$A13,EmployeeData!$F:$F,U$5)&gt;0,"PT","")</f>
        <v/>
      </c>
      <c r="V13" s="21" t="str">
        <f>IF(COUNTIFS(EmployeeData!$A:$A,$A13,EmployeeData!$F:$F,V$5)&gt;0,"PT","")</f>
        <v/>
      </c>
      <c r="W13" s="21" t="str">
        <f>IF(COUNTIFS(EmployeeData!$A:$A,$A13,EmployeeData!$F:$F,W$5)&gt;0,"PT","")</f>
        <v/>
      </c>
      <c r="X13" s="21" t="str">
        <f>IF(COUNTIFS(EmployeeData!$A:$A,$A13,EmployeeData!$F:$F,X$5)&gt;0,"PT","")</f>
        <v/>
      </c>
      <c r="Y13" s="21" t="str">
        <f>IF(COUNTIFS(EmployeeData!$A:$A,$A13,EmployeeData!$F:$F,Y$5)&gt;0,"PT","")</f>
        <v/>
      </c>
      <c r="Z13" s="21" t="str">
        <f>IF(COUNTIFS(EmployeeData!$A:$A,$A13,EmployeeData!$F:$F,Z$5)&gt;0,"PT","")</f>
        <v/>
      </c>
      <c r="AA13" s="21" t="s">
        <v>109</v>
      </c>
      <c r="AB13" s="21" t="str">
        <f>IF(COUNTIFS(EmployeeData!$A:$A,$A13,EmployeeData!$F:$F,AB$5)&gt;0,"PT","")</f>
        <v/>
      </c>
      <c r="AC13" s="21" t="str">
        <f>IF(COUNTIFS(EmployeeData!$A:$A,$A13,EmployeeData!$F:$F,AC$5)&gt;0,"PT","")</f>
        <v/>
      </c>
      <c r="AD13" s="21" t="str">
        <f>IF(COUNTIFS(EmployeeData!$A:$A,$A13,EmployeeData!$F:$F,AD$5)&gt;0,"PT","")</f>
        <v/>
      </c>
      <c r="AE13" s="21" t="str">
        <f>IF(COUNTIFS(EmployeeData!$A:$A,$A13,EmployeeData!$F:$F,AE$5)&gt;0,"PT","")</f>
        <v/>
      </c>
      <c r="AF13" s="21" t="str">
        <f>IF(COUNTIFS(EmployeeData!$A:$A,$A13,EmployeeData!$F:$F,AF$5)&gt;0,"PT","")</f>
        <v/>
      </c>
      <c r="AG13" s="8">
        <f t="shared" si="5"/>
        <v>0</v>
      </c>
      <c r="AH13" s="8">
        <f t="shared" si="3"/>
        <v>0</v>
      </c>
      <c r="AI13" s="8">
        <f t="shared" si="1"/>
        <v>0</v>
      </c>
      <c r="AJ13" s="8">
        <f t="shared" si="4"/>
        <v>0</v>
      </c>
      <c r="AK13" s="8">
        <f t="shared" si="2"/>
        <v>0</v>
      </c>
      <c r="AL13" s="23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</row>
    <row r="14" spans="1:55" s="3" customFormat="1" ht="25.15" customHeight="1" x14ac:dyDescent="0.55000000000000004">
      <c r="A14" s="10" t="s">
        <v>31</v>
      </c>
      <c r="B14" s="21" t="s">
        <v>109</v>
      </c>
      <c r="C14" s="21" t="str">
        <f>IF(COUNTIFS(EmployeeData!$A:$A,$A14,EmployeeData!$F:$F,C$5)&gt;0,"PT","")</f>
        <v/>
      </c>
      <c r="D14" s="21" t="str">
        <f>IF(COUNTIFS(EmployeeData!$A:$A,$A14,EmployeeData!$F:$F,D$5)&gt;0,"PT","")</f>
        <v/>
      </c>
      <c r="E14" s="21" t="str">
        <f>IF(COUNTIFS(EmployeeData!$A:$A,$A14,EmployeeData!$F:$F,E$5)&gt;0,"PT","")</f>
        <v/>
      </c>
      <c r="F14" s="21" t="str">
        <f>IF(COUNTIFS(EmployeeData!$A:$A,$A14,EmployeeData!$F:$F,F$5)&gt;0,"PT","")</f>
        <v/>
      </c>
      <c r="G14" s="21" t="str">
        <f>IF(COUNTIFS(EmployeeData!$A:$A,$A14,EmployeeData!$F:$F,G$5)&gt;0,"PT","")</f>
        <v/>
      </c>
      <c r="H14" s="21" t="str">
        <f>IF(COUNTIFS(EmployeeData!$A:$A,$A14,EmployeeData!$F:$F,H$5)&gt;0,"PT","")</f>
        <v/>
      </c>
      <c r="I14" s="21" t="str">
        <f>IF(COUNTIFS(EmployeeData!$A:$A,$A14,EmployeeData!$F:$F,I$5)&gt;0,"PT","")</f>
        <v/>
      </c>
      <c r="J14" s="21" t="str">
        <f>IF(COUNTIFS(EmployeeData!$A:$A,$A14,EmployeeData!$F:$F,J$5)&gt;0,"PT","")</f>
        <v/>
      </c>
      <c r="K14" s="21" t="str">
        <f>IF(COUNTIFS(EmployeeData!$A:$A,$A14,EmployeeData!$F:$F,K$5)&gt;0,"PT","")</f>
        <v/>
      </c>
      <c r="L14" s="21" t="str">
        <f>IF(COUNTIFS(EmployeeData!$A:$A,$A14,EmployeeData!$F:$F,L$5)&gt;0,"PT","")</f>
        <v/>
      </c>
      <c r="M14" s="21" t="str">
        <f>IF(COUNTIFS(EmployeeData!$A:$A,$A14,EmployeeData!$F:$F,M$5)&gt;0,"PT","")</f>
        <v/>
      </c>
      <c r="N14" s="21" t="str">
        <f>IF(COUNTIFS(EmployeeData!$A:$A,$A14,EmployeeData!$F:$F,N$5)&gt;0,"PT","")</f>
        <v/>
      </c>
      <c r="O14" s="21" t="str">
        <f>IF(COUNTIFS(EmployeeData!$A:$A,$A14,EmployeeData!$F:$F,O$5)&gt;0,"PT","")</f>
        <v/>
      </c>
      <c r="P14" s="21" t="s">
        <v>109</v>
      </c>
      <c r="Q14" s="21" t="str">
        <f>IF(COUNTIFS(EmployeeData!$A:$A,$A14,EmployeeData!$F:$F,Q$5)&gt;0,"PT","")</f>
        <v/>
      </c>
      <c r="R14" s="21" t="str">
        <f>IF(COUNTIFS(EmployeeData!$A:$A,$A14,EmployeeData!$F:$F,R$5)&gt;0,"PT","")</f>
        <v/>
      </c>
      <c r="S14" s="21" t="str">
        <f>IF(COUNTIFS(EmployeeData!$A:$A,$A14,EmployeeData!$F:$F,S$5)&gt;0,"PT","")</f>
        <v/>
      </c>
      <c r="T14" s="21" t="str">
        <f>IF(COUNTIFS(EmployeeData!$A:$A,$A14,EmployeeData!$F:$F,T$5)&gt;0,"PT","")</f>
        <v/>
      </c>
      <c r="U14" s="21" t="str">
        <f>IF(COUNTIFS(EmployeeData!$A:$A,$A14,EmployeeData!$F:$F,U$5)&gt;0,"PT","")</f>
        <v/>
      </c>
      <c r="V14" s="21" t="str">
        <f>IF(COUNTIFS(EmployeeData!$A:$A,$A14,EmployeeData!$F:$F,V$5)&gt;0,"PT","")</f>
        <v/>
      </c>
      <c r="W14" s="21" t="str">
        <f>IF(COUNTIFS(EmployeeData!$A:$A,$A14,EmployeeData!$F:$F,W$5)&gt;0,"PT","")</f>
        <v/>
      </c>
      <c r="X14" s="21" t="str">
        <f>IF(COUNTIFS(EmployeeData!$A:$A,$A14,EmployeeData!$F:$F,X$5)&gt;0,"PT","")</f>
        <v/>
      </c>
      <c r="Y14" s="21" t="str">
        <f>IF(COUNTIFS(EmployeeData!$A:$A,$A14,EmployeeData!$F:$F,Y$5)&gt;0,"PT","")</f>
        <v/>
      </c>
      <c r="Z14" s="21" t="str">
        <f>IF(COUNTIFS(EmployeeData!$A:$A,$A14,EmployeeData!$F:$F,Z$5)&gt;0,"PT","")</f>
        <v/>
      </c>
      <c r="AA14" s="21" t="s">
        <v>109</v>
      </c>
      <c r="AB14" s="21" t="str">
        <f>IF(COUNTIFS(EmployeeData!$A:$A,$A14,EmployeeData!$F:$F,AB$5)&gt;0,"PT","")</f>
        <v/>
      </c>
      <c r="AC14" s="21" t="str">
        <f>IF(COUNTIFS(EmployeeData!$A:$A,$A14,EmployeeData!$F:$F,AC$5)&gt;0,"PT","")</f>
        <v/>
      </c>
      <c r="AD14" s="21" t="str">
        <f>IF(COUNTIFS(EmployeeData!$A:$A,$A14,EmployeeData!$F:$F,AD$5)&gt;0,"PT","")</f>
        <v/>
      </c>
      <c r="AE14" s="21" t="str">
        <f>IF(COUNTIFS(EmployeeData!$A:$A,$A14,EmployeeData!$F:$F,AE$5)&gt;0,"PT","")</f>
        <v/>
      </c>
      <c r="AF14" s="21" t="str">
        <f>IF(COUNTIFS(EmployeeData!$A:$A,$A14,EmployeeData!$F:$F,AF$5)&gt;0,"PT","")</f>
        <v/>
      </c>
      <c r="AG14" s="8">
        <f t="shared" si="5"/>
        <v>0</v>
      </c>
      <c r="AH14" s="8">
        <f t="shared" si="3"/>
        <v>0</v>
      </c>
      <c r="AI14" s="8">
        <f t="shared" si="1"/>
        <v>0</v>
      </c>
      <c r="AJ14" s="8">
        <f t="shared" si="4"/>
        <v>0</v>
      </c>
      <c r="AK14" s="8">
        <f t="shared" si="2"/>
        <v>0</v>
      </c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</row>
    <row r="15" spans="1:55" s="3" customFormat="1" ht="25.15" customHeight="1" x14ac:dyDescent="0.55000000000000004">
      <c r="A15" s="10" t="s">
        <v>36</v>
      </c>
      <c r="B15" s="21" t="s">
        <v>109</v>
      </c>
      <c r="C15" s="21" t="str">
        <f>IF(COUNTIFS(EmployeeData!$A:$A,$A15,EmployeeData!$F:$F,C$5)&gt;0,"PT","")</f>
        <v/>
      </c>
      <c r="D15" s="21" t="str">
        <f>IF(COUNTIFS(EmployeeData!$A:$A,$A15,EmployeeData!$F:$F,D$5)&gt;0,"PT","")</f>
        <v/>
      </c>
      <c r="E15" s="21" t="str">
        <f>IF(COUNTIFS(EmployeeData!$A:$A,$A15,EmployeeData!$F:$F,E$5)&gt;0,"PT","")</f>
        <v/>
      </c>
      <c r="F15" s="21" t="str">
        <f>IF(COUNTIFS(EmployeeData!$A:$A,$A15,EmployeeData!$F:$F,F$5)&gt;0,"PT","")</f>
        <v/>
      </c>
      <c r="G15" s="21" t="str">
        <f>IF(COUNTIFS(EmployeeData!$A:$A,$A15,EmployeeData!$F:$F,G$5)&gt;0,"PT","")</f>
        <v/>
      </c>
      <c r="H15" s="21" t="str">
        <f>IF(COUNTIFS(EmployeeData!$A:$A,$A15,EmployeeData!$F:$F,H$5)&gt;0,"PT","")</f>
        <v/>
      </c>
      <c r="I15" s="21" t="str">
        <f>IF(COUNTIFS(EmployeeData!$A:$A,$A15,EmployeeData!$F:$F,I$5)&gt;0,"PT","")</f>
        <v/>
      </c>
      <c r="J15" s="21" t="str">
        <f>IF(COUNTIFS(EmployeeData!$A:$A,$A15,EmployeeData!$F:$F,J$5)&gt;0,"PT","")</f>
        <v/>
      </c>
      <c r="K15" s="21" t="str">
        <f>IF(COUNTIFS(EmployeeData!$A:$A,$A15,EmployeeData!$F:$F,K$5)&gt;0,"PT","")</f>
        <v/>
      </c>
      <c r="L15" s="21" t="str">
        <f>IF(COUNTIFS(EmployeeData!$A:$A,$A15,EmployeeData!$F:$F,L$5)&gt;0,"PT","")</f>
        <v/>
      </c>
      <c r="M15" s="21" t="str">
        <f>IF(COUNTIFS(EmployeeData!$A:$A,$A15,EmployeeData!$F:$F,M$5)&gt;0,"PT","")</f>
        <v/>
      </c>
      <c r="N15" s="21" t="str">
        <f>IF(COUNTIFS(EmployeeData!$A:$A,$A15,EmployeeData!$F:$F,N$5)&gt;0,"PT","")</f>
        <v/>
      </c>
      <c r="O15" s="21" t="str">
        <f>IF(COUNTIFS(EmployeeData!$A:$A,$A15,EmployeeData!$F:$F,O$5)&gt;0,"PT","")</f>
        <v/>
      </c>
      <c r="P15" s="21" t="s">
        <v>109</v>
      </c>
      <c r="Q15" s="21" t="str">
        <f>IF(COUNTIFS(EmployeeData!$A:$A,$A15,EmployeeData!$F:$F,Q$5)&gt;0,"PT","")</f>
        <v>PT</v>
      </c>
      <c r="R15" s="21" t="str">
        <f>IF(COUNTIFS(EmployeeData!$A:$A,$A15,EmployeeData!$F:$F,R$5)&gt;0,"PT","")</f>
        <v/>
      </c>
      <c r="S15" s="21" t="str">
        <f>IF(COUNTIFS(EmployeeData!$A:$A,$A15,EmployeeData!$F:$F,S$5)&gt;0,"PT","")</f>
        <v/>
      </c>
      <c r="T15" s="21" t="str">
        <f>IF(COUNTIFS(EmployeeData!$A:$A,$A15,EmployeeData!$F:$F,T$5)&gt;0,"PT","")</f>
        <v/>
      </c>
      <c r="U15" s="21" t="str">
        <f>IF(COUNTIFS(EmployeeData!$A:$A,$A15,EmployeeData!$F:$F,U$5)&gt;0,"PT","")</f>
        <v/>
      </c>
      <c r="V15" s="21" t="str">
        <f>IF(COUNTIFS(EmployeeData!$A:$A,$A15,EmployeeData!$F:$F,V$5)&gt;0,"PT","")</f>
        <v/>
      </c>
      <c r="W15" s="21" t="str">
        <f>IF(COUNTIFS(EmployeeData!$A:$A,$A15,EmployeeData!$F:$F,W$5)&gt;0,"PT","")</f>
        <v/>
      </c>
      <c r="X15" s="21" t="str">
        <f>IF(COUNTIFS(EmployeeData!$A:$A,$A15,EmployeeData!$F:$F,X$5)&gt;0,"PT","")</f>
        <v/>
      </c>
      <c r="Y15" s="21" t="str">
        <f>IF(COUNTIFS(EmployeeData!$A:$A,$A15,EmployeeData!$F:$F,Y$5)&gt;0,"PT","")</f>
        <v/>
      </c>
      <c r="Z15" s="21" t="str">
        <f>IF(COUNTIFS(EmployeeData!$A:$A,$A15,EmployeeData!$F:$F,Z$5)&gt;0,"PT","")</f>
        <v/>
      </c>
      <c r="AA15" s="21" t="s">
        <v>109</v>
      </c>
      <c r="AB15" s="21" t="str">
        <f>IF(COUNTIFS(EmployeeData!$A:$A,$A15,EmployeeData!$F:$F,AB$5)&gt;0,"PT","")</f>
        <v/>
      </c>
      <c r="AC15" s="21" t="str">
        <f>IF(COUNTIFS(EmployeeData!$A:$A,$A15,EmployeeData!$F:$F,AC$5)&gt;0,"PT","")</f>
        <v/>
      </c>
      <c r="AD15" s="21" t="str">
        <f>IF(COUNTIFS(EmployeeData!$A:$A,$A15,EmployeeData!$F:$F,AD$5)&gt;0,"PT","")</f>
        <v/>
      </c>
      <c r="AE15" s="21" t="str">
        <f>IF(COUNTIFS(EmployeeData!$A:$A,$A15,EmployeeData!$F:$F,AE$5)&gt;0,"PT","")</f>
        <v/>
      </c>
      <c r="AF15" s="21" t="str">
        <f>IF(COUNTIFS(EmployeeData!$A:$A,$A15,EmployeeData!$F:$F,AF$5)&gt;0,"PT","")</f>
        <v/>
      </c>
      <c r="AG15" s="8">
        <f t="shared" si="5"/>
        <v>1</v>
      </c>
      <c r="AH15" s="8">
        <f t="shared" si="3"/>
        <v>0</v>
      </c>
      <c r="AI15" s="8">
        <f t="shared" si="1"/>
        <v>0</v>
      </c>
      <c r="AJ15" s="8">
        <f t="shared" si="4"/>
        <v>0</v>
      </c>
      <c r="AK15" s="8">
        <f t="shared" si="2"/>
        <v>0</v>
      </c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</row>
    <row r="16" spans="1:55" s="3" customFormat="1" ht="25.15" customHeight="1" x14ac:dyDescent="0.55000000000000004">
      <c r="A16" s="10" t="s">
        <v>32</v>
      </c>
      <c r="B16" s="21" t="s">
        <v>109</v>
      </c>
      <c r="C16" s="21" t="str">
        <f>IF(COUNTIFS(EmployeeData!$A:$A,$A16,EmployeeData!$F:$F,C$5)&gt;0,"PT","")</f>
        <v/>
      </c>
      <c r="D16" s="21" t="str">
        <f>IF(COUNTIFS(EmployeeData!$A:$A,$A16,EmployeeData!$F:$F,D$5)&gt;0,"PT","")</f>
        <v/>
      </c>
      <c r="E16" s="21" t="str">
        <f>IF(COUNTIFS(EmployeeData!$A:$A,$A16,EmployeeData!$F:$F,E$5)&gt;0,"PT","")</f>
        <v/>
      </c>
      <c r="F16" s="21" t="str">
        <f>IF(COUNTIFS(EmployeeData!$A:$A,$A16,EmployeeData!$F:$F,F$5)&gt;0,"PT","")</f>
        <v/>
      </c>
      <c r="G16" s="21" t="str">
        <f>IF(COUNTIFS(EmployeeData!$A:$A,$A16,EmployeeData!$F:$F,G$5)&gt;0,"PT","")</f>
        <v/>
      </c>
      <c r="H16" s="21" t="str">
        <f>IF(COUNTIFS(EmployeeData!$A:$A,$A16,EmployeeData!$F:$F,H$5)&gt;0,"PT","")</f>
        <v/>
      </c>
      <c r="I16" s="21" t="str">
        <f>IF(COUNTIFS(EmployeeData!$A:$A,$A16,EmployeeData!$F:$F,I$5)&gt;0,"PT","")</f>
        <v/>
      </c>
      <c r="J16" s="21" t="str">
        <f>IF(COUNTIFS(EmployeeData!$A:$A,$A16,EmployeeData!$F:$F,J$5)&gt;0,"PT","")</f>
        <v/>
      </c>
      <c r="K16" s="21" t="str">
        <f>IF(COUNTIFS(EmployeeData!$A:$A,$A16,EmployeeData!$F:$F,K$5)&gt;0,"PT","")</f>
        <v/>
      </c>
      <c r="L16" s="21" t="str">
        <f>IF(COUNTIFS(EmployeeData!$A:$A,$A16,EmployeeData!$F:$F,L$5)&gt;0,"PT","")</f>
        <v/>
      </c>
      <c r="M16" s="21" t="str">
        <f>IF(COUNTIFS(EmployeeData!$A:$A,$A16,EmployeeData!$F:$F,M$5)&gt;0,"PT","")</f>
        <v/>
      </c>
      <c r="N16" s="21" t="str">
        <f>IF(COUNTIFS(EmployeeData!$A:$A,$A16,EmployeeData!$F:$F,N$5)&gt;0,"PT","")</f>
        <v/>
      </c>
      <c r="O16" s="21" t="str">
        <f>IF(COUNTIFS(EmployeeData!$A:$A,$A16,EmployeeData!$F:$F,O$5)&gt;0,"PT","")</f>
        <v/>
      </c>
      <c r="P16" s="21" t="s">
        <v>109</v>
      </c>
      <c r="Q16" s="21" t="str">
        <f>IF(COUNTIFS(EmployeeData!$A:$A,$A16,EmployeeData!$F:$F,Q$5)&gt;0,"PT","")</f>
        <v/>
      </c>
      <c r="R16" s="21" t="str">
        <f>IF(COUNTIFS(EmployeeData!$A:$A,$A16,EmployeeData!$F:$F,R$5)&gt;0,"PT","")</f>
        <v/>
      </c>
      <c r="S16" s="21" t="str">
        <f>IF(COUNTIFS(EmployeeData!$A:$A,$A16,EmployeeData!$F:$F,S$5)&gt;0,"PT","")</f>
        <v/>
      </c>
      <c r="T16" s="21" t="str">
        <f>IF(COUNTIFS(EmployeeData!$A:$A,$A16,EmployeeData!$F:$F,T$5)&gt;0,"PT","")</f>
        <v/>
      </c>
      <c r="U16" s="21" t="str">
        <f>IF(COUNTIFS(EmployeeData!$A:$A,$A16,EmployeeData!$F:$F,U$5)&gt;0,"PT","")</f>
        <v/>
      </c>
      <c r="V16" s="21" t="str">
        <f>IF(COUNTIFS(EmployeeData!$A:$A,$A16,EmployeeData!$F:$F,V$5)&gt;0,"PT","")</f>
        <v/>
      </c>
      <c r="W16" s="21" t="str">
        <f>IF(COUNTIFS(EmployeeData!$A:$A,$A16,EmployeeData!$F:$F,W$5)&gt;0,"PT","")</f>
        <v/>
      </c>
      <c r="X16" s="21" t="str">
        <f>IF(COUNTIFS(EmployeeData!$A:$A,$A16,EmployeeData!$F:$F,X$5)&gt;0,"PT","")</f>
        <v/>
      </c>
      <c r="Y16" s="21" t="str">
        <f>IF(COUNTIFS(EmployeeData!$A:$A,$A16,EmployeeData!$F:$F,Y$5)&gt;0,"PT","")</f>
        <v/>
      </c>
      <c r="Z16" s="21" t="str">
        <f>IF(COUNTIFS(EmployeeData!$A:$A,$A16,EmployeeData!$F:$F,Z$5)&gt;0,"PT","")</f>
        <v/>
      </c>
      <c r="AA16" s="21" t="s">
        <v>109</v>
      </c>
      <c r="AB16" s="21" t="str">
        <f>IF(COUNTIFS(EmployeeData!$A:$A,$A16,EmployeeData!$F:$F,AB$5)&gt;0,"PT","")</f>
        <v/>
      </c>
      <c r="AC16" s="21" t="str">
        <f>IF(COUNTIFS(EmployeeData!$A:$A,$A16,EmployeeData!$F:$F,AC$5)&gt;0,"PT","")</f>
        <v/>
      </c>
      <c r="AD16" s="21" t="str">
        <f>IF(COUNTIFS(EmployeeData!$A:$A,$A16,EmployeeData!$F:$F,AD$5)&gt;0,"PT","")</f>
        <v/>
      </c>
      <c r="AE16" s="21" t="str">
        <f>IF(COUNTIFS(EmployeeData!$A:$A,$A16,EmployeeData!$F:$F,AE$5)&gt;0,"PT","")</f>
        <v/>
      </c>
      <c r="AF16" s="21" t="str">
        <f>IF(COUNTIFS(EmployeeData!$A:$A,$A16,EmployeeData!$F:$F,AF$5)&gt;0,"PT","")</f>
        <v/>
      </c>
      <c r="AG16" s="8">
        <f t="shared" si="5"/>
        <v>0</v>
      </c>
      <c r="AH16" s="8">
        <f t="shared" si="3"/>
        <v>0</v>
      </c>
      <c r="AI16" s="8">
        <f t="shared" si="1"/>
        <v>0</v>
      </c>
      <c r="AJ16" s="8">
        <f t="shared" si="4"/>
        <v>0</v>
      </c>
      <c r="AK16" s="8">
        <f t="shared" si="2"/>
        <v>0</v>
      </c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</row>
    <row r="17" spans="1:55" s="3" customFormat="1" ht="25.15" customHeight="1" x14ac:dyDescent="0.55000000000000004">
      <c r="A17" s="10" t="s">
        <v>28</v>
      </c>
      <c r="B17" s="21" t="s">
        <v>109</v>
      </c>
      <c r="C17" s="21" t="str">
        <f>IF(COUNTIFS(EmployeeData!$A:$A,$A17,EmployeeData!$F:$F,C$5)&gt;0,"PT","")</f>
        <v/>
      </c>
      <c r="D17" s="21" t="str">
        <f>IF(COUNTIFS(EmployeeData!$A:$A,$A17,EmployeeData!$F:$F,D$5)&gt;0,"PT","")</f>
        <v/>
      </c>
      <c r="E17" s="21" t="str">
        <f>IF(COUNTIFS(EmployeeData!$A:$A,$A17,EmployeeData!$F:$F,E$5)&gt;0,"PT","")</f>
        <v/>
      </c>
      <c r="F17" s="21" t="str">
        <f>IF(COUNTIFS(EmployeeData!$A:$A,$A17,EmployeeData!$F:$F,F$5)&gt;0,"PT","")</f>
        <v/>
      </c>
      <c r="G17" s="21" t="str">
        <f>IF(COUNTIFS(EmployeeData!$A:$A,$A17,EmployeeData!$F:$F,G$5)&gt;0,"PT","")</f>
        <v/>
      </c>
      <c r="H17" s="21" t="str">
        <f>IF(COUNTIFS(EmployeeData!$A:$A,$A17,EmployeeData!$F:$F,H$5)&gt;0,"PT","")</f>
        <v/>
      </c>
      <c r="I17" s="21" t="str">
        <f>IF(COUNTIFS(EmployeeData!$A:$A,$A17,EmployeeData!$F:$F,I$5)&gt;0,"PT","")</f>
        <v/>
      </c>
      <c r="J17" s="21" t="str">
        <f>IF(COUNTIFS(EmployeeData!$A:$A,$A17,EmployeeData!$F:$F,J$5)&gt;0,"PT","")</f>
        <v/>
      </c>
      <c r="K17" s="21" t="str">
        <f>IF(COUNTIFS(EmployeeData!$A:$A,$A17,EmployeeData!$F:$F,K$5)&gt;0,"PT","")</f>
        <v/>
      </c>
      <c r="L17" s="21" t="str">
        <f>IF(COUNTIFS(EmployeeData!$A:$A,$A17,EmployeeData!$F:$F,L$5)&gt;0,"PT","")</f>
        <v/>
      </c>
      <c r="M17" s="21" t="str">
        <f>IF(COUNTIFS(EmployeeData!$A:$A,$A17,EmployeeData!$F:$F,M$5)&gt;0,"PT","")</f>
        <v/>
      </c>
      <c r="N17" s="21" t="str">
        <f>IF(COUNTIFS(EmployeeData!$A:$A,$A17,EmployeeData!$F:$F,N$5)&gt;0,"PT","")</f>
        <v/>
      </c>
      <c r="O17" s="21" t="str">
        <f>IF(COUNTIFS(EmployeeData!$A:$A,$A17,EmployeeData!$F:$F,O$5)&gt;0,"PT","")</f>
        <v/>
      </c>
      <c r="P17" s="21" t="s">
        <v>109</v>
      </c>
      <c r="Q17" s="21" t="str">
        <f>IF(COUNTIFS(EmployeeData!$A:$A,$A17,EmployeeData!$F:$F,Q$5)&gt;0,"PT","")</f>
        <v/>
      </c>
      <c r="R17" s="21" t="str">
        <f>IF(COUNTIFS(EmployeeData!$A:$A,$A17,EmployeeData!$F:$F,R$5)&gt;0,"PT","")</f>
        <v/>
      </c>
      <c r="S17" s="21" t="str">
        <f>IF(COUNTIFS(EmployeeData!$A:$A,$A17,EmployeeData!$F:$F,S$5)&gt;0,"PT","")</f>
        <v/>
      </c>
      <c r="T17" s="21" t="str">
        <f>IF(COUNTIFS(EmployeeData!$A:$A,$A17,EmployeeData!$F:$F,T$5)&gt;0,"PT","")</f>
        <v/>
      </c>
      <c r="U17" s="21" t="str">
        <f>IF(COUNTIFS(EmployeeData!$A:$A,$A17,EmployeeData!$F:$F,U$5)&gt;0,"PT","")</f>
        <v>PT</v>
      </c>
      <c r="V17" s="21" t="str">
        <f>IF(COUNTIFS(EmployeeData!$A:$A,$A17,EmployeeData!$F:$F,V$5)&gt;0,"PT","")</f>
        <v/>
      </c>
      <c r="W17" s="21" t="str">
        <f>IF(COUNTIFS(EmployeeData!$A:$A,$A17,EmployeeData!$F:$F,W$5)&gt;0,"PT","")</f>
        <v/>
      </c>
      <c r="X17" s="21" t="str">
        <f>IF(COUNTIFS(EmployeeData!$A:$A,$A17,EmployeeData!$F:$F,X$5)&gt;0,"PT","")</f>
        <v/>
      </c>
      <c r="Y17" s="21" t="str">
        <f>IF(COUNTIFS(EmployeeData!$A:$A,$A17,EmployeeData!$F:$F,Y$5)&gt;0,"PT","")</f>
        <v/>
      </c>
      <c r="Z17" s="21" t="str">
        <f>IF(COUNTIFS(EmployeeData!$A:$A,$A17,EmployeeData!$F:$F,Z$5)&gt;0,"PT","")</f>
        <v/>
      </c>
      <c r="AA17" s="21" t="s">
        <v>109</v>
      </c>
      <c r="AB17" s="21" t="str">
        <f>IF(COUNTIFS(EmployeeData!$A:$A,$A17,EmployeeData!$F:$F,AB$5)&gt;0,"PT","")</f>
        <v/>
      </c>
      <c r="AC17" s="21" t="str">
        <f>IF(COUNTIFS(EmployeeData!$A:$A,$A17,EmployeeData!$F:$F,AC$5)&gt;0,"PT","")</f>
        <v/>
      </c>
      <c r="AD17" s="21" t="str">
        <f>IF(COUNTIFS(EmployeeData!$A:$A,$A17,EmployeeData!$F:$F,AD$5)&gt;0,"PT","")</f>
        <v/>
      </c>
      <c r="AE17" s="21" t="str">
        <f>IF(COUNTIFS(EmployeeData!$A:$A,$A17,EmployeeData!$F:$F,AE$5)&gt;0,"PT","")</f>
        <v/>
      </c>
      <c r="AF17" s="21" t="str">
        <f>IF(COUNTIFS(EmployeeData!$A:$A,$A17,EmployeeData!$F:$F,AF$5)&gt;0,"PT","")</f>
        <v/>
      </c>
      <c r="AG17" s="8">
        <f t="shared" si="5"/>
        <v>1</v>
      </c>
      <c r="AH17" s="8">
        <f t="shared" si="3"/>
        <v>0</v>
      </c>
      <c r="AI17" s="8">
        <f t="shared" si="1"/>
        <v>0</v>
      </c>
      <c r="AJ17" s="8">
        <f t="shared" si="4"/>
        <v>0</v>
      </c>
      <c r="AK17" s="8">
        <f t="shared" si="2"/>
        <v>0</v>
      </c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</row>
    <row r="18" spans="1:55" s="3" customFormat="1" ht="25.15" customHeight="1" x14ac:dyDescent="0.55000000000000004">
      <c r="A18" s="10" t="s">
        <v>111</v>
      </c>
      <c r="B18" s="21" t="s">
        <v>109</v>
      </c>
      <c r="C18" s="21" t="str">
        <f>IF(COUNTIFS(EmployeeData!$A:$A,$A18,EmployeeData!$F:$F,C$5)&gt;0,"PT","")</f>
        <v/>
      </c>
      <c r="D18" s="21" t="str">
        <f>IF(COUNTIFS(EmployeeData!$A:$A,$A18,EmployeeData!$F:$F,D$5)&gt;0,"PT","")</f>
        <v/>
      </c>
      <c r="E18" s="21" t="str">
        <f>IF(COUNTIFS(EmployeeData!$A:$A,$A18,EmployeeData!$F:$F,E$5)&gt;0,"PT","")</f>
        <v/>
      </c>
      <c r="F18" s="21" t="str">
        <f>IF(COUNTIFS(EmployeeData!$A:$A,$A18,EmployeeData!$F:$F,F$5)&gt;0,"PT","")</f>
        <v/>
      </c>
      <c r="G18" s="21" t="str">
        <f>IF(COUNTIFS(EmployeeData!$A:$A,$A18,EmployeeData!$F:$F,G$5)&gt;0,"PT","")</f>
        <v/>
      </c>
      <c r="H18" s="21" t="str">
        <f>IF(COUNTIFS(EmployeeData!$A:$A,$A18,EmployeeData!$F:$F,H$5)&gt;0,"PT","")</f>
        <v>PT</v>
      </c>
      <c r="I18" s="21" t="str">
        <f>IF(COUNTIFS(EmployeeData!$A:$A,$A18,EmployeeData!$F:$F,I$5)&gt;0,"PT","")</f>
        <v/>
      </c>
      <c r="J18" s="21" t="str">
        <f>IF(COUNTIFS(EmployeeData!$A:$A,$A18,EmployeeData!$F:$F,J$5)&gt;0,"PT","")</f>
        <v/>
      </c>
      <c r="K18" s="21" t="str">
        <f>IF(COUNTIFS(EmployeeData!$A:$A,$A18,EmployeeData!$F:$F,K$5)&gt;0,"PT","")</f>
        <v/>
      </c>
      <c r="L18" s="21" t="str">
        <f>IF(COUNTIFS(EmployeeData!$A:$A,$A18,EmployeeData!$F:$F,L$5)&gt;0,"PT","")</f>
        <v/>
      </c>
      <c r="M18" s="21" t="str">
        <f>IF(COUNTIFS(EmployeeData!$A:$A,$A18,EmployeeData!$F:$F,M$5)&gt;0,"PT","")</f>
        <v/>
      </c>
      <c r="N18" s="21" t="str">
        <f>IF(COUNTIFS(EmployeeData!$A:$A,$A18,EmployeeData!$F:$F,N$5)&gt;0,"PT","")</f>
        <v/>
      </c>
      <c r="O18" s="21" t="str">
        <f>IF(COUNTIFS(EmployeeData!$A:$A,$A18,EmployeeData!$F:$F,O$5)&gt;0,"PT","")</f>
        <v/>
      </c>
      <c r="P18" s="21" t="s">
        <v>109</v>
      </c>
      <c r="Q18" s="21" t="str">
        <f>IF(COUNTIFS(EmployeeData!$A:$A,$A18,EmployeeData!$F:$F,Q$5)&gt;0,"PT","")</f>
        <v/>
      </c>
      <c r="R18" s="21" t="str">
        <f>IF(COUNTIFS(EmployeeData!$A:$A,$A18,EmployeeData!$F:$F,R$5)&gt;0,"PT","")</f>
        <v/>
      </c>
      <c r="S18" s="21" t="str">
        <f>IF(COUNTIFS(EmployeeData!$A:$A,$A18,EmployeeData!$F:$F,S$5)&gt;0,"PT","")</f>
        <v/>
      </c>
      <c r="T18" s="21" t="str">
        <f>IF(COUNTIFS(EmployeeData!$A:$A,$A18,EmployeeData!$F:$F,T$5)&gt;0,"PT","")</f>
        <v/>
      </c>
      <c r="U18" s="21" t="str">
        <f>IF(COUNTIFS(EmployeeData!$A:$A,$A18,EmployeeData!$F:$F,U$5)&gt;0,"PT","")</f>
        <v/>
      </c>
      <c r="V18" s="21" t="str">
        <f>IF(COUNTIFS(EmployeeData!$A:$A,$A18,EmployeeData!$F:$F,V$5)&gt;0,"PT","")</f>
        <v/>
      </c>
      <c r="W18" s="21" t="str">
        <f>IF(COUNTIFS(EmployeeData!$A:$A,$A18,EmployeeData!$F:$F,W$5)&gt;0,"PT","")</f>
        <v/>
      </c>
      <c r="X18" s="21" t="str">
        <f>IF(COUNTIFS(EmployeeData!$A:$A,$A18,EmployeeData!$F:$F,X$5)&gt;0,"PT","")</f>
        <v/>
      </c>
      <c r="Y18" s="21" t="str">
        <f>IF(COUNTIFS(EmployeeData!$A:$A,$A18,EmployeeData!$F:$F,Y$5)&gt;0,"PT","")</f>
        <v/>
      </c>
      <c r="Z18" s="21" t="str">
        <f>IF(COUNTIFS(EmployeeData!$A:$A,$A18,EmployeeData!$F:$F,Z$5)&gt;0,"PT","")</f>
        <v/>
      </c>
      <c r="AA18" s="21" t="s">
        <v>109</v>
      </c>
      <c r="AB18" s="21" t="str">
        <f>IF(COUNTIFS(EmployeeData!$A:$A,$A18,EmployeeData!$F:$F,AB$5)&gt;0,"PT","")</f>
        <v/>
      </c>
      <c r="AC18" s="21" t="str">
        <f>IF(COUNTIFS(EmployeeData!$A:$A,$A18,EmployeeData!$F:$F,AC$5)&gt;0,"PT","")</f>
        <v/>
      </c>
      <c r="AD18" s="21" t="str">
        <f>IF(COUNTIFS(EmployeeData!$A:$A,$A18,EmployeeData!$F:$F,AD$5)&gt;0,"PT","")</f>
        <v/>
      </c>
      <c r="AE18" s="21" t="str">
        <f>IF(COUNTIFS(EmployeeData!$A:$A,$A18,EmployeeData!$F:$F,AE$5)&gt;0,"PT","")</f>
        <v/>
      </c>
      <c r="AF18" s="21" t="str">
        <f>IF(COUNTIFS(EmployeeData!$A:$A,$A18,EmployeeData!$F:$F,AF$5)&gt;0,"PT","")</f>
        <v/>
      </c>
      <c r="AG18" s="8">
        <f t="shared" si="5"/>
        <v>1</v>
      </c>
      <c r="AH18" s="8">
        <f t="shared" si="3"/>
        <v>0</v>
      </c>
      <c r="AI18" s="8">
        <f t="shared" si="1"/>
        <v>0</v>
      </c>
      <c r="AJ18" s="8">
        <f t="shared" si="4"/>
        <v>0</v>
      </c>
      <c r="AK18" s="8">
        <f t="shared" si="2"/>
        <v>0</v>
      </c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</row>
    <row r="19" spans="1:55" s="3" customFormat="1" ht="25.15" customHeight="1" x14ac:dyDescent="0.55000000000000004">
      <c r="A19" s="10" t="s">
        <v>21</v>
      </c>
      <c r="B19" s="21" t="s">
        <v>109</v>
      </c>
      <c r="C19" s="21" t="str">
        <f>IF(COUNTIFS(EmployeeData!$A:$A,$A19,EmployeeData!$F:$F,C$5)&gt;0,"PT","")</f>
        <v/>
      </c>
      <c r="D19" s="21" t="str">
        <f>IF(COUNTIFS(EmployeeData!$A:$A,$A19,EmployeeData!$F:$F,D$5)&gt;0,"PT","")</f>
        <v/>
      </c>
      <c r="E19" s="21" t="str">
        <f>IF(COUNTIFS(EmployeeData!$A:$A,$A19,EmployeeData!$F:$F,E$5)&gt;0,"PT","")</f>
        <v/>
      </c>
      <c r="F19" s="21" t="str">
        <f>IF(COUNTIFS(EmployeeData!$A:$A,$A19,EmployeeData!$F:$F,F$5)&gt;0,"PT","")</f>
        <v/>
      </c>
      <c r="G19" s="21" t="str">
        <f>IF(COUNTIFS(EmployeeData!$A:$A,$A19,EmployeeData!$F:$F,G$5)&gt;0,"PT","")</f>
        <v/>
      </c>
      <c r="H19" s="21" t="str">
        <f>IF(COUNTIFS(EmployeeData!$A:$A,$A19,EmployeeData!$F:$F,H$5)&gt;0,"PT","")</f>
        <v/>
      </c>
      <c r="I19" s="21" t="str">
        <f>IF(COUNTIFS(EmployeeData!$A:$A,$A19,EmployeeData!$F:$F,I$5)&gt;0,"PT","")</f>
        <v/>
      </c>
      <c r="J19" s="21" t="str">
        <f>IF(COUNTIFS(EmployeeData!$A:$A,$A19,EmployeeData!$F:$F,J$5)&gt;0,"PT","")</f>
        <v/>
      </c>
      <c r="K19" s="21" t="str">
        <f>IF(COUNTIFS(EmployeeData!$A:$A,$A19,EmployeeData!$F:$F,K$5)&gt;0,"PT","")</f>
        <v/>
      </c>
      <c r="L19" s="21" t="str">
        <f>IF(COUNTIFS(EmployeeData!$A:$A,$A19,EmployeeData!$F:$F,L$5)&gt;0,"PT","")</f>
        <v/>
      </c>
      <c r="M19" s="21" t="str">
        <f>IF(COUNTIFS(EmployeeData!$A:$A,$A19,EmployeeData!$F:$F,M$5)&gt;0,"PT","")</f>
        <v/>
      </c>
      <c r="N19" s="21" t="str">
        <f>IF(COUNTIFS(EmployeeData!$A:$A,$A19,EmployeeData!$F:$F,N$5)&gt;0,"PT","")</f>
        <v/>
      </c>
      <c r="O19" s="21" t="str">
        <f>IF(COUNTIFS(EmployeeData!$A:$A,$A19,EmployeeData!$F:$F,O$5)&gt;0,"PT","")</f>
        <v/>
      </c>
      <c r="P19" s="21" t="s">
        <v>109</v>
      </c>
      <c r="Q19" s="21" t="str">
        <f>IF(COUNTIFS(EmployeeData!$A:$A,$A19,EmployeeData!$F:$F,Q$5)&gt;0,"PT","")</f>
        <v/>
      </c>
      <c r="R19" s="21" t="str">
        <f>IF(COUNTIFS(EmployeeData!$A:$A,$A19,EmployeeData!$F:$F,R$5)&gt;0,"PT","")</f>
        <v/>
      </c>
      <c r="S19" s="21" t="str">
        <f>IF(COUNTIFS(EmployeeData!$A:$A,$A19,EmployeeData!$F:$F,S$5)&gt;0,"PT","")</f>
        <v/>
      </c>
      <c r="T19" s="21" t="str">
        <f>IF(COUNTIFS(EmployeeData!$A:$A,$A19,EmployeeData!$F:$F,T$5)&gt;0,"PT","")</f>
        <v/>
      </c>
      <c r="U19" s="21" t="str">
        <f>IF(COUNTIFS(EmployeeData!$A:$A,$A19,EmployeeData!$F:$F,U$5)&gt;0,"PT","")</f>
        <v/>
      </c>
      <c r="V19" s="21" t="str">
        <f>IF(COUNTIFS(EmployeeData!$A:$A,$A19,EmployeeData!$F:$F,V$5)&gt;0,"PT","")</f>
        <v/>
      </c>
      <c r="W19" s="21" t="str">
        <f>IF(COUNTIFS(EmployeeData!$A:$A,$A19,EmployeeData!$F:$F,W$5)&gt;0,"PT","")</f>
        <v/>
      </c>
      <c r="X19" s="21" t="str">
        <f>IF(COUNTIFS(EmployeeData!$A:$A,$A19,EmployeeData!$F:$F,X$5)&gt;0,"PT","")</f>
        <v/>
      </c>
      <c r="Y19" s="21" t="str">
        <f>IF(COUNTIFS(EmployeeData!$A:$A,$A19,EmployeeData!$F:$F,Y$5)&gt;0,"PT","")</f>
        <v/>
      </c>
      <c r="Z19" s="21" t="str">
        <f>IF(COUNTIFS(EmployeeData!$A:$A,$A19,EmployeeData!$F:$F,Z$5)&gt;0,"PT","")</f>
        <v/>
      </c>
      <c r="AA19" s="21" t="s">
        <v>109</v>
      </c>
      <c r="AB19" s="21" t="str">
        <f>IF(COUNTIFS(EmployeeData!$A:$A,$A19,EmployeeData!$F:$F,AB$5)&gt;0,"PT","")</f>
        <v/>
      </c>
      <c r="AC19" s="21" t="str">
        <f>IF(COUNTIFS(EmployeeData!$A:$A,$A19,EmployeeData!$F:$F,AC$5)&gt;0,"PT","")</f>
        <v/>
      </c>
      <c r="AD19" s="21" t="str">
        <f>IF(COUNTIFS(EmployeeData!$A:$A,$A19,EmployeeData!$F:$F,AD$5)&gt;0,"PT","")</f>
        <v/>
      </c>
      <c r="AE19" s="21" t="str">
        <f>IF(COUNTIFS(EmployeeData!$A:$A,$A19,EmployeeData!$F:$F,AE$5)&gt;0,"PT","")</f>
        <v/>
      </c>
      <c r="AF19" s="21" t="str">
        <f>IF(COUNTIFS(EmployeeData!$A:$A,$A19,EmployeeData!$F:$F,AF$5)&gt;0,"PT","")</f>
        <v/>
      </c>
      <c r="AG19" s="8">
        <f t="shared" si="5"/>
        <v>0</v>
      </c>
      <c r="AH19" s="8">
        <f t="shared" si="3"/>
        <v>0</v>
      </c>
      <c r="AI19" s="8">
        <f t="shared" si="1"/>
        <v>0</v>
      </c>
      <c r="AJ19" s="8">
        <f t="shared" si="4"/>
        <v>0</v>
      </c>
      <c r="AK19" s="8">
        <f t="shared" si="2"/>
        <v>0</v>
      </c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</row>
    <row r="20" spans="1:55" s="3" customFormat="1" ht="25.15" customHeight="1" x14ac:dyDescent="0.55000000000000004">
      <c r="A20" s="10" t="s">
        <v>35</v>
      </c>
      <c r="B20" s="21" t="s">
        <v>109</v>
      </c>
      <c r="C20" s="21" t="str">
        <f>IF(COUNTIFS(EmployeeData!$A:$A,$A20,EmployeeData!$F:$F,C$5)&gt;0,"PT","")</f>
        <v/>
      </c>
      <c r="D20" s="21" t="str">
        <f>IF(COUNTIFS(EmployeeData!$A:$A,$A20,EmployeeData!$F:$F,D$5)&gt;0,"PT","")</f>
        <v/>
      </c>
      <c r="E20" s="21" t="str">
        <f>IF(COUNTIFS(EmployeeData!$A:$A,$A20,EmployeeData!$F:$F,E$5)&gt;0,"PT","")</f>
        <v/>
      </c>
      <c r="F20" s="21" t="str">
        <f>IF(COUNTIFS(EmployeeData!$A:$A,$A20,EmployeeData!$F:$F,F$5)&gt;0,"PT","")</f>
        <v/>
      </c>
      <c r="G20" s="21" t="str">
        <f>IF(COUNTIFS(EmployeeData!$A:$A,$A20,EmployeeData!$F:$F,G$5)&gt;0,"PT","")</f>
        <v/>
      </c>
      <c r="H20" s="21" t="str">
        <f>IF(COUNTIFS(EmployeeData!$A:$A,$A20,EmployeeData!$F:$F,H$5)&gt;0,"PT","")</f>
        <v/>
      </c>
      <c r="I20" s="21" t="str">
        <f>IF(COUNTIFS(EmployeeData!$A:$A,$A20,EmployeeData!$F:$F,I$5)&gt;0,"PT","")</f>
        <v>PT</v>
      </c>
      <c r="J20" s="21" t="str">
        <f>IF(COUNTIFS(EmployeeData!$A:$A,$A20,EmployeeData!$F:$F,J$5)&gt;0,"PT","")</f>
        <v/>
      </c>
      <c r="K20" s="21" t="str">
        <f>IF(COUNTIFS(EmployeeData!$A:$A,$A20,EmployeeData!$F:$F,K$5)&gt;0,"PT","")</f>
        <v/>
      </c>
      <c r="L20" s="21" t="str">
        <f>IF(COUNTIFS(EmployeeData!$A:$A,$A20,EmployeeData!$F:$F,L$5)&gt;0,"PT","")</f>
        <v/>
      </c>
      <c r="M20" s="21" t="str">
        <f>IF(COUNTIFS(EmployeeData!$A:$A,$A20,EmployeeData!$F:$F,M$5)&gt;0,"PT","")</f>
        <v/>
      </c>
      <c r="N20" s="21" t="str">
        <f>IF(COUNTIFS(EmployeeData!$A:$A,$A20,EmployeeData!$F:$F,N$5)&gt;0,"PT","")</f>
        <v/>
      </c>
      <c r="O20" s="21" t="str">
        <f>IF(COUNTIFS(EmployeeData!$A:$A,$A20,EmployeeData!$F:$F,O$5)&gt;0,"PT","")</f>
        <v/>
      </c>
      <c r="P20" s="21" t="s">
        <v>109</v>
      </c>
      <c r="Q20" s="21" t="str">
        <f>IF(COUNTIFS(EmployeeData!$A:$A,$A20,EmployeeData!$F:$F,Q$5)&gt;0,"PT","")</f>
        <v/>
      </c>
      <c r="R20" s="21" t="str">
        <f>IF(COUNTIFS(EmployeeData!$A:$A,$A20,EmployeeData!$F:$F,R$5)&gt;0,"PT","")</f>
        <v/>
      </c>
      <c r="S20" s="21" t="str">
        <f>IF(COUNTIFS(EmployeeData!$A:$A,$A20,EmployeeData!$F:$F,S$5)&gt;0,"PT","")</f>
        <v/>
      </c>
      <c r="T20" s="21" t="str">
        <f>IF(COUNTIFS(EmployeeData!$A:$A,$A20,EmployeeData!$F:$F,T$5)&gt;0,"PT","")</f>
        <v/>
      </c>
      <c r="U20" s="21" t="str">
        <f>IF(COUNTIFS(EmployeeData!$A:$A,$A20,EmployeeData!$F:$F,U$5)&gt;0,"PT","")</f>
        <v/>
      </c>
      <c r="V20" s="21" t="str">
        <f>IF(COUNTIFS(EmployeeData!$A:$A,$A20,EmployeeData!$F:$F,V$5)&gt;0,"PT","")</f>
        <v/>
      </c>
      <c r="W20" s="21" t="str">
        <f>IF(COUNTIFS(EmployeeData!$A:$A,$A20,EmployeeData!$F:$F,W$5)&gt;0,"PT","")</f>
        <v/>
      </c>
      <c r="X20" s="21" t="str">
        <f>IF(COUNTIFS(EmployeeData!$A:$A,$A20,EmployeeData!$F:$F,X$5)&gt;0,"PT","")</f>
        <v/>
      </c>
      <c r="Y20" s="21" t="str">
        <f>IF(COUNTIFS(EmployeeData!$A:$A,$A20,EmployeeData!$F:$F,Y$5)&gt;0,"PT","")</f>
        <v/>
      </c>
      <c r="Z20" s="21" t="str">
        <f>IF(COUNTIFS(EmployeeData!$A:$A,$A20,EmployeeData!$F:$F,Z$5)&gt;0,"PT","")</f>
        <v/>
      </c>
      <c r="AA20" s="21" t="s">
        <v>109</v>
      </c>
      <c r="AB20" s="21" t="str">
        <f>IF(COUNTIFS(EmployeeData!$A:$A,$A20,EmployeeData!$F:$F,AB$5)&gt;0,"PT","")</f>
        <v/>
      </c>
      <c r="AC20" s="21" t="str">
        <f>IF(COUNTIFS(EmployeeData!$A:$A,$A20,EmployeeData!$F:$F,AC$5)&gt;0,"PT","")</f>
        <v/>
      </c>
      <c r="AD20" s="21" t="str">
        <f>IF(COUNTIFS(EmployeeData!$A:$A,$A20,EmployeeData!$F:$F,AD$5)&gt;0,"PT","")</f>
        <v/>
      </c>
      <c r="AE20" s="21" t="str">
        <f>IF(COUNTIFS(EmployeeData!$A:$A,$A20,EmployeeData!$F:$F,AE$5)&gt;0,"PT","")</f>
        <v/>
      </c>
      <c r="AF20" s="21" t="str">
        <f>IF(COUNTIFS(EmployeeData!$A:$A,$A20,EmployeeData!$F:$F,AF$5)&gt;0,"PT","")</f>
        <v/>
      </c>
      <c r="AG20" s="8">
        <f t="shared" si="5"/>
        <v>1</v>
      </c>
      <c r="AH20" s="8">
        <f t="shared" si="3"/>
        <v>0</v>
      </c>
      <c r="AI20" s="8">
        <f t="shared" si="1"/>
        <v>0</v>
      </c>
      <c r="AJ20" s="8">
        <f t="shared" si="4"/>
        <v>0</v>
      </c>
      <c r="AK20" s="8">
        <f t="shared" si="2"/>
        <v>0</v>
      </c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</row>
    <row r="21" spans="1:55" s="3" customFormat="1" ht="25.15" customHeight="1" x14ac:dyDescent="0.55000000000000004">
      <c r="A21" s="10" t="s">
        <v>43</v>
      </c>
      <c r="B21" s="21" t="s">
        <v>109</v>
      </c>
      <c r="C21" s="21" t="str">
        <f>IF(COUNTIFS(EmployeeData!$A:$A,$A21,EmployeeData!$F:$F,C$5)&gt;0,"PT","")</f>
        <v/>
      </c>
      <c r="D21" s="21" t="str">
        <f>IF(COUNTIFS(EmployeeData!$A:$A,$A21,EmployeeData!$F:$F,D$5)&gt;0,"PT","")</f>
        <v/>
      </c>
      <c r="E21" s="21" t="str">
        <f>IF(COUNTIFS(EmployeeData!$A:$A,$A21,EmployeeData!$F:$F,E$5)&gt;0,"PT","")</f>
        <v/>
      </c>
      <c r="F21" s="21" t="str">
        <f>IF(COUNTIFS(EmployeeData!$A:$A,$A21,EmployeeData!$F:$F,F$5)&gt;0,"PT","")</f>
        <v/>
      </c>
      <c r="G21" s="21" t="str">
        <f>IF(COUNTIFS(EmployeeData!$A:$A,$A21,EmployeeData!$F:$F,G$5)&gt;0,"PT","")</f>
        <v/>
      </c>
      <c r="H21" s="21" t="str">
        <f>IF(COUNTIFS(EmployeeData!$A:$A,$A21,EmployeeData!$F:$F,H$5)&gt;0,"PT","")</f>
        <v/>
      </c>
      <c r="I21" s="21" t="str">
        <f>IF(COUNTIFS(EmployeeData!$A:$A,$A21,EmployeeData!$F:$F,I$5)&gt;0,"PT","")</f>
        <v/>
      </c>
      <c r="J21" s="21" t="str">
        <f>IF(COUNTIFS(EmployeeData!$A:$A,$A21,EmployeeData!$F:$F,J$5)&gt;0,"PT","")</f>
        <v/>
      </c>
      <c r="K21" s="21" t="str">
        <f>IF(COUNTIFS(EmployeeData!$A:$A,$A21,EmployeeData!$F:$F,K$5)&gt;0,"PT","")</f>
        <v/>
      </c>
      <c r="L21" s="21" t="str">
        <f>IF(COUNTIFS(EmployeeData!$A:$A,$A21,EmployeeData!$F:$F,L$5)&gt;0,"PT","")</f>
        <v/>
      </c>
      <c r="M21" s="21" t="str">
        <f>IF(COUNTIFS(EmployeeData!$A:$A,$A21,EmployeeData!$F:$F,M$5)&gt;0,"PT","")</f>
        <v/>
      </c>
      <c r="N21" s="21" t="str">
        <f>IF(COUNTIFS(EmployeeData!$A:$A,$A21,EmployeeData!$F:$F,N$5)&gt;0,"PT","")</f>
        <v/>
      </c>
      <c r="O21" s="21" t="str">
        <f>IF(COUNTIFS(EmployeeData!$A:$A,$A21,EmployeeData!$F:$F,O$5)&gt;0,"PT","")</f>
        <v/>
      </c>
      <c r="P21" s="21" t="s">
        <v>109</v>
      </c>
      <c r="Q21" s="21" t="str">
        <f>IF(COUNTIFS(EmployeeData!$A:$A,$A21,EmployeeData!$F:$F,Q$5)&gt;0,"PT","")</f>
        <v/>
      </c>
      <c r="R21" s="21" t="str">
        <f>IF(COUNTIFS(EmployeeData!$A:$A,$A21,EmployeeData!$F:$F,R$5)&gt;0,"PT","")</f>
        <v/>
      </c>
      <c r="S21" s="21" t="str">
        <f>IF(COUNTIFS(EmployeeData!$A:$A,$A21,EmployeeData!$F:$F,S$5)&gt;0,"PT","")</f>
        <v/>
      </c>
      <c r="T21" s="21" t="str">
        <f>IF(COUNTIFS(EmployeeData!$A:$A,$A21,EmployeeData!$F:$F,T$5)&gt;0,"PT","")</f>
        <v/>
      </c>
      <c r="U21" s="21" t="str">
        <f>IF(COUNTIFS(EmployeeData!$A:$A,$A21,EmployeeData!$F:$F,U$5)&gt;0,"PT","")</f>
        <v/>
      </c>
      <c r="V21" s="21" t="str">
        <f>IF(COUNTIFS(EmployeeData!$A:$A,$A21,EmployeeData!$F:$F,V$5)&gt;0,"PT","")</f>
        <v/>
      </c>
      <c r="W21" s="21" t="str">
        <f>IF(COUNTIFS(EmployeeData!$A:$A,$A21,EmployeeData!$F:$F,W$5)&gt;0,"PT","")</f>
        <v/>
      </c>
      <c r="X21" s="21" t="str">
        <f>IF(COUNTIFS(EmployeeData!$A:$A,$A21,EmployeeData!$F:$F,X$5)&gt;0,"PT","")</f>
        <v/>
      </c>
      <c r="Y21" s="21" t="str">
        <f>IF(COUNTIFS(EmployeeData!$A:$A,$A21,EmployeeData!$F:$F,Y$5)&gt;0,"PT","")</f>
        <v/>
      </c>
      <c r="Z21" s="21" t="str">
        <f>IF(COUNTIFS(EmployeeData!$A:$A,$A21,EmployeeData!$F:$F,Z$5)&gt;0,"PT","")</f>
        <v/>
      </c>
      <c r="AA21" s="21" t="s">
        <v>109</v>
      </c>
      <c r="AB21" s="21" t="str">
        <f>IF(COUNTIFS(EmployeeData!$A:$A,$A21,EmployeeData!$F:$F,AB$5)&gt;0,"PT","")</f>
        <v/>
      </c>
      <c r="AC21" s="21" t="str">
        <f>IF(COUNTIFS(EmployeeData!$A:$A,$A21,EmployeeData!$F:$F,AC$5)&gt;0,"PT","")</f>
        <v/>
      </c>
      <c r="AD21" s="21" t="str">
        <f>IF(COUNTIFS(EmployeeData!$A:$A,$A21,EmployeeData!$F:$F,AD$5)&gt;0,"PT","")</f>
        <v/>
      </c>
      <c r="AE21" s="21" t="str">
        <f>IF(COUNTIFS(EmployeeData!$A:$A,$A21,EmployeeData!$F:$F,AE$5)&gt;0,"PT","")</f>
        <v/>
      </c>
      <c r="AF21" s="21" t="str">
        <f>IF(COUNTIFS(EmployeeData!$A:$A,$A21,EmployeeData!$F:$F,AF$5)&gt;0,"PT","")</f>
        <v/>
      </c>
      <c r="AG21" s="8">
        <f t="shared" si="5"/>
        <v>0</v>
      </c>
      <c r="AH21" s="8">
        <f t="shared" si="3"/>
        <v>0</v>
      </c>
      <c r="AI21" s="8">
        <f t="shared" si="1"/>
        <v>0</v>
      </c>
      <c r="AJ21" s="8">
        <f t="shared" si="4"/>
        <v>0</v>
      </c>
      <c r="AK21" s="8">
        <f t="shared" si="2"/>
        <v>0</v>
      </c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</row>
    <row r="22" spans="1:55" s="3" customFormat="1" ht="25.15" customHeight="1" x14ac:dyDescent="0.55000000000000004">
      <c r="A22" s="10" t="s">
        <v>112</v>
      </c>
      <c r="B22" s="21" t="s">
        <v>109</v>
      </c>
      <c r="C22" s="21" t="str">
        <f>IF(COUNTIFS(EmployeeData!$A:$A,$A22,EmployeeData!$F:$F,C$5)&gt;0,"PT","")</f>
        <v/>
      </c>
      <c r="D22" s="21" t="str">
        <f>IF(COUNTIFS(EmployeeData!$A:$A,$A22,EmployeeData!$F:$F,D$5)&gt;0,"PT","")</f>
        <v/>
      </c>
      <c r="E22" s="21" t="str">
        <f>IF(COUNTIFS(EmployeeData!$A:$A,$A22,EmployeeData!$F:$F,E$5)&gt;0,"PT","")</f>
        <v/>
      </c>
      <c r="F22" s="21" t="str">
        <f>IF(COUNTIFS(EmployeeData!$A:$A,$A22,EmployeeData!$F:$F,F$5)&gt;0,"PT","")</f>
        <v/>
      </c>
      <c r="G22" s="21" t="str">
        <f>IF(COUNTIFS(EmployeeData!$A:$A,$A22,EmployeeData!$F:$F,G$5)&gt;0,"PT","")</f>
        <v/>
      </c>
      <c r="H22" s="21" t="str">
        <f>IF(COUNTIFS(EmployeeData!$A:$A,$A22,EmployeeData!$F:$F,H$5)&gt;0,"PT","")</f>
        <v/>
      </c>
      <c r="I22" s="21" t="str">
        <f>IF(COUNTIFS(EmployeeData!$A:$A,$A22,EmployeeData!$F:$F,I$5)&gt;0,"PT","")</f>
        <v/>
      </c>
      <c r="J22" s="21" t="str">
        <f>IF(COUNTIFS(EmployeeData!$A:$A,$A22,EmployeeData!$F:$F,J$5)&gt;0,"PT","")</f>
        <v/>
      </c>
      <c r="K22" s="21" t="str">
        <f>IF(COUNTIFS(EmployeeData!$A:$A,$A22,EmployeeData!$F:$F,K$5)&gt;0,"PT","")</f>
        <v/>
      </c>
      <c r="L22" s="21" t="str">
        <f>IF(COUNTIFS(EmployeeData!$A:$A,$A22,EmployeeData!$F:$F,L$5)&gt;0,"PT","")</f>
        <v/>
      </c>
      <c r="M22" s="21" t="str">
        <f>IF(COUNTIFS(EmployeeData!$A:$A,$A22,EmployeeData!$F:$F,M$5)&gt;0,"PT","")</f>
        <v/>
      </c>
      <c r="N22" s="21" t="str">
        <f>IF(COUNTIFS(EmployeeData!$A:$A,$A22,EmployeeData!$F:$F,N$5)&gt;0,"PT","")</f>
        <v/>
      </c>
      <c r="O22" s="21" t="str">
        <f>IF(COUNTIFS(EmployeeData!$A:$A,$A22,EmployeeData!$F:$F,O$5)&gt;0,"PT","")</f>
        <v/>
      </c>
      <c r="P22" s="21" t="s">
        <v>109</v>
      </c>
      <c r="Q22" s="21" t="str">
        <f>IF(COUNTIFS(EmployeeData!$A:$A,$A22,EmployeeData!$F:$F,Q$5)&gt;0,"PT","")</f>
        <v/>
      </c>
      <c r="R22" s="21" t="str">
        <f>IF(COUNTIFS(EmployeeData!$A:$A,$A22,EmployeeData!$F:$F,R$5)&gt;0,"PT","")</f>
        <v/>
      </c>
      <c r="S22" s="21" t="str">
        <f>IF(COUNTIFS(EmployeeData!$A:$A,$A22,EmployeeData!$F:$F,S$5)&gt;0,"PT","")</f>
        <v/>
      </c>
      <c r="T22" s="21" t="str">
        <f>IF(COUNTIFS(EmployeeData!$A:$A,$A22,EmployeeData!$F:$F,T$5)&gt;0,"PT","")</f>
        <v/>
      </c>
      <c r="U22" s="21" t="str">
        <f>IF(COUNTIFS(EmployeeData!$A:$A,$A22,EmployeeData!$F:$F,U$5)&gt;0,"PT","")</f>
        <v/>
      </c>
      <c r="V22" s="21" t="str">
        <f>IF(COUNTIFS(EmployeeData!$A:$A,$A22,EmployeeData!$F:$F,V$5)&gt;0,"PT","")</f>
        <v/>
      </c>
      <c r="W22" s="21" t="str">
        <f>IF(COUNTIFS(EmployeeData!$A:$A,$A22,EmployeeData!$F:$F,W$5)&gt;0,"PT","")</f>
        <v/>
      </c>
      <c r="X22" s="21" t="str">
        <f>IF(COUNTIFS(EmployeeData!$A:$A,$A22,EmployeeData!$F:$F,X$5)&gt;0,"PT","")</f>
        <v/>
      </c>
      <c r="Y22" s="21" t="str">
        <f>IF(COUNTIFS(EmployeeData!$A:$A,$A22,EmployeeData!$F:$F,Y$5)&gt;0,"PT","")</f>
        <v/>
      </c>
      <c r="Z22" s="21" t="str">
        <f>IF(COUNTIFS(EmployeeData!$A:$A,$A22,EmployeeData!$F:$F,Z$5)&gt;0,"PT","")</f>
        <v/>
      </c>
      <c r="AA22" s="21" t="s">
        <v>109</v>
      </c>
      <c r="AB22" s="21" t="str">
        <f>IF(COUNTIFS(EmployeeData!$A:$A,$A22,EmployeeData!$F:$F,AB$5)&gt;0,"PT","")</f>
        <v>PT</v>
      </c>
      <c r="AC22" s="21" t="str">
        <f>IF(COUNTIFS(EmployeeData!$A:$A,$A22,EmployeeData!$F:$F,AC$5)&gt;0,"PT","")</f>
        <v/>
      </c>
      <c r="AD22" s="21" t="str">
        <f>IF(COUNTIFS(EmployeeData!$A:$A,$A22,EmployeeData!$F:$F,AD$5)&gt;0,"PT","")</f>
        <v/>
      </c>
      <c r="AE22" s="21" t="str">
        <f>IF(COUNTIFS(EmployeeData!$A:$A,$A22,EmployeeData!$F:$F,AE$5)&gt;0,"PT","")</f>
        <v/>
      </c>
      <c r="AF22" s="21" t="str">
        <f>IF(COUNTIFS(EmployeeData!$A:$A,$A22,EmployeeData!$F:$F,AF$5)&gt;0,"PT","")</f>
        <v/>
      </c>
      <c r="AG22" s="8">
        <f t="shared" si="5"/>
        <v>1</v>
      </c>
      <c r="AH22" s="8">
        <f t="shared" si="3"/>
        <v>0</v>
      </c>
      <c r="AI22" s="8">
        <f t="shared" si="1"/>
        <v>0</v>
      </c>
      <c r="AJ22" s="8">
        <f t="shared" si="4"/>
        <v>0</v>
      </c>
      <c r="AK22" s="8">
        <f t="shared" si="2"/>
        <v>0</v>
      </c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</row>
    <row r="23" spans="1:55" s="3" customFormat="1" ht="25.15" customHeight="1" x14ac:dyDescent="0.55000000000000004">
      <c r="A23" s="10" t="s">
        <v>26</v>
      </c>
      <c r="B23" s="21" t="s">
        <v>109</v>
      </c>
      <c r="C23" s="21" t="str">
        <f>IF(COUNTIFS(EmployeeData!$A:$A,$A23,EmployeeData!$F:$F,C$5)&gt;0,"PT","")</f>
        <v>PT</v>
      </c>
      <c r="D23" s="21" t="str">
        <f>IF(COUNTIFS(EmployeeData!$A:$A,$A23,EmployeeData!$F:$F,D$5)&gt;0,"PT","")</f>
        <v/>
      </c>
      <c r="E23" s="21" t="str">
        <f>IF(COUNTIFS(EmployeeData!$A:$A,$A23,EmployeeData!$F:$F,E$5)&gt;0,"PT","")</f>
        <v/>
      </c>
      <c r="F23" s="21" t="str">
        <f>IF(COUNTIFS(EmployeeData!$A:$A,$A23,EmployeeData!$F:$F,F$5)&gt;0,"PT","")</f>
        <v/>
      </c>
      <c r="G23" s="21" t="str">
        <f>IF(COUNTIFS(EmployeeData!$A:$A,$A23,EmployeeData!$F:$F,G$5)&gt;0,"PT","")</f>
        <v/>
      </c>
      <c r="H23" s="21" t="str">
        <f>IF(COUNTIFS(EmployeeData!$A:$A,$A23,EmployeeData!$F:$F,H$5)&gt;0,"PT","")</f>
        <v/>
      </c>
      <c r="I23" s="21" t="str">
        <f>IF(COUNTIFS(EmployeeData!$A:$A,$A23,EmployeeData!$F:$F,I$5)&gt;0,"PT","")</f>
        <v/>
      </c>
      <c r="J23" s="21" t="str">
        <f>IF(COUNTIFS(EmployeeData!$A:$A,$A23,EmployeeData!$F:$F,J$5)&gt;0,"PT","")</f>
        <v/>
      </c>
      <c r="K23" s="21" t="str">
        <f>IF(COUNTIFS(EmployeeData!$A:$A,$A23,EmployeeData!$F:$F,K$5)&gt;0,"PT","")</f>
        <v/>
      </c>
      <c r="L23" s="21" t="str">
        <f>IF(COUNTIFS(EmployeeData!$A:$A,$A23,EmployeeData!$F:$F,L$5)&gt;0,"PT","")</f>
        <v/>
      </c>
      <c r="M23" s="21" t="str">
        <f>IF(COUNTIFS(EmployeeData!$A:$A,$A23,EmployeeData!$F:$F,M$5)&gt;0,"PT","")</f>
        <v/>
      </c>
      <c r="N23" s="21" t="str">
        <f>IF(COUNTIFS(EmployeeData!$A:$A,$A23,EmployeeData!$F:$F,N$5)&gt;0,"PT","")</f>
        <v/>
      </c>
      <c r="O23" s="21" t="str">
        <f>IF(COUNTIFS(EmployeeData!$A:$A,$A23,EmployeeData!$F:$F,O$5)&gt;0,"PT","")</f>
        <v/>
      </c>
      <c r="P23" s="21" t="s">
        <v>109</v>
      </c>
      <c r="Q23" s="21" t="str">
        <f>IF(COUNTIFS(EmployeeData!$A:$A,$A23,EmployeeData!$F:$F,Q$5)&gt;0,"PT","")</f>
        <v/>
      </c>
      <c r="R23" s="21" t="str">
        <f>IF(COUNTIFS(EmployeeData!$A:$A,$A23,EmployeeData!$F:$F,R$5)&gt;0,"PT","")</f>
        <v/>
      </c>
      <c r="S23" s="21" t="str">
        <f>IF(COUNTIFS(EmployeeData!$A:$A,$A23,EmployeeData!$F:$F,S$5)&gt;0,"PT","")</f>
        <v/>
      </c>
      <c r="T23" s="21" t="str">
        <f>IF(COUNTIFS(EmployeeData!$A:$A,$A23,EmployeeData!$F:$F,T$5)&gt;0,"PT","")</f>
        <v/>
      </c>
      <c r="U23" s="21" t="str">
        <f>IF(COUNTIFS(EmployeeData!$A:$A,$A23,EmployeeData!$F:$F,U$5)&gt;0,"PT","")</f>
        <v/>
      </c>
      <c r="V23" s="21" t="str">
        <f>IF(COUNTIFS(EmployeeData!$A:$A,$A23,EmployeeData!$F:$F,V$5)&gt;0,"PT","")</f>
        <v/>
      </c>
      <c r="W23" s="21" t="str">
        <f>IF(COUNTIFS(EmployeeData!$A:$A,$A23,EmployeeData!$F:$F,W$5)&gt;0,"PT","")</f>
        <v/>
      </c>
      <c r="X23" s="21" t="str">
        <f>IF(COUNTIFS(EmployeeData!$A:$A,$A23,EmployeeData!$F:$F,X$5)&gt;0,"PT","")</f>
        <v/>
      </c>
      <c r="Y23" s="21" t="str">
        <f>IF(COUNTIFS(EmployeeData!$A:$A,$A23,EmployeeData!$F:$F,Y$5)&gt;0,"PT","")</f>
        <v/>
      </c>
      <c r="Z23" s="21" t="str">
        <f>IF(COUNTIFS(EmployeeData!$A:$A,$A23,EmployeeData!$F:$F,Z$5)&gt;0,"PT","")</f>
        <v/>
      </c>
      <c r="AA23" s="21" t="s">
        <v>109</v>
      </c>
      <c r="AB23" s="21" t="str">
        <f>IF(COUNTIFS(EmployeeData!$A:$A,$A23,EmployeeData!$F:$F,AB$5)&gt;0,"PT","")</f>
        <v/>
      </c>
      <c r="AC23" s="21" t="str">
        <f>IF(COUNTIFS(EmployeeData!$A:$A,$A23,EmployeeData!$F:$F,AC$5)&gt;0,"PT","")</f>
        <v/>
      </c>
      <c r="AD23" s="21" t="str">
        <f>IF(COUNTIFS(EmployeeData!$A:$A,$A23,EmployeeData!$F:$F,AD$5)&gt;0,"PT","")</f>
        <v/>
      </c>
      <c r="AE23" s="21" t="str">
        <f>IF(COUNTIFS(EmployeeData!$A:$A,$A23,EmployeeData!$F:$F,AE$5)&gt;0,"PT","")</f>
        <v/>
      </c>
      <c r="AF23" s="21" t="str">
        <f>IF(COUNTIFS(EmployeeData!$A:$A,$A23,EmployeeData!$F:$F,AF$5)&gt;0,"PT","")</f>
        <v/>
      </c>
      <c r="AG23" s="8">
        <f t="shared" si="5"/>
        <v>1</v>
      </c>
      <c r="AH23" s="8">
        <f t="shared" si="3"/>
        <v>0</v>
      </c>
      <c r="AI23" s="8">
        <f t="shared" si="1"/>
        <v>0</v>
      </c>
      <c r="AJ23" s="8">
        <f t="shared" si="4"/>
        <v>0</v>
      </c>
      <c r="AK23" s="8">
        <f t="shared" si="2"/>
        <v>0</v>
      </c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</row>
    <row r="24" spans="1:55" s="3" customFormat="1" ht="25.15" customHeight="1" x14ac:dyDescent="0.55000000000000004">
      <c r="A24" s="10" t="s">
        <v>27</v>
      </c>
      <c r="B24" s="21" t="s">
        <v>109</v>
      </c>
      <c r="C24" s="21" t="str">
        <f>IF(COUNTIFS(EmployeeData!$A:$A,$A24,EmployeeData!$F:$F,C$5)&gt;0,"PT","")</f>
        <v>PT</v>
      </c>
      <c r="D24" s="21" t="str">
        <f>IF(COUNTIFS(EmployeeData!$A:$A,$A24,EmployeeData!$F:$F,D$5)&gt;0,"PT","")</f>
        <v/>
      </c>
      <c r="E24" s="21" t="str">
        <f>IF(COUNTIFS(EmployeeData!$A:$A,$A24,EmployeeData!$F:$F,E$5)&gt;0,"PT","")</f>
        <v/>
      </c>
      <c r="F24" s="21" t="str">
        <f>IF(COUNTIFS(EmployeeData!$A:$A,$A24,EmployeeData!$F:$F,F$5)&gt;0,"PT","")</f>
        <v/>
      </c>
      <c r="G24" s="21" t="str">
        <f>IF(COUNTIFS(EmployeeData!$A:$A,$A24,EmployeeData!$F:$F,G$5)&gt;0,"PT","")</f>
        <v/>
      </c>
      <c r="H24" s="21" t="str">
        <f>IF(COUNTIFS(EmployeeData!$A:$A,$A24,EmployeeData!$F:$F,H$5)&gt;0,"PT","")</f>
        <v/>
      </c>
      <c r="I24" s="21" t="str">
        <f>IF(COUNTIFS(EmployeeData!$A:$A,$A24,EmployeeData!$F:$F,I$5)&gt;0,"PT","")</f>
        <v/>
      </c>
      <c r="J24" s="21" t="str">
        <f>IF(COUNTIFS(EmployeeData!$A:$A,$A24,EmployeeData!$F:$F,J$5)&gt;0,"PT","")</f>
        <v/>
      </c>
      <c r="K24" s="21" t="str">
        <f>IF(COUNTIFS(EmployeeData!$A:$A,$A24,EmployeeData!$F:$F,K$5)&gt;0,"PT","")</f>
        <v/>
      </c>
      <c r="L24" s="21" t="str">
        <f>IF(COUNTIFS(EmployeeData!$A:$A,$A24,EmployeeData!$F:$F,L$5)&gt;0,"PT","")</f>
        <v/>
      </c>
      <c r="M24" s="21" t="str">
        <f>IF(COUNTIFS(EmployeeData!$A:$A,$A24,EmployeeData!$F:$F,M$5)&gt;0,"PT","")</f>
        <v/>
      </c>
      <c r="N24" s="21" t="str">
        <f>IF(COUNTIFS(EmployeeData!$A:$A,$A24,EmployeeData!$F:$F,N$5)&gt;0,"PT","")</f>
        <v/>
      </c>
      <c r="O24" s="21" t="str">
        <f>IF(COUNTIFS(EmployeeData!$A:$A,$A24,EmployeeData!$F:$F,O$5)&gt;0,"PT","")</f>
        <v/>
      </c>
      <c r="P24" s="21" t="s">
        <v>109</v>
      </c>
      <c r="Q24" s="21" t="str">
        <f>IF(COUNTIFS(EmployeeData!$A:$A,$A24,EmployeeData!$F:$F,Q$5)&gt;0,"PT","")</f>
        <v>PT</v>
      </c>
      <c r="R24" s="21" t="str">
        <f>IF(COUNTIFS(EmployeeData!$A:$A,$A24,EmployeeData!$F:$F,R$5)&gt;0,"PT","")</f>
        <v/>
      </c>
      <c r="S24" s="21" t="str">
        <f>IF(COUNTIFS(EmployeeData!$A:$A,$A24,EmployeeData!$F:$F,S$5)&gt;0,"PT","")</f>
        <v/>
      </c>
      <c r="T24" s="21" t="str">
        <f>IF(COUNTIFS(EmployeeData!$A:$A,$A24,EmployeeData!$F:$F,T$5)&gt;0,"PT","")</f>
        <v/>
      </c>
      <c r="U24" s="21" t="str">
        <f>IF(COUNTIFS(EmployeeData!$A:$A,$A24,EmployeeData!$F:$F,U$5)&gt;0,"PT","")</f>
        <v/>
      </c>
      <c r="V24" s="21" t="str">
        <f>IF(COUNTIFS(EmployeeData!$A:$A,$A24,EmployeeData!$F:$F,V$5)&gt;0,"PT","")</f>
        <v/>
      </c>
      <c r="W24" s="21" t="str">
        <f>IF(COUNTIFS(EmployeeData!$A:$A,$A24,EmployeeData!$F:$F,W$5)&gt;0,"PT","")</f>
        <v/>
      </c>
      <c r="X24" s="21" t="str">
        <f>IF(COUNTIFS(EmployeeData!$A:$A,$A24,EmployeeData!$F:$F,X$5)&gt;0,"PT","")</f>
        <v/>
      </c>
      <c r="Y24" s="21" t="str">
        <f>IF(COUNTIFS(EmployeeData!$A:$A,$A24,EmployeeData!$F:$F,Y$5)&gt;0,"PT","")</f>
        <v/>
      </c>
      <c r="Z24" s="21" t="str">
        <f>IF(COUNTIFS(EmployeeData!$A:$A,$A24,EmployeeData!$F:$F,Z$5)&gt;0,"PT","")</f>
        <v/>
      </c>
      <c r="AA24" s="21" t="s">
        <v>109</v>
      </c>
      <c r="AB24" s="21" t="str">
        <f>IF(COUNTIFS(EmployeeData!$A:$A,$A24,EmployeeData!$F:$F,AB$5)&gt;0,"PT","")</f>
        <v/>
      </c>
      <c r="AC24" s="21" t="str">
        <f>IF(COUNTIFS(EmployeeData!$A:$A,$A24,EmployeeData!$F:$F,AC$5)&gt;0,"PT","")</f>
        <v/>
      </c>
      <c r="AD24" s="21" t="str">
        <f>IF(COUNTIFS(EmployeeData!$A:$A,$A24,EmployeeData!$F:$F,AD$5)&gt;0,"PT","")</f>
        <v/>
      </c>
      <c r="AE24" s="21" t="str">
        <f>IF(COUNTIFS(EmployeeData!$A:$A,$A24,EmployeeData!$F:$F,AE$5)&gt;0,"PT","")</f>
        <v/>
      </c>
      <c r="AF24" s="21" t="str">
        <f>IF(COUNTIFS(EmployeeData!$A:$A,$A24,EmployeeData!$F:$F,AF$5)&gt;0,"PT","")</f>
        <v/>
      </c>
      <c r="AG24" s="8">
        <f t="shared" si="5"/>
        <v>2</v>
      </c>
      <c r="AH24" s="8">
        <f t="shared" si="3"/>
        <v>0</v>
      </c>
      <c r="AI24" s="8">
        <f t="shared" si="1"/>
        <v>0</v>
      </c>
      <c r="AJ24" s="8">
        <f t="shared" si="4"/>
        <v>0</v>
      </c>
      <c r="AK24" s="8">
        <f t="shared" si="2"/>
        <v>0</v>
      </c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</row>
    <row r="25" spans="1:55" s="3" customFormat="1" ht="25.15" customHeight="1" x14ac:dyDescent="0.55000000000000004">
      <c r="A25" s="10" t="s">
        <v>20</v>
      </c>
      <c r="B25" s="21" t="s">
        <v>109</v>
      </c>
      <c r="C25" s="21" t="str">
        <f>IF(COUNTIFS(EmployeeData!$A:$A,$A25,EmployeeData!$F:$F,C$5)&gt;0,"PT","")</f>
        <v/>
      </c>
      <c r="D25" s="21" t="str">
        <f>IF(COUNTIFS(EmployeeData!$A:$A,$A25,EmployeeData!$F:$F,D$5)&gt;0,"PT","")</f>
        <v/>
      </c>
      <c r="E25" s="21" t="str">
        <f>IF(COUNTIFS(EmployeeData!$A:$A,$A25,EmployeeData!$F:$F,E$5)&gt;0,"PT","")</f>
        <v/>
      </c>
      <c r="F25" s="21" t="str">
        <f>IF(COUNTIFS(EmployeeData!$A:$A,$A25,EmployeeData!$F:$F,F$5)&gt;0,"PT","")</f>
        <v/>
      </c>
      <c r="G25" s="21" t="str">
        <f>IF(COUNTIFS(EmployeeData!$A:$A,$A25,EmployeeData!$F:$F,G$5)&gt;0,"PT","")</f>
        <v/>
      </c>
      <c r="H25" s="21" t="str">
        <f>IF(COUNTIFS(EmployeeData!$A:$A,$A25,EmployeeData!$F:$F,H$5)&gt;0,"PT","")</f>
        <v/>
      </c>
      <c r="I25" s="21" t="str">
        <f>IF(COUNTIFS(EmployeeData!$A:$A,$A25,EmployeeData!$F:$F,I$5)&gt;0,"PT","")</f>
        <v>PT</v>
      </c>
      <c r="J25" s="21" t="str">
        <f>IF(COUNTIFS(EmployeeData!$A:$A,$A25,EmployeeData!$F:$F,J$5)&gt;0,"PT","")</f>
        <v/>
      </c>
      <c r="K25" s="21" t="str">
        <f>IF(COUNTIFS(EmployeeData!$A:$A,$A25,EmployeeData!$F:$F,K$5)&gt;0,"PT","")</f>
        <v/>
      </c>
      <c r="L25" s="21" t="str">
        <f>IF(COUNTIFS(EmployeeData!$A:$A,$A25,EmployeeData!$F:$F,L$5)&gt;0,"PT","")</f>
        <v/>
      </c>
      <c r="M25" s="21" t="str">
        <f>IF(COUNTIFS(EmployeeData!$A:$A,$A25,EmployeeData!$F:$F,M$5)&gt;0,"PT","")</f>
        <v/>
      </c>
      <c r="N25" s="21" t="str">
        <f>IF(COUNTIFS(EmployeeData!$A:$A,$A25,EmployeeData!$F:$F,N$5)&gt;0,"PT","")</f>
        <v/>
      </c>
      <c r="O25" s="21" t="str">
        <f>IF(COUNTIFS(EmployeeData!$A:$A,$A25,EmployeeData!$F:$F,O$5)&gt;0,"PT","")</f>
        <v/>
      </c>
      <c r="P25" s="21" t="s">
        <v>109</v>
      </c>
      <c r="Q25" s="21" t="str">
        <f>IF(COUNTIFS(EmployeeData!$A:$A,$A25,EmployeeData!$F:$F,Q$5)&gt;0,"PT","")</f>
        <v/>
      </c>
      <c r="R25" s="21" t="str">
        <f>IF(COUNTIFS(EmployeeData!$A:$A,$A25,EmployeeData!$F:$F,R$5)&gt;0,"PT","")</f>
        <v/>
      </c>
      <c r="S25" s="21" t="str">
        <f>IF(COUNTIFS(EmployeeData!$A:$A,$A25,EmployeeData!$F:$F,S$5)&gt;0,"PT","")</f>
        <v/>
      </c>
      <c r="T25" s="21" t="str">
        <f>IF(COUNTIFS(EmployeeData!$A:$A,$A25,EmployeeData!$F:$F,T$5)&gt;0,"PT","")</f>
        <v/>
      </c>
      <c r="U25" s="21" t="str">
        <f>IF(COUNTIFS(EmployeeData!$A:$A,$A25,EmployeeData!$F:$F,U$5)&gt;0,"PT","")</f>
        <v/>
      </c>
      <c r="V25" s="21" t="str">
        <f>IF(COUNTIFS(EmployeeData!$A:$A,$A25,EmployeeData!$F:$F,V$5)&gt;0,"PT","")</f>
        <v/>
      </c>
      <c r="W25" s="21" t="str">
        <f>IF(COUNTIFS(EmployeeData!$A:$A,$A25,EmployeeData!$F:$F,W$5)&gt;0,"PT","")</f>
        <v/>
      </c>
      <c r="X25" s="21" t="str">
        <f>IF(COUNTIFS(EmployeeData!$A:$A,$A25,EmployeeData!$F:$F,X$5)&gt;0,"PT","")</f>
        <v/>
      </c>
      <c r="Y25" s="21" t="str">
        <f>IF(COUNTIFS(EmployeeData!$A:$A,$A25,EmployeeData!$F:$F,Y$5)&gt;0,"PT","")</f>
        <v/>
      </c>
      <c r="Z25" s="21" t="str">
        <f>IF(COUNTIFS(EmployeeData!$A:$A,$A25,EmployeeData!$F:$F,Z$5)&gt;0,"PT","")</f>
        <v/>
      </c>
      <c r="AA25" s="21" t="s">
        <v>109</v>
      </c>
      <c r="AB25" s="21" t="str">
        <f>IF(COUNTIFS(EmployeeData!$A:$A,$A25,EmployeeData!$F:$F,AB$5)&gt;0,"PT","")</f>
        <v/>
      </c>
      <c r="AC25" s="21" t="str">
        <f>IF(COUNTIFS(EmployeeData!$A:$A,$A25,EmployeeData!$F:$F,AC$5)&gt;0,"PT","")</f>
        <v/>
      </c>
      <c r="AD25" s="21" t="str">
        <f>IF(COUNTIFS(EmployeeData!$A:$A,$A25,EmployeeData!$F:$F,AD$5)&gt;0,"PT","")</f>
        <v/>
      </c>
      <c r="AE25" s="21" t="str">
        <f>IF(COUNTIFS(EmployeeData!$A:$A,$A25,EmployeeData!$F:$F,AE$5)&gt;0,"PT","")</f>
        <v/>
      </c>
      <c r="AF25" s="21" t="str">
        <f>IF(COUNTIFS(EmployeeData!$A:$A,$A25,EmployeeData!$F:$F,AF$5)&gt;0,"PT","")</f>
        <v/>
      </c>
      <c r="AG25" s="8">
        <f t="shared" si="5"/>
        <v>1</v>
      </c>
      <c r="AH25" s="8">
        <f t="shared" si="3"/>
        <v>0</v>
      </c>
      <c r="AI25" s="8">
        <f t="shared" si="1"/>
        <v>0</v>
      </c>
      <c r="AJ25" s="8">
        <f t="shared" si="4"/>
        <v>0</v>
      </c>
      <c r="AK25" s="8">
        <f t="shared" si="2"/>
        <v>0</v>
      </c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</row>
    <row r="26" spans="1:55" s="3" customFormat="1" ht="25.15" customHeight="1" x14ac:dyDescent="0.55000000000000004">
      <c r="A26" s="10" t="s">
        <v>38</v>
      </c>
      <c r="B26" s="21" t="s">
        <v>109</v>
      </c>
      <c r="C26" s="21" t="str">
        <f>IF(COUNTIFS(EmployeeData!$A:$A,$A26,EmployeeData!$F:$F,C$5)&gt;0,"PT","")</f>
        <v/>
      </c>
      <c r="D26" s="21" t="str">
        <f>IF(COUNTIFS(EmployeeData!$A:$A,$A26,EmployeeData!$F:$F,D$5)&gt;0,"PT","")</f>
        <v/>
      </c>
      <c r="E26" s="21" t="str">
        <f>IF(COUNTIFS(EmployeeData!$A:$A,$A26,EmployeeData!$F:$F,E$5)&gt;0,"PT","")</f>
        <v/>
      </c>
      <c r="F26" s="21" t="str">
        <f>IF(COUNTIFS(EmployeeData!$A:$A,$A26,EmployeeData!$F:$F,F$5)&gt;0,"PT","")</f>
        <v/>
      </c>
      <c r="G26" s="21" t="str">
        <f>IF(COUNTIFS(EmployeeData!$A:$A,$A26,EmployeeData!$F:$F,G$5)&gt;0,"PT","")</f>
        <v/>
      </c>
      <c r="H26" s="21" t="str">
        <f>IF(COUNTIFS(EmployeeData!$A:$A,$A26,EmployeeData!$F:$F,H$5)&gt;0,"PT","")</f>
        <v/>
      </c>
      <c r="I26" s="21" t="str">
        <f>IF(COUNTIFS(EmployeeData!$A:$A,$A26,EmployeeData!$F:$F,I$5)&gt;0,"PT","")</f>
        <v/>
      </c>
      <c r="J26" s="21" t="str">
        <f>IF(COUNTIFS(EmployeeData!$A:$A,$A26,EmployeeData!$F:$F,J$5)&gt;0,"PT","")</f>
        <v/>
      </c>
      <c r="K26" s="21" t="str">
        <f>IF(COUNTIFS(EmployeeData!$A:$A,$A26,EmployeeData!$F:$F,K$5)&gt;0,"PT","")</f>
        <v/>
      </c>
      <c r="L26" s="21" t="str">
        <f>IF(COUNTIFS(EmployeeData!$A:$A,$A26,EmployeeData!$F:$F,L$5)&gt;0,"PT","")</f>
        <v/>
      </c>
      <c r="M26" s="21" t="str">
        <f>IF(COUNTIFS(EmployeeData!$A:$A,$A26,EmployeeData!$F:$F,M$5)&gt;0,"PT","")</f>
        <v/>
      </c>
      <c r="N26" s="21" t="str">
        <f>IF(COUNTIFS(EmployeeData!$A:$A,$A26,EmployeeData!$F:$F,N$5)&gt;0,"PT","")</f>
        <v/>
      </c>
      <c r="O26" s="21" t="str">
        <f>IF(COUNTIFS(EmployeeData!$A:$A,$A26,EmployeeData!$F:$F,O$5)&gt;0,"PT","")</f>
        <v/>
      </c>
      <c r="P26" s="21" t="s">
        <v>109</v>
      </c>
      <c r="Q26" s="21" t="str">
        <f>IF(COUNTIFS(EmployeeData!$A:$A,$A26,EmployeeData!$F:$F,Q$5)&gt;0,"PT","")</f>
        <v/>
      </c>
      <c r="R26" s="21" t="str">
        <f>IF(COUNTIFS(EmployeeData!$A:$A,$A26,EmployeeData!$F:$F,R$5)&gt;0,"PT","")</f>
        <v/>
      </c>
      <c r="S26" s="21" t="str">
        <f>IF(COUNTIFS(EmployeeData!$A:$A,$A26,EmployeeData!$F:$F,S$5)&gt;0,"PT","")</f>
        <v/>
      </c>
      <c r="T26" s="21" t="str">
        <f>IF(COUNTIFS(EmployeeData!$A:$A,$A26,EmployeeData!$F:$F,T$5)&gt;0,"PT","")</f>
        <v/>
      </c>
      <c r="U26" s="21" t="str">
        <f>IF(COUNTIFS(EmployeeData!$A:$A,$A26,EmployeeData!$F:$F,U$5)&gt;0,"PT","")</f>
        <v/>
      </c>
      <c r="V26" s="21" t="str">
        <f>IF(COUNTIFS(EmployeeData!$A:$A,$A26,EmployeeData!$F:$F,V$5)&gt;0,"PT","")</f>
        <v/>
      </c>
      <c r="W26" s="21" t="str">
        <f>IF(COUNTIFS(EmployeeData!$A:$A,$A26,EmployeeData!$F:$F,W$5)&gt;0,"PT","")</f>
        <v/>
      </c>
      <c r="X26" s="21" t="str">
        <f>IF(COUNTIFS(EmployeeData!$A:$A,$A26,EmployeeData!$F:$F,X$5)&gt;0,"PT","")</f>
        <v/>
      </c>
      <c r="Y26" s="21" t="str">
        <f>IF(COUNTIFS(EmployeeData!$A:$A,$A26,EmployeeData!$F:$F,Y$5)&gt;0,"PT","")</f>
        <v/>
      </c>
      <c r="Z26" s="21" t="str">
        <f>IF(COUNTIFS(EmployeeData!$A:$A,$A26,EmployeeData!$F:$F,Z$5)&gt;0,"PT","")</f>
        <v/>
      </c>
      <c r="AA26" s="21" t="s">
        <v>109</v>
      </c>
      <c r="AB26" s="21" t="str">
        <f>IF(COUNTIFS(EmployeeData!$A:$A,$A26,EmployeeData!$F:$F,AB$5)&gt;0,"PT","")</f>
        <v/>
      </c>
      <c r="AC26" s="21" t="str">
        <f>IF(COUNTIFS(EmployeeData!$A:$A,$A26,EmployeeData!$F:$F,AC$5)&gt;0,"PT","")</f>
        <v>PT</v>
      </c>
      <c r="AD26" s="21" t="str">
        <f>IF(COUNTIFS(EmployeeData!$A:$A,$A26,EmployeeData!$F:$F,AD$5)&gt;0,"PT","")</f>
        <v/>
      </c>
      <c r="AE26" s="21" t="str">
        <f>IF(COUNTIFS(EmployeeData!$A:$A,$A26,EmployeeData!$F:$F,AE$5)&gt;0,"PT","")</f>
        <v/>
      </c>
      <c r="AF26" s="21" t="str">
        <f>IF(COUNTIFS(EmployeeData!$A:$A,$A26,EmployeeData!$F:$F,AF$5)&gt;0,"PT","")</f>
        <v/>
      </c>
      <c r="AG26" s="8">
        <f t="shared" si="5"/>
        <v>1</v>
      </c>
      <c r="AH26" s="8">
        <f t="shared" si="3"/>
        <v>0</v>
      </c>
      <c r="AI26" s="8">
        <f t="shared" si="1"/>
        <v>0</v>
      </c>
      <c r="AJ26" s="8">
        <f t="shared" si="4"/>
        <v>0</v>
      </c>
      <c r="AK26" s="8">
        <f t="shared" si="2"/>
        <v>0</v>
      </c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</row>
    <row r="27" spans="1:55" s="3" customFormat="1" ht="25.15" customHeight="1" x14ac:dyDescent="0.55000000000000004">
      <c r="A27" s="10" t="s">
        <v>25</v>
      </c>
      <c r="B27" s="21" t="s">
        <v>109</v>
      </c>
      <c r="C27" s="21" t="str">
        <f>IF(COUNTIFS(EmployeeData!$A:$A,$A27,EmployeeData!$F:$F,C$5)&gt;0,"PT","")</f>
        <v>PT</v>
      </c>
      <c r="D27" s="21" t="str">
        <f>IF(COUNTIFS(EmployeeData!$A:$A,$A27,EmployeeData!$F:$F,D$5)&gt;0,"PT","")</f>
        <v/>
      </c>
      <c r="E27" s="21" t="str">
        <f>IF(COUNTIFS(EmployeeData!$A:$A,$A27,EmployeeData!$F:$F,E$5)&gt;0,"PT","")</f>
        <v/>
      </c>
      <c r="F27" s="21" t="str">
        <f>IF(COUNTIFS(EmployeeData!$A:$A,$A27,EmployeeData!$F:$F,F$5)&gt;0,"PT","")</f>
        <v/>
      </c>
      <c r="G27" s="21" t="str">
        <f>IF(COUNTIFS(EmployeeData!$A:$A,$A27,EmployeeData!$F:$F,G$5)&gt;0,"PT","")</f>
        <v/>
      </c>
      <c r="H27" s="21" t="str">
        <f>IF(COUNTIFS(EmployeeData!$A:$A,$A27,EmployeeData!$F:$F,H$5)&gt;0,"PT","")</f>
        <v/>
      </c>
      <c r="I27" s="21" t="str">
        <f>IF(COUNTIFS(EmployeeData!$A:$A,$A27,EmployeeData!$F:$F,I$5)&gt;0,"PT","")</f>
        <v/>
      </c>
      <c r="J27" s="21" t="str">
        <f>IF(COUNTIFS(EmployeeData!$A:$A,$A27,EmployeeData!$F:$F,J$5)&gt;0,"PT","")</f>
        <v/>
      </c>
      <c r="K27" s="21" t="str">
        <f>IF(COUNTIFS(EmployeeData!$A:$A,$A27,EmployeeData!$F:$F,K$5)&gt;0,"PT","")</f>
        <v/>
      </c>
      <c r="L27" s="21" t="str">
        <f>IF(COUNTIFS(EmployeeData!$A:$A,$A27,EmployeeData!$F:$F,L$5)&gt;0,"PT","")</f>
        <v/>
      </c>
      <c r="M27" s="21" t="str">
        <f>IF(COUNTIFS(EmployeeData!$A:$A,$A27,EmployeeData!$F:$F,M$5)&gt;0,"PT","")</f>
        <v/>
      </c>
      <c r="N27" s="21" t="str">
        <f>IF(COUNTIFS(EmployeeData!$A:$A,$A27,EmployeeData!$F:$F,N$5)&gt;0,"PT","")</f>
        <v/>
      </c>
      <c r="O27" s="21" t="str">
        <f>IF(COUNTIFS(EmployeeData!$A:$A,$A27,EmployeeData!$F:$F,O$5)&gt;0,"PT","")</f>
        <v/>
      </c>
      <c r="P27" s="21" t="s">
        <v>109</v>
      </c>
      <c r="Q27" s="21" t="str">
        <f>IF(COUNTIFS(EmployeeData!$A:$A,$A27,EmployeeData!$F:$F,Q$5)&gt;0,"PT","")</f>
        <v/>
      </c>
      <c r="R27" s="21" t="str">
        <f>IF(COUNTIFS(EmployeeData!$A:$A,$A27,EmployeeData!$F:$F,R$5)&gt;0,"PT","")</f>
        <v/>
      </c>
      <c r="S27" s="21" t="str">
        <f>IF(COUNTIFS(EmployeeData!$A:$A,$A27,EmployeeData!$F:$F,S$5)&gt;0,"PT","")</f>
        <v/>
      </c>
      <c r="T27" s="21" t="str">
        <f>IF(COUNTIFS(EmployeeData!$A:$A,$A27,EmployeeData!$F:$F,T$5)&gt;0,"PT","")</f>
        <v/>
      </c>
      <c r="U27" s="21" t="str">
        <f>IF(COUNTIFS(EmployeeData!$A:$A,$A27,EmployeeData!$F:$F,U$5)&gt;0,"PT","")</f>
        <v/>
      </c>
      <c r="V27" s="21" t="str">
        <f>IF(COUNTIFS(EmployeeData!$A:$A,$A27,EmployeeData!$F:$F,V$5)&gt;0,"PT","")</f>
        <v/>
      </c>
      <c r="W27" s="21" t="str">
        <f>IF(COUNTIFS(EmployeeData!$A:$A,$A27,EmployeeData!$F:$F,W$5)&gt;0,"PT","")</f>
        <v/>
      </c>
      <c r="X27" s="21" t="str">
        <f>IF(COUNTIFS(EmployeeData!$A:$A,$A27,EmployeeData!$F:$F,X$5)&gt;0,"PT","")</f>
        <v/>
      </c>
      <c r="Y27" s="21" t="str">
        <f>IF(COUNTIFS(EmployeeData!$A:$A,$A27,EmployeeData!$F:$F,Y$5)&gt;0,"PT","")</f>
        <v/>
      </c>
      <c r="Z27" s="21" t="str">
        <f>IF(COUNTIFS(EmployeeData!$A:$A,$A27,EmployeeData!$F:$F,Z$5)&gt;0,"PT","")</f>
        <v/>
      </c>
      <c r="AA27" s="21" t="s">
        <v>109</v>
      </c>
      <c r="AB27" s="21" t="str">
        <f>IF(COUNTIFS(EmployeeData!$A:$A,$A27,EmployeeData!$F:$F,AB$5)&gt;0,"PT","")</f>
        <v/>
      </c>
      <c r="AC27" s="21" t="str">
        <f>IF(COUNTIFS(EmployeeData!$A:$A,$A27,EmployeeData!$F:$F,AC$5)&gt;0,"PT","")</f>
        <v/>
      </c>
      <c r="AD27" s="21" t="str">
        <f>IF(COUNTIFS(EmployeeData!$A:$A,$A27,EmployeeData!$F:$F,AD$5)&gt;0,"PT","")</f>
        <v/>
      </c>
      <c r="AE27" s="21" t="str">
        <f>IF(COUNTIFS(EmployeeData!$A:$A,$A27,EmployeeData!$F:$F,AE$5)&gt;0,"PT","")</f>
        <v/>
      </c>
      <c r="AF27" s="21" t="str">
        <f>IF(COUNTIFS(EmployeeData!$A:$A,$A27,EmployeeData!$F:$F,AF$5)&gt;0,"PT","")</f>
        <v/>
      </c>
      <c r="AG27" s="8">
        <f t="shared" si="5"/>
        <v>1</v>
      </c>
      <c r="AH27" s="8">
        <f t="shared" si="3"/>
        <v>0</v>
      </c>
      <c r="AI27" s="8">
        <f t="shared" si="1"/>
        <v>0</v>
      </c>
      <c r="AJ27" s="8">
        <f t="shared" si="4"/>
        <v>0</v>
      </c>
      <c r="AK27" s="8">
        <f t="shared" si="2"/>
        <v>0</v>
      </c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</row>
    <row r="28" spans="1:55" s="3" customFormat="1" ht="25.15" customHeight="1" x14ac:dyDescent="0.55000000000000004">
      <c r="A28" s="10" t="s">
        <v>40</v>
      </c>
      <c r="B28" s="21" t="s">
        <v>109</v>
      </c>
      <c r="C28" s="21" t="str">
        <f>IF(COUNTIFS(EmployeeData!$A:$A,$A28,EmployeeData!$F:$F,C$5)&gt;0,"PT","")</f>
        <v/>
      </c>
      <c r="D28" s="21" t="str">
        <f>IF(COUNTIFS(EmployeeData!$A:$A,$A28,EmployeeData!$F:$F,D$5)&gt;0,"PT","")</f>
        <v/>
      </c>
      <c r="E28" s="21" t="str">
        <f>IF(COUNTIFS(EmployeeData!$A:$A,$A28,EmployeeData!$F:$F,E$5)&gt;0,"PT","")</f>
        <v/>
      </c>
      <c r="F28" s="21" t="str">
        <f>IF(COUNTIFS(EmployeeData!$A:$A,$A28,EmployeeData!$F:$F,F$5)&gt;0,"PT","")</f>
        <v/>
      </c>
      <c r="G28" s="21" t="str">
        <f>IF(COUNTIFS(EmployeeData!$A:$A,$A28,EmployeeData!$F:$F,G$5)&gt;0,"PT","")</f>
        <v/>
      </c>
      <c r="H28" s="21" t="str">
        <f>IF(COUNTIFS(EmployeeData!$A:$A,$A28,EmployeeData!$F:$F,H$5)&gt;0,"PT","")</f>
        <v/>
      </c>
      <c r="I28" s="21" t="str">
        <f>IF(COUNTIFS(EmployeeData!$A:$A,$A28,EmployeeData!$F:$F,I$5)&gt;0,"PT","")</f>
        <v/>
      </c>
      <c r="J28" s="21" t="str">
        <f>IF(COUNTIFS(EmployeeData!$A:$A,$A28,EmployeeData!$F:$F,J$5)&gt;0,"PT","")</f>
        <v/>
      </c>
      <c r="K28" s="21" t="str">
        <f>IF(COUNTIFS(EmployeeData!$A:$A,$A28,EmployeeData!$F:$F,K$5)&gt;0,"PT","")</f>
        <v/>
      </c>
      <c r="L28" s="21" t="str">
        <f>IF(COUNTIFS(EmployeeData!$A:$A,$A28,EmployeeData!$F:$F,L$5)&gt;0,"PT","")</f>
        <v/>
      </c>
      <c r="M28" s="21" t="str">
        <f>IF(COUNTIFS(EmployeeData!$A:$A,$A28,EmployeeData!$F:$F,M$5)&gt;0,"PT","")</f>
        <v/>
      </c>
      <c r="N28" s="21" t="str">
        <f>IF(COUNTIFS(EmployeeData!$A:$A,$A28,EmployeeData!$F:$F,N$5)&gt;0,"PT","")</f>
        <v/>
      </c>
      <c r="O28" s="21" t="str">
        <f>IF(COUNTIFS(EmployeeData!$A:$A,$A28,EmployeeData!$F:$F,O$5)&gt;0,"PT","")</f>
        <v/>
      </c>
      <c r="P28" s="21" t="s">
        <v>109</v>
      </c>
      <c r="Q28" s="21" t="str">
        <f>IF(COUNTIFS(EmployeeData!$A:$A,$A28,EmployeeData!$F:$F,Q$5)&gt;0,"PT","")</f>
        <v/>
      </c>
      <c r="R28" s="21" t="str">
        <f>IF(COUNTIFS(EmployeeData!$A:$A,$A28,EmployeeData!$F:$F,R$5)&gt;0,"PT","")</f>
        <v/>
      </c>
      <c r="S28" s="21" t="str">
        <f>IF(COUNTIFS(EmployeeData!$A:$A,$A28,EmployeeData!$F:$F,S$5)&gt;0,"PT","")</f>
        <v/>
      </c>
      <c r="T28" s="21" t="str">
        <f>IF(COUNTIFS(EmployeeData!$A:$A,$A28,EmployeeData!$F:$F,T$5)&gt;0,"PT","")</f>
        <v/>
      </c>
      <c r="U28" s="21" t="str">
        <f>IF(COUNTIFS(EmployeeData!$A:$A,$A28,EmployeeData!$F:$F,U$5)&gt;0,"PT","")</f>
        <v/>
      </c>
      <c r="V28" s="21" t="str">
        <f>IF(COUNTIFS(EmployeeData!$A:$A,$A28,EmployeeData!$F:$F,V$5)&gt;0,"PT","")</f>
        <v/>
      </c>
      <c r="W28" s="21" t="str">
        <f>IF(COUNTIFS(EmployeeData!$A:$A,$A28,EmployeeData!$F:$F,W$5)&gt;0,"PT","")</f>
        <v/>
      </c>
      <c r="X28" s="21" t="str">
        <f>IF(COUNTIFS(EmployeeData!$A:$A,$A28,EmployeeData!$F:$F,X$5)&gt;0,"PT","")</f>
        <v/>
      </c>
      <c r="Y28" s="21" t="str">
        <f>IF(COUNTIFS(EmployeeData!$A:$A,$A28,EmployeeData!$F:$F,Y$5)&gt;0,"PT","")</f>
        <v/>
      </c>
      <c r="Z28" s="21" t="str">
        <f>IF(COUNTIFS(EmployeeData!$A:$A,$A28,EmployeeData!$F:$F,Z$5)&gt;0,"PT","")</f>
        <v/>
      </c>
      <c r="AA28" s="21" t="s">
        <v>109</v>
      </c>
      <c r="AB28" s="21" t="str">
        <f>IF(COUNTIFS(EmployeeData!$A:$A,$A28,EmployeeData!$F:$F,AB$5)&gt;0,"PT","")</f>
        <v>PT</v>
      </c>
      <c r="AC28" s="21" t="str">
        <f>IF(COUNTIFS(EmployeeData!$A:$A,$A28,EmployeeData!$F:$F,AC$5)&gt;0,"PT","")</f>
        <v/>
      </c>
      <c r="AD28" s="21" t="str">
        <f>IF(COUNTIFS(EmployeeData!$A:$A,$A28,EmployeeData!$F:$F,AD$5)&gt;0,"PT","")</f>
        <v/>
      </c>
      <c r="AE28" s="21" t="str">
        <f>IF(COUNTIFS(EmployeeData!$A:$A,$A28,EmployeeData!$F:$F,AE$5)&gt;0,"PT","")</f>
        <v/>
      </c>
      <c r="AF28" s="21" t="str">
        <f>IF(COUNTIFS(EmployeeData!$A:$A,$A28,EmployeeData!$F:$F,AF$5)&gt;0,"PT","")</f>
        <v/>
      </c>
      <c r="AG28" s="8">
        <f t="shared" si="5"/>
        <v>1</v>
      </c>
      <c r="AH28" s="8">
        <f t="shared" si="3"/>
        <v>0</v>
      </c>
      <c r="AI28" s="8">
        <f t="shared" si="1"/>
        <v>0</v>
      </c>
      <c r="AJ28" s="8">
        <f t="shared" si="4"/>
        <v>0</v>
      </c>
      <c r="AK28" s="8">
        <f t="shared" si="2"/>
        <v>0</v>
      </c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</row>
    <row r="29" spans="1:55" s="3" customFormat="1" ht="25.15" customHeight="1" x14ac:dyDescent="0.55000000000000004">
      <c r="A29" s="10" t="s">
        <v>24</v>
      </c>
      <c r="B29" s="21" t="s">
        <v>109</v>
      </c>
      <c r="C29" s="21" t="str">
        <f>IF(COUNTIFS(EmployeeData!$A:$A,$A29,EmployeeData!$F:$F,C$5)&gt;0,"PT","")</f>
        <v>PT</v>
      </c>
      <c r="D29" s="21" t="str">
        <f>IF(COUNTIFS(EmployeeData!$A:$A,$A29,EmployeeData!$F:$F,D$5)&gt;0,"PT","")</f>
        <v/>
      </c>
      <c r="E29" s="21" t="str">
        <f>IF(COUNTIFS(EmployeeData!$A:$A,$A29,EmployeeData!$F:$F,E$5)&gt;0,"PT","")</f>
        <v/>
      </c>
      <c r="F29" s="21" t="str">
        <f>IF(COUNTIFS(EmployeeData!$A:$A,$A29,EmployeeData!$F:$F,F$5)&gt;0,"PT","")</f>
        <v/>
      </c>
      <c r="G29" s="21" t="str">
        <f>IF(COUNTIFS(EmployeeData!$A:$A,$A29,EmployeeData!$F:$F,G$5)&gt;0,"PT","")</f>
        <v/>
      </c>
      <c r="H29" s="21" t="str">
        <f>IF(COUNTIFS(EmployeeData!$A:$A,$A29,EmployeeData!$F:$F,H$5)&gt;0,"PT","")</f>
        <v/>
      </c>
      <c r="I29" s="21" t="str">
        <f>IF(COUNTIFS(EmployeeData!$A:$A,$A29,EmployeeData!$F:$F,I$5)&gt;0,"PT","")</f>
        <v/>
      </c>
      <c r="J29" s="21" t="str">
        <f>IF(COUNTIFS(EmployeeData!$A:$A,$A29,EmployeeData!$F:$F,J$5)&gt;0,"PT","")</f>
        <v/>
      </c>
      <c r="K29" s="21" t="str">
        <f>IF(COUNTIFS(EmployeeData!$A:$A,$A29,EmployeeData!$F:$F,K$5)&gt;0,"PT","")</f>
        <v/>
      </c>
      <c r="L29" s="21" t="str">
        <f>IF(COUNTIFS(EmployeeData!$A:$A,$A29,EmployeeData!$F:$F,L$5)&gt;0,"PT","")</f>
        <v/>
      </c>
      <c r="M29" s="21" t="str">
        <f>IF(COUNTIFS(EmployeeData!$A:$A,$A29,EmployeeData!$F:$F,M$5)&gt;0,"PT","")</f>
        <v/>
      </c>
      <c r="N29" s="21" t="str">
        <f>IF(COUNTIFS(EmployeeData!$A:$A,$A29,EmployeeData!$F:$F,N$5)&gt;0,"PT","")</f>
        <v/>
      </c>
      <c r="O29" s="21" t="str">
        <f>IF(COUNTIFS(EmployeeData!$A:$A,$A29,EmployeeData!$F:$F,O$5)&gt;0,"PT","")</f>
        <v/>
      </c>
      <c r="P29" s="21" t="s">
        <v>109</v>
      </c>
      <c r="Q29" s="21" t="str">
        <f>IF(COUNTIFS(EmployeeData!$A:$A,$A29,EmployeeData!$F:$F,Q$5)&gt;0,"PT","")</f>
        <v/>
      </c>
      <c r="R29" s="21" t="str">
        <f>IF(COUNTIFS(EmployeeData!$A:$A,$A29,EmployeeData!$F:$F,R$5)&gt;0,"PT","")</f>
        <v/>
      </c>
      <c r="S29" s="21" t="str">
        <f>IF(COUNTIFS(EmployeeData!$A:$A,$A29,EmployeeData!$F:$F,S$5)&gt;0,"PT","")</f>
        <v/>
      </c>
      <c r="T29" s="21" t="str">
        <f>IF(COUNTIFS(EmployeeData!$A:$A,$A29,EmployeeData!$F:$F,T$5)&gt;0,"PT","")</f>
        <v/>
      </c>
      <c r="U29" s="21" t="str">
        <f>IF(COUNTIFS(EmployeeData!$A:$A,$A29,EmployeeData!$F:$F,U$5)&gt;0,"PT","")</f>
        <v/>
      </c>
      <c r="V29" s="21" t="str">
        <f>IF(COUNTIFS(EmployeeData!$A:$A,$A29,EmployeeData!$F:$F,V$5)&gt;0,"PT","")</f>
        <v/>
      </c>
      <c r="W29" s="21" t="str">
        <f>IF(COUNTIFS(EmployeeData!$A:$A,$A29,EmployeeData!$F:$F,W$5)&gt;0,"PT","")</f>
        <v/>
      </c>
      <c r="X29" s="21" t="str">
        <f>IF(COUNTIFS(EmployeeData!$A:$A,$A29,EmployeeData!$F:$F,X$5)&gt;0,"PT","")</f>
        <v/>
      </c>
      <c r="Y29" s="21" t="str">
        <f>IF(COUNTIFS(EmployeeData!$A:$A,$A29,EmployeeData!$F:$F,Y$5)&gt;0,"PT","")</f>
        <v/>
      </c>
      <c r="Z29" s="21" t="str">
        <f>IF(COUNTIFS(EmployeeData!$A:$A,$A29,EmployeeData!$F:$F,Z$5)&gt;0,"PT","")</f>
        <v/>
      </c>
      <c r="AA29" s="21" t="s">
        <v>109</v>
      </c>
      <c r="AB29" s="21" t="str">
        <f>IF(COUNTIFS(EmployeeData!$A:$A,$A29,EmployeeData!$F:$F,AB$5)&gt;0,"PT","")</f>
        <v/>
      </c>
      <c r="AC29" s="21" t="str">
        <f>IF(COUNTIFS(EmployeeData!$A:$A,$A29,EmployeeData!$F:$F,AC$5)&gt;0,"PT","")</f>
        <v/>
      </c>
      <c r="AD29" s="21" t="str">
        <f>IF(COUNTIFS(EmployeeData!$A:$A,$A29,EmployeeData!$F:$F,AD$5)&gt;0,"PT","")</f>
        <v/>
      </c>
      <c r="AE29" s="21" t="str">
        <f>IF(COUNTIFS(EmployeeData!$A:$A,$A29,EmployeeData!$F:$F,AE$5)&gt;0,"PT","")</f>
        <v/>
      </c>
      <c r="AF29" s="21" t="str">
        <f>IF(COUNTIFS(EmployeeData!$A:$A,$A29,EmployeeData!$F:$F,AF$5)&gt;0,"PT","")</f>
        <v/>
      </c>
      <c r="AG29" s="8">
        <f t="shared" si="5"/>
        <v>1</v>
      </c>
      <c r="AH29" s="8">
        <f t="shared" si="3"/>
        <v>0</v>
      </c>
      <c r="AI29" s="8">
        <f t="shared" si="1"/>
        <v>0</v>
      </c>
      <c r="AJ29" s="8">
        <f t="shared" si="4"/>
        <v>0</v>
      </c>
      <c r="AK29" s="8">
        <f t="shared" si="2"/>
        <v>0</v>
      </c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</row>
    <row r="30" spans="1:55" s="3" customFormat="1" ht="25.15" customHeight="1" x14ac:dyDescent="0.55000000000000004">
      <c r="A30" s="10" t="s">
        <v>23</v>
      </c>
      <c r="B30" s="21" t="s">
        <v>109</v>
      </c>
      <c r="C30" s="21" t="str">
        <f>IF(COUNTIFS(EmployeeData!$A:$A,$A30,EmployeeData!$F:$F,C$5)&gt;0,"PT","")</f>
        <v/>
      </c>
      <c r="D30" s="21" t="str">
        <f>IF(COUNTIFS(EmployeeData!$A:$A,$A30,EmployeeData!$F:$F,D$5)&gt;0,"PT","")</f>
        <v/>
      </c>
      <c r="E30" s="21" t="str">
        <f>IF(COUNTIFS(EmployeeData!$A:$A,$A30,EmployeeData!$F:$F,E$5)&gt;0,"PT","")</f>
        <v/>
      </c>
      <c r="F30" s="21" t="str">
        <f>IF(COUNTIFS(EmployeeData!$A:$A,$A30,EmployeeData!$F:$F,F$5)&gt;0,"PT","")</f>
        <v/>
      </c>
      <c r="G30" s="21" t="str">
        <f>IF(COUNTIFS(EmployeeData!$A:$A,$A30,EmployeeData!$F:$F,G$5)&gt;0,"PT","")</f>
        <v/>
      </c>
      <c r="H30" s="21" t="str">
        <f>IF(COUNTIFS(EmployeeData!$A:$A,$A30,EmployeeData!$F:$F,H$5)&gt;0,"PT","")</f>
        <v/>
      </c>
      <c r="I30" s="21" t="str">
        <f>IF(COUNTIFS(EmployeeData!$A:$A,$A30,EmployeeData!$F:$F,I$5)&gt;0,"PT","")</f>
        <v/>
      </c>
      <c r="J30" s="21" t="str">
        <f>IF(COUNTIFS(EmployeeData!$A:$A,$A30,EmployeeData!$F:$F,J$5)&gt;0,"PT","")</f>
        <v/>
      </c>
      <c r="K30" s="21" t="str">
        <f>IF(COUNTIFS(EmployeeData!$A:$A,$A30,EmployeeData!$F:$F,K$5)&gt;0,"PT","")</f>
        <v/>
      </c>
      <c r="L30" s="21" t="str">
        <f>IF(COUNTIFS(EmployeeData!$A:$A,$A30,EmployeeData!$F:$F,L$5)&gt;0,"PT","")</f>
        <v/>
      </c>
      <c r="M30" s="21" t="str">
        <f>IF(COUNTIFS(EmployeeData!$A:$A,$A30,EmployeeData!$F:$F,M$5)&gt;0,"PT","")</f>
        <v/>
      </c>
      <c r="N30" s="21" t="str">
        <f>IF(COUNTIFS(EmployeeData!$A:$A,$A30,EmployeeData!$F:$F,N$5)&gt;0,"PT","")</f>
        <v/>
      </c>
      <c r="O30" s="21" t="str">
        <f>IF(COUNTIFS(EmployeeData!$A:$A,$A30,EmployeeData!$F:$F,O$5)&gt;0,"PT","")</f>
        <v/>
      </c>
      <c r="P30" s="21" t="s">
        <v>109</v>
      </c>
      <c r="Q30" s="21" t="str">
        <f>IF(COUNTIFS(EmployeeData!$A:$A,$A30,EmployeeData!$F:$F,Q$5)&gt;0,"PT","")</f>
        <v>PT</v>
      </c>
      <c r="R30" s="21" t="str">
        <f>IF(COUNTIFS(EmployeeData!$A:$A,$A30,EmployeeData!$F:$F,R$5)&gt;0,"PT","")</f>
        <v/>
      </c>
      <c r="S30" s="21" t="str">
        <f>IF(COUNTIFS(EmployeeData!$A:$A,$A30,EmployeeData!$F:$F,S$5)&gt;0,"PT","")</f>
        <v/>
      </c>
      <c r="T30" s="21" t="str">
        <f>IF(COUNTIFS(EmployeeData!$A:$A,$A30,EmployeeData!$F:$F,T$5)&gt;0,"PT","")</f>
        <v/>
      </c>
      <c r="U30" s="21" t="str">
        <f>IF(COUNTIFS(EmployeeData!$A:$A,$A30,EmployeeData!$F:$F,U$5)&gt;0,"PT","")</f>
        <v/>
      </c>
      <c r="V30" s="21" t="str">
        <f>IF(COUNTIFS(EmployeeData!$A:$A,$A30,EmployeeData!$F:$F,V$5)&gt;0,"PT","")</f>
        <v/>
      </c>
      <c r="W30" s="21" t="str">
        <f>IF(COUNTIFS(EmployeeData!$A:$A,$A30,EmployeeData!$F:$F,W$5)&gt;0,"PT","")</f>
        <v/>
      </c>
      <c r="X30" s="21" t="str">
        <f>IF(COUNTIFS(EmployeeData!$A:$A,$A30,EmployeeData!$F:$F,X$5)&gt;0,"PT","")</f>
        <v/>
      </c>
      <c r="Y30" s="21" t="str">
        <f>IF(COUNTIFS(EmployeeData!$A:$A,$A30,EmployeeData!$F:$F,Y$5)&gt;0,"PT","")</f>
        <v/>
      </c>
      <c r="Z30" s="21" t="str">
        <f>IF(COUNTIFS(EmployeeData!$A:$A,$A30,EmployeeData!$F:$F,Z$5)&gt;0,"PT","")</f>
        <v/>
      </c>
      <c r="AA30" s="21" t="s">
        <v>109</v>
      </c>
      <c r="AB30" s="21" t="str">
        <f>IF(COUNTIFS(EmployeeData!$A:$A,$A30,EmployeeData!$F:$F,AB$5)&gt;0,"PT","")</f>
        <v/>
      </c>
      <c r="AC30" s="21" t="str">
        <f>IF(COUNTIFS(EmployeeData!$A:$A,$A30,EmployeeData!$F:$F,AC$5)&gt;0,"PT","")</f>
        <v/>
      </c>
      <c r="AD30" s="21" t="str">
        <f>IF(COUNTIFS(EmployeeData!$A:$A,$A30,EmployeeData!$F:$F,AD$5)&gt;0,"PT","")</f>
        <v/>
      </c>
      <c r="AE30" s="21" t="str">
        <f>IF(COUNTIFS(EmployeeData!$A:$A,$A30,EmployeeData!$F:$F,AE$5)&gt;0,"PT","")</f>
        <v/>
      </c>
      <c r="AF30" s="21" t="str">
        <f>IF(COUNTIFS(EmployeeData!$A:$A,$A30,EmployeeData!$F:$F,AF$5)&gt;0,"PT","")</f>
        <v/>
      </c>
      <c r="AG30" s="8">
        <f t="shared" si="5"/>
        <v>1</v>
      </c>
      <c r="AH30" s="8">
        <f t="shared" si="3"/>
        <v>0</v>
      </c>
      <c r="AI30" s="8">
        <f t="shared" si="1"/>
        <v>0</v>
      </c>
      <c r="AJ30" s="8">
        <f t="shared" si="4"/>
        <v>0</v>
      </c>
      <c r="AK30" s="8">
        <f t="shared" si="2"/>
        <v>0</v>
      </c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</row>
    <row r="31" spans="1:55" s="3" customFormat="1" ht="25.15" customHeight="1" x14ac:dyDescent="0.55000000000000004">
      <c r="A31" s="10" t="s">
        <v>50</v>
      </c>
      <c r="B31" s="21" t="s">
        <v>109</v>
      </c>
      <c r="C31" s="21" t="str">
        <f>IF(COUNTIFS(EmployeeData!$A:$A,$A31,EmployeeData!$F:$F,C$5)&gt;0,"PT","")</f>
        <v/>
      </c>
      <c r="D31" s="21" t="str">
        <f>IF(COUNTIFS(EmployeeData!$A:$A,$A31,EmployeeData!$F:$F,D$5)&gt;0,"PT","")</f>
        <v/>
      </c>
      <c r="E31" s="21" t="str">
        <f>IF(COUNTIFS(EmployeeData!$A:$A,$A31,EmployeeData!$F:$F,E$5)&gt;0,"PT","")</f>
        <v/>
      </c>
      <c r="F31" s="21" t="str">
        <f>IF(COUNTIFS(EmployeeData!$A:$A,$A31,EmployeeData!$F:$F,F$5)&gt;0,"PT","")</f>
        <v/>
      </c>
      <c r="G31" s="21" t="str">
        <f>IF(COUNTIFS(EmployeeData!$A:$A,$A31,EmployeeData!$F:$F,G$5)&gt;0,"PT","")</f>
        <v/>
      </c>
      <c r="H31" s="21" t="str">
        <f>IF(COUNTIFS(EmployeeData!$A:$A,$A31,EmployeeData!$F:$F,H$5)&gt;0,"PT","")</f>
        <v/>
      </c>
      <c r="I31" s="21" t="str">
        <f>IF(COUNTIFS(EmployeeData!$A:$A,$A31,EmployeeData!$F:$F,I$5)&gt;0,"PT","")</f>
        <v/>
      </c>
      <c r="J31" s="21" t="str">
        <f>IF(COUNTIFS(EmployeeData!$A:$A,$A31,EmployeeData!$F:$F,J$5)&gt;0,"PT","")</f>
        <v/>
      </c>
      <c r="K31" s="21" t="str">
        <f>IF(COUNTIFS(EmployeeData!$A:$A,$A31,EmployeeData!$F:$F,K$5)&gt;0,"PT","")</f>
        <v/>
      </c>
      <c r="L31" s="21" t="str">
        <f>IF(COUNTIFS(EmployeeData!$A:$A,$A31,EmployeeData!$F:$F,L$5)&gt;0,"PT","")</f>
        <v/>
      </c>
      <c r="M31" s="21" t="str">
        <f>IF(COUNTIFS(EmployeeData!$A:$A,$A31,EmployeeData!$F:$F,M$5)&gt;0,"PT","")</f>
        <v/>
      </c>
      <c r="N31" s="21" t="str">
        <f>IF(COUNTIFS(EmployeeData!$A:$A,$A31,EmployeeData!$F:$F,N$5)&gt;0,"PT","")</f>
        <v/>
      </c>
      <c r="O31" s="21" t="str">
        <f>IF(COUNTIFS(EmployeeData!$A:$A,$A31,EmployeeData!$F:$F,O$5)&gt;0,"PT","")</f>
        <v/>
      </c>
      <c r="P31" s="21" t="s">
        <v>109</v>
      </c>
      <c r="Q31" s="21" t="str">
        <f>IF(COUNTIFS(EmployeeData!$A:$A,$A31,EmployeeData!$F:$F,Q$5)&gt;0,"PT","")</f>
        <v/>
      </c>
      <c r="R31" s="21" t="str">
        <f>IF(COUNTIFS(EmployeeData!$A:$A,$A31,EmployeeData!$F:$F,R$5)&gt;0,"PT","")</f>
        <v/>
      </c>
      <c r="S31" s="21" t="str">
        <f>IF(COUNTIFS(EmployeeData!$A:$A,$A31,EmployeeData!$F:$F,S$5)&gt;0,"PT","")</f>
        <v/>
      </c>
      <c r="T31" s="21" t="str">
        <f>IF(COUNTIFS(EmployeeData!$A:$A,$A31,EmployeeData!$F:$F,T$5)&gt;0,"PT","")</f>
        <v/>
      </c>
      <c r="U31" s="21" t="str">
        <f>IF(COUNTIFS(EmployeeData!$A:$A,$A31,EmployeeData!$F:$F,U$5)&gt;0,"PT","")</f>
        <v/>
      </c>
      <c r="V31" s="21" t="str">
        <f>IF(COUNTIFS(EmployeeData!$A:$A,$A31,EmployeeData!$F:$F,V$5)&gt;0,"PT","")</f>
        <v/>
      </c>
      <c r="W31" s="21" t="str">
        <f>IF(COUNTIFS(EmployeeData!$A:$A,$A31,EmployeeData!$F:$F,W$5)&gt;0,"PT","")</f>
        <v/>
      </c>
      <c r="X31" s="21" t="str">
        <f>IF(COUNTIFS(EmployeeData!$A:$A,$A31,EmployeeData!$F:$F,X$5)&gt;0,"PT","")</f>
        <v/>
      </c>
      <c r="Y31" s="21" t="str">
        <f>IF(COUNTIFS(EmployeeData!$A:$A,$A31,EmployeeData!$F:$F,Y$5)&gt;0,"PT","")</f>
        <v/>
      </c>
      <c r="Z31" s="21" t="str">
        <f>IF(COUNTIFS(EmployeeData!$A:$A,$A31,EmployeeData!$F:$F,Z$5)&gt;0,"PT","")</f>
        <v/>
      </c>
      <c r="AA31" s="21" t="s">
        <v>109</v>
      </c>
      <c r="AB31" s="21" t="str">
        <f>IF(COUNTIFS(EmployeeData!$A:$A,$A31,EmployeeData!$F:$F,AB$5)&gt;0,"PT","")</f>
        <v>PT</v>
      </c>
      <c r="AC31" s="21" t="str">
        <f>IF(COUNTIFS(EmployeeData!$A:$A,$A31,EmployeeData!$F:$F,AC$5)&gt;0,"PT","")</f>
        <v/>
      </c>
      <c r="AD31" s="21" t="str">
        <f>IF(COUNTIFS(EmployeeData!$A:$A,$A31,EmployeeData!$F:$F,AD$5)&gt;0,"PT","")</f>
        <v/>
      </c>
      <c r="AE31" s="21" t="str">
        <f>IF(COUNTIFS(EmployeeData!$A:$A,$A31,EmployeeData!$F:$F,AE$5)&gt;0,"PT","")</f>
        <v/>
      </c>
      <c r="AF31" s="21" t="str">
        <f>IF(COUNTIFS(EmployeeData!$A:$A,$A31,EmployeeData!$F:$F,AF$5)&gt;0,"PT","")</f>
        <v/>
      </c>
      <c r="AG31" s="8">
        <f t="shared" si="5"/>
        <v>1</v>
      </c>
      <c r="AH31" s="8">
        <f t="shared" si="3"/>
        <v>0</v>
      </c>
      <c r="AI31" s="8">
        <f t="shared" si="1"/>
        <v>0</v>
      </c>
      <c r="AJ31" s="8">
        <f t="shared" si="4"/>
        <v>0</v>
      </c>
      <c r="AK31" s="8">
        <f t="shared" si="2"/>
        <v>0</v>
      </c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</row>
    <row r="32" spans="1:55" s="3" customFormat="1" ht="25.15" customHeight="1" x14ac:dyDescent="0.55000000000000004">
      <c r="A32" s="10" t="s">
        <v>45</v>
      </c>
      <c r="B32" s="21" t="s">
        <v>109</v>
      </c>
      <c r="C32" s="21" t="str">
        <f>IF(COUNTIFS(EmployeeData!$A:$A,$A32,EmployeeData!$F:$F,C$5)&gt;0,"PT","")</f>
        <v>PT</v>
      </c>
      <c r="D32" s="21" t="str">
        <f>IF(COUNTIFS(EmployeeData!$A:$A,$A32,EmployeeData!$F:$F,D$5)&gt;0,"PT","")</f>
        <v/>
      </c>
      <c r="E32" s="21" t="str">
        <f>IF(COUNTIFS(EmployeeData!$A:$A,$A32,EmployeeData!$F:$F,E$5)&gt;0,"PT","")</f>
        <v/>
      </c>
      <c r="F32" s="21" t="str">
        <f>IF(COUNTIFS(EmployeeData!$A:$A,$A32,EmployeeData!$F:$F,F$5)&gt;0,"PT","")</f>
        <v/>
      </c>
      <c r="G32" s="21" t="str">
        <f>IF(COUNTIFS(EmployeeData!$A:$A,$A32,EmployeeData!$F:$F,G$5)&gt;0,"PT","")</f>
        <v/>
      </c>
      <c r="H32" s="21" t="str">
        <f>IF(COUNTIFS(EmployeeData!$A:$A,$A32,EmployeeData!$F:$F,H$5)&gt;0,"PT","")</f>
        <v/>
      </c>
      <c r="I32" s="21" t="str">
        <f>IF(COUNTIFS(EmployeeData!$A:$A,$A32,EmployeeData!$F:$F,I$5)&gt;0,"PT","")</f>
        <v/>
      </c>
      <c r="J32" s="21" t="str">
        <f>IF(COUNTIFS(EmployeeData!$A:$A,$A32,EmployeeData!$F:$F,J$5)&gt;0,"PT","")</f>
        <v/>
      </c>
      <c r="K32" s="21" t="str">
        <f>IF(COUNTIFS(EmployeeData!$A:$A,$A32,EmployeeData!$F:$F,K$5)&gt;0,"PT","")</f>
        <v/>
      </c>
      <c r="L32" s="21" t="str">
        <f>IF(COUNTIFS(EmployeeData!$A:$A,$A32,EmployeeData!$F:$F,L$5)&gt;0,"PT","")</f>
        <v/>
      </c>
      <c r="M32" s="21" t="str">
        <f>IF(COUNTIFS(EmployeeData!$A:$A,$A32,EmployeeData!$F:$F,M$5)&gt;0,"PT","")</f>
        <v/>
      </c>
      <c r="N32" s="21" t="str">
        <f>IF(COUNTIFS(EmployeeData!$A:$A,$A32,EmployeeData!$F:$F,N$5)&gt;0,"PT","")</f>
        <v/>
      </c>
      <c r="O32" s="21" t="str">
        <f>IF(COUNTIFS(EmployeeData!$A:$A,$A32,EmployeeData!$F:$F,O$5)&gt;0,"PT","")</f>
        <v/>
      </c>
      <c r="P32" s="21" t="s">
        <v>109</v>
      </c>
      <c r="Q32" s="21" t="str">
        <f>IF(COUNTIFS(EmployeeData!$A:$A,$A32,EmployeeData!$F:$F,Q$5)&gt;0,"PT","")</f>
        <v/>
      </c>
      <c r="R32" s="21" t="str">
        <f>IF(COUNTIFS(EmployeeData!$A:$A,$A32,EmployeeData!$F:$F,R$5)&gt;0,"PT","")</f>
        <v/>
      </c>
      <c r="S32" s="21" t="str">
        <f>IF(COUNTIFS(EmployeeData!$A:$A,$A32,EmployeeData!$F:$F,S$5)&gt;0,"PT","")</f>
        <v/>
      </c>
      <c r="T32" s="21" t="str">
        <f>IF(COUNTIFS(EmployeeData!$A:$A,$A32,EmployeeData!$F:$F,T$5)&gt;0,"PT","")</f>
        <v/>
      </c>
      <c r="U32" s="21" t="str">
        <f>IF(COUNTIFS(EmployeeData!$A:$A,$A32,EmployeeData!$F:$F,U$5)&gt;0,"PT","")</f>
        <v/>
      </c>
      <c r="V32" s="21" t="str">
        <f>IF(COUNTIFS(EmployeeData!$A:$A,$A32,EmployeeData!$F:$F,V$5)&gt;0,"PT","")</f>
        <v/>
      </c>
      <c r="W32" s="21" t="str">
        <f>IF(COUNTIFS(EmployeeData!$A:$A,$A32,EmployeeData!$F:$F,W$5)&gt;0,"PT","")</f>
        <v/>
      </c>
      <c r="X32" s="21" t="str">
        <f>IF(COUNTIFS(EmployeeData!$A:$A,$A32,EmployeeData!$F:$F,X$5)&gt;0,"PT","")</f>
        <v/>
      </c>
      <c r="Y32" s="21" t="str">
        <f>IF(COUNTIFS(EmployeeData!$A:$A,$A32,EmployeeData!$F:$F,Y$5)&gt;0,"PT","")</f>
        <v/>
      </c>
      <c r="Z32" s="21" t="str">
        <f>IF(COUNTIFS(EmployeeData!$A:$A,$A32,EmployeeData!$F:$F,Z$5)&gt;0,"PT","")</f>
        <v/>
      </c>
      <c r="AA32" s="21" t="s">
        <v>109</v>
      </c>
      <c r="AB32" s="21" t="str">
        <f>IF(COUNTIFS(EmployeeData!$A:$A,$A32,EmployeeData!$F:$F,AB$5)&gt;0,"PT","")</f>
        <v/>
      </c>
      <c r="AC32" s="21" t="str">
        <f>IF(COUNTIFS(EmployeeData!$A:$A,$A32,EmployeeData!$F:$F,AC$5)&gt;0,"PT","")</f>
        <v/>
      </c>
      <c r="AD32" s="21" t="str">
        <f>IF(COUNTIFS(EmployeeData!$A:$A,$A32,EmployeeData!$F:$F,AD$5)&gt;0,"PT","")</f>
        <v/>
      </c>
      <c r="AE32" s="21" t="str">
        <f>IF(COUNTIFS(EmployeeData!$A:$A,$A32,EmployeeData!$F:$F,AE$5)&gt;0,"PT","")</f>
        <v/>
      </c>
      <c r="AF32" s="21" t="str">
        <f>IF(COUNTIFS(EmployeeData!$A:$A,$A32,EmployeeData!$F:$F,AF$5)&gt;0,"PT","")</f>
        <v/>
      </c>
      <c r="AG32" s="8">
        <f t="shared" si="5"/>
        <v>1</v>
      </c>
      <c r="AH32" s="8">
        <f t="shared" si="3"/>
        <v>0</v>
      </c>
      <c r="AI32" s="8">
        <f t="shared" si="1"/>
        <v>0</v>
      </c>
      <c r="AJ32" s="8">
        <f t="shared" si="4"/>
        <v>0</v>
      </c>
      <c r="AK32" s="8">
        <f t="shared" si="2"/>
        <v>0</v>
      </c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</row>
    <row r="33" spans="1:55" s="3" customFormat="1" ht="25.15" customHeight="1" x14ac:dyDescent="0.55000000000000004">
      <c r="A33" s="10" t="s">
        <v>113</v>
      </c>
      <c r="B33" s="21" t="s">
        <v>109</v>
      </c>
      <c r="C33" s="21" t="str">
        <f>IF(COUNTIFS(EmployeeData!$A:$A,$A33,EmployeeData!$F:$F,C$5)&gt;0,"PT","")</f>
        <v/>
      </c>
      <c r="D33" s="21" t="str">
        <f>IF(COUNTIFS(EmployeeData!$A:$A,$A33,EmployeeData!$F:$F,D$5)&gt;0,"PT","")</f>
        <v/>
      </c>
      <c r="E33" s="21" t="str">
        <f>IF(COUNTIFS(EmployeeData!$A:$A,$A33,EmployeeData!$F:$F,E$5)&gt;0,"PT","")</f>
        <v/>
      </c>
      <c r="F33" s="21" t="str">
        <f>IF(COUNTIFS(EmployeeData!$A:$A,$A33,EmployeeData!$F:$F,F$5)&gt;0,"PT","")</f>
        <v/>
      </c>
      <c r="G33" s="21" t="str">
        <f>IF(COUNTIFS(EmployeeData!$A:$A,$A33,EmployeeData!$F:$F,G$5)&gt;0,"PT","")</f>
        <v/>
      </c>
      <c r="H33" s="21" t="str">
        <f>IF(COUNTIFS(EmployeeData!$A:$A,$A33,EmployeeData!$F:$F,H$5)&gt;0,"PT","")</f>
        <v/>
      </c>
      <c r="I33" s="21" t="str">
        <f>IF(COUNTIFS(EmployeeData!$A:$A,$A33,EmployeeData!$F:$F,I$5)&gt;0,"PT","")</f>
        <v/>
      </c>
      <c r="J33" s="21" t="str">
        <f>IF(COUNTIFS(EmployeeData!$A:$A,$A33,EmployeeData!$F:$F,J$5)&gt;0,"PT","")</f>
        <v/>
      </c>
      <c r="K33" s="21" t="str">
        <f>IF(COUNTIFS(EmployeeData!$A:$A,$A33,EmployeeData!$F:$F,K$5)&gt;0,"PT","")</f>
        <v/>
      </c>
      <c r="L33" s="21" t="str">
        <f>IF(COUNTIFS(EmployeeData!$A:$A,$A33,EmployeeData!$F:$F,L$5)&gt;0,"PT","")</f>
        <v/>
      </c>
      <c r="M33" s="21" t="str">
        <f>IF(COUNTIFS(EmployeeData!$A:$A,$A33,EmployeeData!$F:$F,M$5)&gt;0,"PT","")</f>
        <v/>
      </c>
      <c r="N33" s="21" t="str">
        <f>IF(COUNTIFS(EmployeeData!$A:$A,$A33,EmployeeData!$F:$F,N$5)&gt;0,"PT","")</f>
        <v/>
      </c>
      <c r="O33" s="21" t="str">
        <f>IF(COUNTIFS(EmployeeData!$A:$A,$A33,EmployeeData!$F:$F,O$5)&gt;0,"PT","")</f>
        <v/>
      </c>
      <c r="P33" s="21" t="s">
        <v>109</v>
      </c>
      <c r="Q33" s="21" t="str">
        <f>IF(COUNTIFS(EmployeeData!$A:$A,$A33,EmployeeData!$F:$F,Q$5)&gt;0,"PT","")</f>
        <v/>
      </c>
      <c r="R33" s="21" t="str">
        <f>IF(COUNTIFS(EmployeeData!$A:$A,$A33,EmployeeData!$F:$F,R$5)&gt;0,"PT","")</f>
        <v/>
      </c>
      <c r="S33" s="21" t="str">
        <f>IF(COUNTIFS(EmployeeData!$A:$A,$A33,EmployeeData!$F:$F,S$5)&gt;0,"PT","")</f>
        <v/>
      </c>
      <c r="T33" s="21" t="str">
        <f>IF(COUNTIFS(EmployeeData!$A:$A,$A33,EmployeeData!$F:$F,T$5)&gt;0,"PT","")</f>
        <v/>
      </c>
      <c r="U33" s="21" t="str">
        <f>IF(COUNTIFS(EmployeeData!$A:$A,$A33,EmployeeData!$F:$F,U$5)&gt;0,"PT","")</f>
        <v/>
      </c>
      <c r="V33" s="21" t="str">
        <f>IF(COUNTIFS(EmployeeData!$A:$A,$A33,EmployeeData!$F:$F,V$5)&gt;0,"PT","")</f>
        <v/>
      </c>
      <c r="W33" s="21" t="str">
        <f>IF(COUNTIFS(EmployeeData!$A:$A,$A33,EmployeeData!$F:$F,W$5)&gt;0,"PT","")</f>
        <v/>
      </c>
      <c r="X33" s="21" t="str">
        <f>IF(COUNTIFS(EmployeeData!$A:$A,$A33,EmployeeData!$F:$F,X$5)&gt;0,"PT","")</f>
        <v/>
      </c>
      <c r="Y33" s="21" t="str">
        <f>IF(COUNTIFS(EmployeeData!$A:$A,$A33,EmployeeData!$F:$F,Y$5)&gt;0,"PT","")</f>
        <v/>
      </c>
      <c r="Z33" s="21" t="str">
        <f>IF(COUNTIFS(EmployeeData!$A:$A,$A33,EmployeeData!$F:$F,Z$5)&gt;0,"PT","")</f>
        <v/>
      </c>
      <c r="AA33" s="21" t="s">
        <v>109</v>
      </c>
      <c r="AB33" s="21" t="str">
        <f>IF(COUNTIFS(EmployeeData!$A:$A,$A33,EmployeeData!$F:$F,AB$5)&gt;0,"PT","")</f>
        <v/>
      </c>
      <c r="AC33" s="21" t="str">
        <f>IF(COUNTIFS(EmployeeData!$A:$A,$A33,EmployeeData!$F:$F,AC$5)&gt;0,"PT","")</f>
        <v/>
      </c>
      <c r="AD33" s="21" t="str">
        <f>IF(COUNTIFS(EmployeeData!$A:$A,$A33,EmployeeData!$F:$F,AD$5)&gt;0,"PT","")</f>
        <v/>
      </c>
      <c r="AE33" s="21" t="str">
        <f>IF(COUNTIFS(EmployeeData!$A:$A,$A33,EmployeeData!$F:$F,AE$5)&gt;0,"PT","")</f>
        <v/>
      </c>
      <c r="AF33" s="21" t="str">
        <f>IF(COUNTIFS(EmployeeData!$A:$A,$A33,EmployeeData!$F:$F,AF$5)&gt;0,"PT","")</f>
        <v/>
      </c>
      <c r="AG33" s="8">
        <f t="shared" si="5"/>
        <v>0</v>
      </c>
      <c r="AH33" s="8">
        <f t="shared" si="3"/>
        <v>0</v>
      </c>
      <c r="AI33" s="8">
        <f t="shared" si="1"/>
        <v>0</v>
      </c>
      <c r="AJ33" s="8">
        <f t="shared" si="4"/>
        <v>0</v>
      </c>
      <c r="AK33" s="8">
        <f t="shared" si="2"/>
        <v>0</v>
      </c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</row>
    <row r="34" spans="1:55" s="3" customFormat="1" ht="25.15" customHeight="1" x14ac:dyDescent="0.55000000000000004">
      <c r="A34" s="10" t="s">
        <v>46</v>
      </c>
      <c r="B34" s="21" t="s">
        <v>109</v>
      </c>
      <c r="C34" s="21" t="str">
        <f>IF(COUNTIFS(EmployeeData!$A:$A,$A34,EmployeeData!$F:$F,C$5)&gt;0,"PT","")</f>
        <v>PT</v>
      </c>
      <c r="D34" s="21" t="str">
        <f>IF(COUNTIFS(EmployeeData!$A:$A,$A34,EmployeeData!$F:$F,D$5)&gt;0,"PT","")</f>
        <v/>
      </c>
      <c r="E34" s="21" t="str">
        <f>IF(COUNTIFS(EmployeeData!$A:$A,$A34,EmployeeData!$F:$F,E$5)&gt;0,"PT","")</f>
        <v/>
      </c>
      <c r="F34" s="21" t="str">
        <f>IF(COUNTIFS(EmployeeData!$A:$A,$A34,EmployeeData!$F:$F,F$5)&gt;0,"PT","")</f>
        <v/>
      </c>
      <c r="G34" s="21" t="str">
        <f>IF(COUNTIFS(EmployeeData!$A:$A,$A34,EmployeeData!$F:$F,G$5)&gt;0,"PT","")</f>
        <v/>
      </c>
      <c r="H34" s="21" t="str">
        <f>IF(COUNTIFS(EmployeeData!$A:$A,$A34,EmployeeData!$F:$F,H$5)&gt;0,"PT","")</f>
        <v/>
      </c>
      <c r="I34" s="21" t="str">
        <f>IF(COUNTIFS(EmployeeData!$A:$A,$A34,EmployeeData!$F:$F,I$5)&gt;0,"PT","")</f>
        <v/>
      </c>
      <c r="J34" s="21" t="str">
        <f>IF(COUNTIFS(EmployeeData!$A:$A,$A34,EmployeeData!$F:$F,J$5)&gt;0,"PT","")</f>
        <v/>
      </c>
      <c r="K34" s="21" t="str">
        <f>IF(COUNTIFS(EmployeeData!$A:$A,$A34,EmployeeData!$F:$F,K$5)&gt;0,"PT","")</f>
        <v/>
      </c>
      <c r="L34" s="21" t="str">
        <f>IF(COUNTIFS(EmployeeData!$A:$A,$A34,EmployeeData!$F:$F,L$5)&gt;0,"PT","")</f>
        <v/>
      </c>
      <c r="M34" s="21" t="str">
        <f>IF(COUNTIFS(EmployeeData!$A:$A,$A34,EmployeeData!$F:$F,M$5)&gt;0,"PT","")</f>
        <v/>
      </c>
      <c r="N34" s="21" t="str">
        <f>IF(COUNTIFS(EmployeeData!$A:$A,$A34,EmployeeData!$F:$F,N$5)&gt;0,"PT","")</f>
        <v/>
      </c>
      <c r="O34" s="21" t="str">
        <f>IF(COUNTIFS(EmployeeData!$A:$A,$A34,EmployeeData!$F:$F,O$5)&gt;0,"PT","")</f>
        <v/>
      </c>
      <c r="P34" s="21" t="s">
        <v>109</v>
      </c>
      <c r="Q34" s="21" t="str">
        <f>IF(COUNTIFS(EmployeeData!$A:$A,$A34,EmployeeData!$F:$F,Q$5)&gt;0,"PT","")</f>
        <v/>
      </c>
      <c r="R34" s="21" t="str">
        <f>IF(COUNTIFS(EmployeeData!$A:$A,$A34,EmployeeData!$F:$F,R$5)&gt;0,"PT","")</f>
        <v/>
      </c>
      <c r="S34" s="21" t="str">
        <f>IF(COUNTIFS(EmployeeData!$A:$A,$A34,EmployeeData!$F:$F,S$5)&gt;0,"PT","")</f>
        <v/>
      </c>
      <c r="T34" s="21" t="str">
        <f>IF(COUNTIFS(EmployeeData!$A:$A,$A34,EmployeeData!$F:$F,T$5)&gt;0,"PT","")</f>
        <v/>
      </c>
      <c r="U34" s="21" t="str">
        <f>IF(COUNTIFS(EmployeeData!$A:$A,$A34,EmployeeData!$F:$F,U$5)&gt;0,"PT","")</f>
        <v/>
      </c>
      <c r="V34" s="21" t="str">
        <f>IF(COUNTIFS(EmployeeData!$A:$A,$A34,EmployeeData!$F:$F,V$5)&gt;0,"PT","")</f>
        <v/>
      </c>
      <c r="W34" s="21" t="str">
        <f>IF(COUNTIFS(EmployeeData!$A:$A,$A34,EmployeeData!$F:$F,W$5)&gt;0,"PT","")</f>
        <v/>
      </c>
      <c r="X34" s="21" t="str">
        <f>IF(COUNTIFS(EmployeeData!$A:$A,$A34,EmployeeData!$F:$F,X$5)&gt;0,"PT","")</f>
        <v/>
      </c>
      <c r="Y34" s="21" t="str">
        <f>IF(COUNTIFS(EmployeeData!$A:$A,$A34,EmployeeData!$F:$F,Y$5)&gt;0,"PT","")</f>
        <v/>
      </c>
      <c r="Z34" s="21" t="str">
        <f>IF(COUNTIFS(EmployeeData!$A:$A,$A34,EmployeeData!$F:$F,Z$5)&gt;0,"PT","")</f>
        <v/>
      </c>
      <c r="AA34" s="21" t="s">
        <v>109</v>
      </c>
      <c r="AB34" s="21" t="str">
        <f>IF(COUNTIFS(EmployeeData!$A:$A,$A34,EmployeeData!$F:$F,AB$5)&gt;0,"PT","")</f>
        <v/>
      </c>
      <c r="AC34" s="21" t="str">
        <f>IF(COUNTIFS(EmployeeData!$A:$A,$A34,EmployeeData!$F:$F,AC$5)&gt;0,"PT","")</f>
        <v/>
      </c>
      <c r="AD34" s="21" t="str">
        <f>IF(COUNTIFS(EmployeeData!$A:$A,$A34,EmployeeData!$F:$F,AD$5)&gt;0,"PT","")</f>
        <v/>
      </c>
      <c r="AE34" s="21" t="str">
        <f>IF(COUNTIFS(EmployeeData!$A:$A,$A34,EmployeeData!$F:$F,AE$5)&gt;0,"PT","")</f>
        <v/>
      </c>
      <c r="AF34" s="21" t="str">
        <f>IF(COUNTIFS(EmployeeData!$A:$A,$A34,EmployeeData!$F:$F,AF$5)&gt;0,"PT","")</f>
        <v/>
      </c>
      <c r="AG34" s="8">
        <f t="shared" si="5"/>
        <v>1</v>
      </c>
      <c r="AH34" s="8">
        <f t="shared" si="3"/>
        <v>0</v>
      </c>
      <c r="AI34" s="8">
        <f t="shared" si="1"/>
        <v>0</v>
      </c>
      <c r="AJ34" s="8">
        <f t="shared" si="4"/>
        <v>0</v>
      </c>
      <c r="AK34" s="8">
        <f t="shared" si="2"/>
        <v>0</v>
      </c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</row>
    <row r="35" spans="1:55" s="3" customFormat="1" ht="25.15" customHeight="1" x14ac:dyDescent="0.55000000000000004">
      <c r="A35" s="10" t="s">
        <v>53</v>
      </c>
      <c r="B35" s="21" t="s">
        <v>109</v>
      </c>
      <c r="C35" s="21" t="str">
        <f>IF(COUNTIFS(EmployeeData!$A:$A,$A35,EmployeeData!$F:$F,C$5)&gt;0,"PT","")</f>
        <v/>
      </c>
      <c r="D35" s="21" t="str">
        <f>IF(COUNTIFS(EmployeeData!$A:$A,$A35,EmployeeData!$F:$F,D$5)&gt;0,"PT","")</f>
        <v/>
      </c>
      <c r="E35" s="21" t="str">
        <f>IF(COUNTIFS(EmployeeData!$A:$A,$A35,EmployeeData!$F:$F,E$5)&gt;0,"PT","")</f>
        <v/>
      </c>
      <c r="F35" s="21" t="str">
        <f>IF(COUNTIFS(EmployeeData!$A:$A,$A35,EmployeeData!$F:$F,F$5)&gt;0,"PT","")</f>
        <v/>
      </c>
      <c r="G35" s="21" t="str">
        <f>IF(COUNTIFS(EmployeeData!$A:$A,$A35,EmployeeData!$F:$F,G$5)&gt;0,"PT","")</f>
        <v/>
      </c>
      <c r="H35" s="21" t="str">
        <f>IF(COUNTIFS(EmployeeData!$A:$A,$A35,EmployeeData!$F:$F,H$5)&gt;0,"PT","")</f>
        <v/>
      </c>
      <c r="I35" s="21" t="str">
        <f>IF(COUNTIFS(EmployeeData!$A:$A,$A35,EmployeeData!$F:$F,I$5)&gt;0,"PT","")</f>
        <v/>
      </c>
      <c r="J35" s="21" t="str">
        <f>IF(COUNTIFS(EmployeeData!$A:$A,$A35,EmployeeData!$F:$F,J$5)&gt;0,"PT","")</f>
        <v/>
      </c>
      <c r="K35" s="21" t="str">
        <f>IF(COUNTIFS(EmployeeData!$A:$A,$A35,EmployeeData!$F:$F,K$5)&gt;0,"PT","")</f>
        <v/>
      </c>
      <c r="L35" s="21" t="str">
        <f>IF(COUNTIFS(EmployeeData!$A:$A,$A35,EmployeeData!$F:$F,L$5)&gt;0,"PT","")</f>
        <v/>
      </c>
      <c r="M35" s="21" t="str">
        <f>IF(COUNTIFS(EmployeeData!$A:$A,$A35,EmployeeData!$F:$F,M$5)&gt;0,"PT","")</f>
        <v>PT</v>
      </c>
      <c r="N35" s="21" t="str">
        <f>IF(COUNTIFS(EmployeeData!$A:$A,$A35,EmployeeData!$F:$F,N$5)&gt;0,"PT","")</f>
        <v/>
      </c>
      <c r="O35" s="21" t="str">
        <f>IF(COUNTIFS(EmployeeData!$A:$A,$A35,EmployeeData!$F:$F,O$5)&gt;0,"PT","")</f>
        <v/>
      </c>
      <c r="P35" s="21" t="s">
        <v>109</v>
      </c>
      <c r="Q35" s="21" t="str">
        <f>IF(COUNTIFS(EmployeeData!$A:$A,$A35,EmployeeData!$F:$F,Q$5)&gt;0,"PT","")</f>
        <v/>
      </c>
      <c r="R35" s="21" t="str">
        <f>IF(COUNTIFS(EmployeeData!$A:$A,$A35,EmployeeData!$F:$F,R$5)&gt;0,"PT","")</f>
        <v/>
      </c>
      <c r="S35" s="21" t="str">
        <f>IF(COUNTIFS(EmployeeData!$A:$A,$A35,EmployeeData!$F:$F,S$5)&gt;0,"PT","")</f>
        <v/>
      </c>
      <c r="T35" s="21" t="str">
        <f>IF(COUNTIFS(EmployeeData!$A:$A,$A35,EmployeeData!$F:$F,T$5)&gt;0,"PT","")</f>
        <v/>
      </c>
      <c r="U35" s="21" t="str">
        <f>IF(COUNTIFS(EmployeeData!$A:$A,$A35,EmployeeData!$F:$F,U$5)&gt;0,"PT","")</f>
        <v/>
      </c>
      <c r="V35" s="21" t="str">
        <f>IF(COUNTIFS(EmployeeData!$A:$A,$A35,EmployeeData!$F:$F,V$5)&gt;0,"PT","")</f>
        <v/>
      </c>
      <c r="W35" s="21" t="str">
        <f>IF(COUNTIFS(EmployeeData!$A:$A,$A35,EmployeeData!$F:$F,W$5)&gt;0,"PT","")</f>
        <v/>
      </c>
      <c r="X35" s="21" t="str">
        <f>IF(COUNTIFS(EmployeeData!$A:$A,$A35,EmployeeData!$F:$F,X$5)&gt;0,"PT","")</f>
        <v/>
      </c>
      <c r="Y35" s="21" t="str">
        <f>IF(COUNTIFS(EmployeeData!$A:$A,$A35,EmployeeData!$F:$F,Y$5)&gt;0,"PT","")</f>
        <v/>
      </c>
      <c r="Z35" s="21" t="str">
        <f>IF(COUNTIFS(EmployeeData!$A:$A,$A35,EmployeeData!$F:$F,Z$5)&gt;0,"PT","")</f>
        <v/>
      </c>
      <c r="AA35" s="21" t="s">
        <v>109</v>
      </c>
      <c r="AB35" s="21" t="str">
        <f>IF(COUNTIFS(EmployeeData!$A:$A,$A35,EmployeeData!$F:$F,AB$5)&gt;0,"PT","")</f>
        <v/>
      </c>
      <c r="AC35" s="21" t="str">
        <f>IF(COUNTIFS(EmployeeData!$A:$A,$A35,EmployeeData!$F:$F,AC$5)&gt;0,"PT","")</f>
        <v/>
      </c>
      <c r="AD35" s="21" t="str">
        <f>IF(COUNTIFS(EmployeeData!$A:$A,$A35,EmployeeData!$F:$F,AD$5)&gt;0,"PT","")</f>
        <v/>
      </c>
      <c r="AE35" s="21" t="str">
        <f>IF(COUNTIFS(EmployeeData!$A:$A,$A35,EmployeeData!$F:$F,AE$5)&gt;0,"PT","")</f>
        <v/>
      </c>
      <c r="AF35" s="21" t="str">
        <f>IF(COUNTIFS(EmployeeData!$A:$A,$A35,EmployeeData!$F:$F,AF$5)&gt;0,"PT","")</f>
        <v/>
      </c>
      <c r="AG35" s="8">
        <f t="shared" si="5"/>
        <v>1</v>
      </c>
      <c r="AH35" s="8">
        <f t="shared" si="3"/>
        <v>0</v>
      </c>
      <c r="AI35" s="8">
        <f t="shared" si="1"/>
        <v>0</v>
      </c>
      <c r="AJ35" s="8">
        <f t="shared" si="4"/>
        <v>0</v>
      </c>
      <c r="AK35" s="8">
        <f t="shared" si="2"/>
        <v>0</v>
      </c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</row>
    <row r="36" spans="1:55" s="3" customFormat="1" ht="25.15" customHeight="1" x14ac:dyDescent="0.55000000000000004">
      <c r="A36" s="10" t="s">
        <v>114</v>
      </c>
      <c r="B36" s="21" t="s">
        <v>109</v>
      </c>
      <c r="C36" s="21" t="str">
        <f>IF(COUNTIFS(EmployeeData!$A:$A,$A36,EmployeeData!$F:$F,C$5)&gt;0,"PT","")</f>
        <v/>
      </c>
      <c r="D36" s="21" t="str">
        <f>IF(COUNTIFS(EmployeeData!$A:$A,$A36,EmployeeData!$F:$F,D$5)&gt;0,"PT","")</f>
        <v/>
      </c>
      <c r="E36" s="21" t="str">
        <f>IF(COUNTIFS(EmployeeData!$A:$A,$A36,EmployeeData!$F:$F,E$5)&gt;0,"PT","")</f>
        <v/>
      </c>
      <c r="F36" s="21" t="str">
        <f>IF(COUNTIFS(EmployeeData!$A:$A,$A36,EmployeeData!$F:$F,F$5)&gt;0,"PT","")</f>
        <v/>
      </c>
      <c r="G36" s="21" t="str">
        <f>IF(COUNTIFS(EmployeeData!$A:$A,$A36,EmployeeData!$F:$F,G$5)&gt;0,"PT","")</f>
        <v/>
      </c>
      <c r="H36" s="21" t="str">
        <f>IF(COUNTIFS(EmployeeData!$A:$A,$A36,EmployeeData!$F:$F,H$5)&gt;0,"PT","")</f>
        <v/>
      </c>
      <c r="I36" s="21" t="str">
        <f>IF(COUNTIFS(EmployeeData!$A:$A,$A36,EmployeeData!$F:$F,I$5)&gt;0,"PT","")</f>
        <v/>
      </c>
      <c r="J36" s="21" t="str">
        <f>IF(COUNTIFS(EmployeeData!$A:$A,$A36,EmployeeData!$F:$F,J$5)&gt;0,"PT","")</f>
        <v/>
      </c>
      <c r="K36" s="21" t="str">
        <f>IF(COUNTIFS(EmployeeData!$A:$A,$A36,EmployeeData!$F:$F,K$5)&gt;0,"PT","")</f>
        <v/>
      </c>
      <c r="L36" s="21" t="str">
        <f>IF(COUNTIFS(EmployeeData!$A:$A,$A36,EmployeeData!$F:$F,L$5)&gt;0,"PT","")</f>
        <v/>
      </c>
      <c r="M36" s="21" t="str">
        <f>IF(COUNTIFS(EmployeeData!$A:$A,$A36,EmployeeData!$F:$F,M$5)&gt;0,"PT","")</f>
        <v/>
      </c>
      <c r="N36" s="21" t="str">
        <f>IF(COUNTIFS(EmployeeData!$A:$A,$A36,EmployeeData!$F:$F,N$5)&gt;0,"PT","")</f>
        <v/>
      </c>
      <c r="O36" s="21" t="str">
        <f>IF(COUNTIFS(EmployeeData!$A:$A,$A36,EmployeeData!$F:$F,O$5)&gt;0,"PT","")</f>
        <v/>
      </c>
      <c r="P36" s="21" t="s">
        <v>109</v>
      </c>
      <c r="Q36" s="21" t="str">
        <f>IF(COUNTIFS(EmployeeData!$A:$A,$A36,EmployeeData!$F:$F,Q$5)&gt;0,"PT","")</f>
        <v/>
      </c>
      <c r="R36" s="21" t="str">
        <f>IF(COUNTIFS(EmployeeData!$A:$A,$A36,EmployeeData!$F:$F,R$5)&gt;0,"PT","")</f>
        <v/>
      </c>
      <c r="S36" s="21" t="str">
        <f>IF(COUNTIFS(EmployeeData!$A:$A,$A36,EmployeeData!$F:$F,S$5)&gt;0,"PT","")</f>
        <v/>
      </c>
      <c r="T36" s="21" t="str">
        <f>IF(COUNTIFS(EmployeeData!$A:$A,$A36,EmployeeData!$F:$F,T$5)&gt;0,"PT","")</f>
        <v/>
      </c>
      <c r="U36" s="21" t="str">
        <f>IF(COUNTIFS(EmployeeData!$A:$A,$A36,EmployeeData!$F:$F,U$5)&gt;0,"PT","")</f>
        <v/>
      </c>
      <c r="V36" s="21" t="str">
        <f>IF(COUNTIFS(EmployeeData!$A:$A,$A36,EmployeeData!$F:$F,V$5)&gt;0,"PT","")</f>
        <v/>
      </c>
      <c r="W36" s="21" t="str">
        <f>IF(COUNTIFS(EmployeeData!$A:$A,$A36,EmployeeData!$F:$F,W$5)&gt;0,"PT","")</f>
        <v/>
      </c>
      <c r="X36" s="21" t="str">
        <f>IF(COUNTIFS(EmployeeData!$A:$A,$A36,EmployeeData!$F:$F,X$5)&gt;0,"PT","")</f>
        <v/>
      </c>
      <c r="Y36" s="21" t="str">
        <f>IF(COUNTIFS(EmployeeData!$A:$A,$A36,EmployeeData!$F:$F,Y$5)&gt;0,"PT","")</f>
        <v/>
      </c>
      <c r="Z36" s="21" t="str">
        <f>IF(COUNTIFS(EmployeeData!$A:$A,$A36,EmployeeData!$F:$F,Z$5)&gt;0,"PT","")</f>
        <v/>
      </c>
      <c r="AA36" s="21" t="s">
        <v>109</v>
      </c>
      <c r="AB36" s="21" t="str">
        <f>IF(COUNTIFS(EmployeeData!$A:$A,$A36,EmployeeData!$F:$F,AB$5)&gt;0,"PT","")</f>
        <v/>
      </c>
      <c r="AC36" s="21" t="str">
        <f>IF(COUNTIFS(EmployeeData!$A:$A,$A36,EmployeeData!$F:$F,AC$5)&gt;0,"PT","")</f>
        <v/>
      </c>
      <c r="AD36" s="21" t="str">
        <f>IF(COUNTIFS(EmployeeData!$A:$A,$A36,EmployeeData!$F:$F,AD$5)&gt;0,"PT","")</f>
        <v/>
      </c>
      <c r="AE36" s="21" t="str">
        <f>IF(COUNTIFS(EmployeeData!$A:$A,$A36,EmployeeData!$F:$F,AE$5)&gt;0,"PT","")</f>
        <v/>
      </c>
      <c r="AF36" s="21" t="str">
        <f>IF(COUNTIFS(EmployeeData!$A:$A,$A36,EmployeeData!$F:$F,AF$5)&gt;0,"PT","")</f>
        <v/>
      </c>
      <c r="AG36" s="8">
        <f t="shared" si="5"/>
        <v>0</v>
      </c>
      <c r="AH36" s="8">
        <f t="shared" si="3"/>
        <v>0</v>
      </c>
      <c r="AI36" s="8">
        <f t="shared" si="1"/>
        <v>0</v>
      </c>
      <c r="AJ36" s="8">
        <f t="shared" si="4"/>
        <v>0</v>
      </c>
      <c r="AK36" s="8">
        <f t="shared" si="2"/>
        <v>0</v>
      </c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</row>
    <row r="37" spans="1:55" s="3" customFormat="1" ht="25.15" customHeight="1" x14ac:dyDescent="0.55000000000000004">
      <c r="A37" s="10" t="s">
        <v>132</v>
      </c>
      <c r="B37" s="21" t="s">
        <v>109</v>
      </c>
      <c r="C37" s="21" t="str">
        <f>IF(COUNTIFS(EmployeeData!$A:$A,$A37,EmployeeData!$F:$F,C$5)&gt;0,"PT","")</f>
        <v/>
      </c>
      <c r="D37" s="21" t="str">
        <f>IF(COUNTIFS(EmployeeData!$A:$A,$A37,EmployeeData!$F:$F,D$5)&gt;0,"PT","")</f>
        <v/>
      </c>
      <c r="E37" s="21" t="str">
        <f>IF(COUNTIFS(EmployeeData!$A:$A,$A37,EmployeeData!$F:$F,E$5)&gt;0,"PT","")</f>
        <v/>
      </c>
      <c r="F37" s="21" t="str">
        <f>IF(COUNTIFS(EmployeeData!$A:$A,$A37,EmployeeData!$F:$F,F$5)&gt;0,"PT","")</f>
        <v/>
      </c>
      <c r="G37" s="21" t="str">
        <f>IF(COUNTIFS(EmployeeData!$A:$A,$A37,EmployeeData!$F:$F,G$5)&gt;0,"PT","")</f>
        <v/>
      </c>
      <c r="H37" s="21" t="str">
        <f>IF(COUNTIFS(EmployeeData!$A:$A,$A37,EmployeeData!$F:$F,H$5)&gt;0,"PT","")</f>
        <v/>
      </c>
      <c r="I37" s="21" t="str">
        <f>IF(COUNTIFS(EmployeeData!$A:$A,$A37,EmployeeData!$F:$F,I$5)&gt;0,"PT","")</f>
        <v/>
      </c>
      <c r="J37" s="21" t="str">
        <f>IF(COUNTIFS(EmployeeData!$A:$A,$A37,EmployeeData!$F:$F,J$5)&gt;0,"PT","")</f>
        <v/>
      </c>
      <c r="K37" s="21" t="str">
        <f>IF(COUNTIFS(EmployeeData!$A:$A,$A37,EmployeeData!$F:$F,K$5)&gt;0,"PT","")</f>
        <v/>
      </c>
      <c r="L37" s="21" t="str">
        <f>IF(COUNTIFS(EmployeeData!$A:$A,$A37,EmployeeData!$F:$F,L$5)&gt;0,"PT","")</f>
        <v/>
      </c>
      <c r="M37" s="21" t="str">
        <f>IF(COUNTIFS(EmployeeData!$A:$A,$A37,EmployeeData!$F:$F,M$5)&gt;0,"PT","")</f>
        <v/>
      </c>
      <c r="N37" s="21" t="str">
        <f>IF(COUNTIFS(EmployeeData!$A:$A,$A37,EmployeeData!$F:$F,N$5)&gt;0,"PT","")</f>
        <v/>
      </c>
      <c r="O37" s="21" t="str">
        <f>IF(COUNTIFS(EmployeeData!$A:$A,$A37,EmployeeData!$F:$F,O$5)&gt;0,"PT","")</f>
        <v/>
      </c>
      <c r="P37" s="21" t="s">
        <v>109</v>
      </c>
      <c r="Q37" s="21" t="str">
        <f>IF(COUNTIFS(EmployeeData!$A:$A,$A37,EmployeeData!$F:$F,Q$5)&gt;0,"PT","")</f>
        <v/>
      </c>
      <c r="R37" s="21" t="str">
        <f>IF(COUNTIFS(EmployeeData!$A:$A,$A37,EmployeeData!$F:$F,R$5)&gt;0,"PT","")</f>
        <v/>
      </c>
      <c r="S37" s="21" t="str">
        <f>IF(COUNTIFS(EmployeeData!$A:$A,$A37,EmployeeData!$F:$F,S$5)&gt;0,"PT","")</f>
        <v/>
      </c>
      <c r="T37" s="21" t="str">
        <f>IF(COUNTIFS(EmployeeData!$A:$A,$A37,EmployeeData!$F:$F,T$5)&gt;0,"PT","")</f>
        <v/>
      </c>
      <c r="U37" s="21" t="str">
        <f>IF(COUNTIFS(EmployeeData!$A:$A,$A37,EmployeeData!$F:$F,U$5)&gt;0,"PT","")</f>
        <v/>
      </c>
      <c r="V37" s="21" t="str">
        <f>IF(COUNTIFS(EmployeeData!$A:$A,$A37,EmployeeData!$F:$F,V$5)&gt;0,"PT","")</f>
        <v/>
      </c>
      <c r="W37" s="21" t="str">
        <f>IF(COUNTIFS(EmployeeData!$A:$A,$A37,EmployeeData!$F:$F,W$5)&gt;0,"PT","")</f>
        <v/>
      </c>
      <c r="X37" s="21" t="str">
        <f>IF(COUNTIFS(EmployeeData!$A:$A,$A37,EmployeeData!$F:$F,X$5)&gt;0,"PT","")</f>
        <v/>
      </c>
      <c r="Y37" s="21" t="str">
        <f>IF(COUNTIFS(EmployeeData!$A:$A,$A37,EmployeeData!$F:$F,Y$5)&gt;0,"PT","")</f>
        <v/>
      </c>
      <c r="Z37" s="21" t="str">
        <f>IF(COUNTIFS(EmployeeData!$A:$A,$A37,EmployeeData!$F:$F,Z$5)&gt;0,"PT","")</f>
        <v/>
      </c>
      <c r="AA37" s="21" t="s">
        <v>109</v>
      </c>
      <c r="AB37" s="21" t="str">
        <f>IF(COUNTIFS(EmployeeData!$A:$A,$A37,EmployeeData!$F:$F,AB$5)&gt;0,"PT","")</f>
        <v/>
      </c>
      <c r="AC37" s="21" t="str">
        <f>IF(COUNTIFS(EmployeeData!$A:$A,$A37,EmployeeData!$F:$F,AC$5)&gt;0,"PT","")</f>
        <v/>
      </c>
      <c r="AD37" s="21" t="str">
        <f>IF(COUNTIFS(EmployeeData!$A:$A,$A37,EmployeeData!$F:$F,AD$5)&gt;0,"PT","")</f>
        <v/>
      </c>
      <c r="AE37" s="21" t="str">
        <f>IF(COUNTIFS(EmployeeData!$A:$A,$A37,EmployeeData!$F:$F,AE$5)&gt;0,"PT","")</f>
        <v/>
      </c>
      <c r="AF37" s="21" t="str">
        <f>IF(COUNTIFS(EmployeeData!$A:$A,$A37,EmployeeData!$F:$F,AF$5)&gt;0,"PT","")</f>
        <v/>
      </c>
      <c r="AG37" s="8">
        <f t="shared" ref="AG37:AG39" si="6">(COUNTIF(B37:AF37,"PT")*1)+(COUNTIF(B37:AF37,"H1")*0.5)+(COUNTIF(B37:AF37,"T")*0)+(COUNTIF(B37:AF37,"R")*0)+(COUNTIF(B37:AF37,"S")*1)+(COUNTIF(B37:AF37,"C")*1)+(COUNTIF(B37:AF37,"FH")*0)+(COUNTIF(B37:AF37,"MT")*1)</f>
        <v>0</v>
      </c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</row>
    <row r="38" spans="1:55" s="3" customFormat="1" ht="25.15" customHeight="1" x14ac:dyDescent="0.55000000000000004">
      <c r="A38" s="10" t="s">
        <v>133</v>
      </c>
      <c r="B38" s="21" t="s">
        <v>109</v>
      </c>
      <c r="C38" s="21" t="str">
        <f>IF(COUNTIFS(EmployeeData!$A:$A,$A38,EmployeeData!$F:$F,C$5)&gt;0,"PT","")</f>
        <v/>
      </c>
      <c r="D38" s="21" t="str">
        <f>IF(COUNTIFS(EmployeeData!$A:$A,$A38,EmployeeData!$F:$F,D$5)&gt;0,"PT","")</f>
        <v/>
      </c>
      <c r="E38" s="21" t="str">
        <f>IF(COUNTIFS(EmployeeData!$A:$A,$A38,EmployeeData!$F:$F,E$5)&gt;0,"PT","")</f>
        <v/>
      </c>
      <c r="F38" s="21" t="str">
        <f>IF(COUNTIFS(EmployeeData!$A:$A,$A38,EmployeeData!$F:$F,F$5)&gt;0,"PT","")</f>
        <v/>
      </c>
      <c r="G38" s="21" t="str">
        <f>IF(COUNTIFS(EmployeeData!$A:$A,$A38,EmployeeData!$F:$F,G$5)&gt;0,"PT","")</f>
        <v/>
      </c>
      <c r="H38" s="21" t="str">
        <f>IF(COUNTIFS(EmployeeData!$A:$A,$A38,EmployeeData!$F:$F,H$5)&gt;0,"PT","")</f>
        <v/>
      </c>
      <c r="I38" s="21" t="str">
        <f>IF(COUNTIFS(EmployeeData!$A:$A,$A38,EmployeeData!$F:$F,I$5)&gt;0,"PT","")</f>
        <v/>
      </c>
      <c r="J38" s="21" t="str">
        <f>IF(COUNTIFS(EmployeeData!$A:$A,$A38,EmployeeData!$F:$F,J$5)&gt;0,"PT","")</f>
        <v/>
      </c>
      <c r="K38" s="21" t="str">
        <f>IF(COUNTIFS(EmployeeData!$A:$A,$A38,EmployeeData!$F:$F,K$5)&gt;0,"PT","")</f>
        <v/>
      </c>
      <c r="L38" s="21" t="str">
        <f>IF(COUNTIFS(EmployeeData!$A:$A,$A38,EmployeeData!$F:$F,L$5)&gt;0,"PT","")</f>
        <v/>
      </c>
      <c r="M38" s="21" t="str">
        <f>IF(COUNTIFS(EmployeeData!$A:$A,$A38,EmployeeData!$F:$F,M$5)&gt;0,"PT","")</f>
        <v/>
      </c>
      <c r="N38" s="21" t="str">
        <f>IF(COUNTIFS(EmployeeData!$A:$A,$A38,EmployeeData!$F:$F,N$5)&gt;0,"PT","")</f>
        <v/>
      </c>
      <c r="O38" s="21" t="str">
        <f>IF(COUNTIFS(EmployeeData!$A:$A,$A38,EmployeeData!$F:$F,O$5)&gt;0,"PT","")</f>
        <v/>
      </c>
      <c r="P38" s="21" t="s">
        <v>109</v>
      </c>
      <c r="Q38" s="21" t="str">
        <f>IF(COUNTIFS(EmployeeData!$A:$A,$A38,EmployeeData!$F:$F,Q$5)&gt;0,"PT","")</f>
        <v/>
      </c>
      <c r="R38" s="21" t="str">
        <f>IF(COUNTIFS(EmployeeData!$A:$A,$A38,EmployeeData!$F:$F,R$5)&gt;0,"PT","")</f>
        <v/>
      </c>
      <c r="S38" s="21" t="str">
        <f>IF(COUNTIFS(EmployeeData!$A:$A,$A38,EmployeeData!$F:$F,S$5)&gt;0,"PT","")</f>
        <v/>
      </c>
      <c r="T38" s="21" t="str">
        <f>IF(COUNTIFS(EmployeeData!$A:$A,$A38,EmployeeData!$F:$F,T$5)&gt;0,"PT","")</f>
        <v/>
      </c>
      <c r="U38" s="21" t="str">
        <f>IF(COUNTIFS(EmployeeData!$A:$A,$A38,EmployeeData!$F:$F,U$5)&gt;0,"PT","")</f>
        <v/>
      </c>
      <c r="V38" s="21" t="str">
        <f>IF(COUNTIFS(EmployeeData!$A:$A,$A38,EmployeeData!$F:$F,V$5)&gt;0,"PT","")</f>
        <v/>
      </c>
      <c r="W38" s="21" t="str">
        <f>IF(COUNTIFS(EmployeeData!$A:$A,$A38,EmployeeData!$F:$F,W$5)&gt;0,"PT","")</f>
        <v/>
      </c>
      <c r="X38" s="21" t="str">
        <f>IF(COUNTIFS(EmployeeData!$A:$A,$A38,EmployeeData!$F:$F,X$5)&gt;0,"PT","")</f>
        <v/>
      </c>
      <c r="Y38" s="21" t="str">
        <f>IF(COUNTIFS(EmployeeData!$A:$A,$A38,EmployeeData!$F:$F,Y$5)&gt;0,"PT","")</f>
        <v/>
      </c>
      <c r="Z38" s="21" t="str">
        <f>IF(COUNTIFS(EmployeeData!$A:$A,$A38,EmployeeData!$F:$F,Z$5)&gt;0,"PT","")</f>
        <v/>
      </c>
      <c r="AA38" s="21" t="s">
        <v>109</v>
      </c>
      <c r="AB38" s="21" t="str">
        <f>IF(COUNTIFS(EmployeeData!$A:$A,$A38,EmployeeData!$F:$F,AB$5)&gt;0,"PT","")</f>
        <v/>
      </c>
      <c r="AC38" s="21" t="str">
        <f>IF(COUNTIFS(EmployeeData!$A:$A,$A38,EmployeeData!$F:$F,AC$5)&gt;0,"PT","")</f>
        <v/>
      </c>
      <c r="AD38" s="21" t="str">
        <f>IF(COUNTIFS(EmployeeData!$A:$A,$A38,EmployeeData!$F:$F,AD$5)&gt;0,"PT","")</f>
        <v/>
      </c>
      <c r="AE38" s="21" t="str">
        <f>IF(COUNTIFS(EmployeeData!$A:$A,$A38,EmployeeData!$F:$F,AE$5)&gt;0,"PT","")</f>
        <v/>
      </c>
      <c r="AF38" s="21" t="str">
        <f>IF(COUNTIFS(EmployeeData!$A:$A,$A38,EmployeeData!$F:$F,AF$5)&gt;0,"PT","")</f>
        <v/>
      </c>
      <c r="AG38" s="8">
        <f t="shared" si="6"/>
        <v>0</v>
      </c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</row>
    <row r="39" spans="1:55" s="3" customFormat="1" ht="25.15" customHeight="1" x14ac:dyDescent="0.55000000000000004">
      <c r="A39" s="10" t="s">
        <v>134</v>
      </c>
      <c r="B39" s="21" t="s">
        <v>109</v>
      </c>
      <c r="C39" s="21" t="str">
        <f>IF(COUNTIFS(EmployeeData!$A:$A,$A39,EmployeeData!$F:$F,C$5)&gt;0,"PT","")</f>
        <v/>
      </c>
      <c r="D39" s="21" t="str">
        <f>IF(COUNTIFS(EmployeeData!$A:$A,$A39,EmployeeData!$F:$F,D$5)&gt;0,"PT","")</f>
        <v/>
      </c>
      <c r="E39" s="21" t="str">
        <f>IF(COUNTIFS(EmployeeData!$A:$A,$A39,EmployeeData!$F:$F,E$5)&gt;0,"PT","")</f>
        <v/>
      </c>
      <c r="F39" s="21" t="str">
        <f>IF(COUNTIFS(EmployeeData!$A:$A,$A39,EmployeeData!$F:$F,F$5)&gt;0,"PT","")</f>
        <v/>
      </c>
      <c r="G39" s="21" t="str">
        <f>IF(COUNTIFS(EmployeeData!$A:$A,$A39,EmployeeData!$F:$F,G$5)&gt;0,"PT","")</f>
        <v/>
      </c>
      <c r="H39" s="21" t="str">
        <f>IF(COUNTIFS(EmployeeData!$A:$A,$A39,EmployeeData!$F:$F,H$5)&gt;0,"PT","")</f>
        <v/>
      </c>
      <c r="I39" s="21" t="str">
        <f>IF(COUNTIFS(EmployeeData!$A:$A,$A39,EmployeeData!$F:$F,I$5)&gt;0,"PT","")</f>
        <v/>
      </c>
      <c r="J39" s="21" t="str">
        <f>IF(COUNTIFS(EmployeeData!$A:$A,$A39,EmployeeData!$F:$F,J$5)&gt;0,"PT","")</f>
        <v/>
      </c>
      <c r="K39" s="21" t="str">
        <f>IF(COUNTIFS(EmployeeData!$A:$A,$A39,EmployeeData!$F:$F,K$5)&gt;0,"PT","")</f>
        <v/>
      </c>
      <c r="L39" s="21" t="str">
        <f>IF(COUNTIFS(EmployeeData!$A:$A,$A39,EmployeeData!$F:$F,L$5)&gt;0,"PT","")</f>
        <v/>
      </c>
      <c r="M39" s="21" t="str">
        <f>IF(COUNTIFS(EmployeeData!$A:$A,$A39,EmployeeData!$F:$F,M$5)&gt;0,"PT","")</f>
        <v/>
      </c>
      <c r="N39" s="21" t="str">
        <f>IF(COUNTIFS(EmployeeData!$A:$A,$A39,EmployeeData!$F:$F,N$5)&gt;0,"PT","")</f>
        <v/>
      </c>
      <c r="O39" s="21" t="str">
        <f>IF(COUNTIFS(EmployeeData!$A:$A,$A39,EmployeeData!$F:$F,O$5)&gt;0,"PT","")</f>
        <v/>
      </c>
      <c r="P39" s="21" t="s">
        <v>109</v>
      </c>
      <c r="Q39" s="21" t="str">
        <f>IF(COUNTIFS(EmployeeData!$A:$A,$A39,EmployeeData!$F:$F,Q$5)&gt;0,"PT","")</f>
        <v/>
      </c>
      <c r="R39" s="21" t="str">
        <f>IF(COUNTIFS(EmployeeData!$A:$A,$A39,EmployeeData!$F:$F,R$5)&gt;0,"PT","")</f>
        <v/>
      </c>
      <c r="S39" s="21" t="str">
        <f>IF(COUNTIFS(EmployeeData!$A:$A,$A39,EmployeeData!$F:$F,S$5)&gt;0,"PT","")</f>
        <v/>
      </c>
      <c r="T39" s="21" t="str">
        <f>IF(COUNTIFS(EmployeeData!$A:$A,$A39,EmployeeData!$F:$F,T$5)&gt;0,"PT","")</f>
        <v/>
      </c>
      <c r="U39" s="21" t="str">
        <f>IF(COUNTIFS(EmployeeData!$A:$A,$A39,EmployeeData!$F:$F,U$5)&gt;0,"PT","")</f>
        <v/>
      </c>
      <c r="V39" s="21" t="str">
        <f>IF(COUNTIFS(EmployeeData!$A:$A,$A39,EmployeeData!$F:$F,V$5)&gt;0,"PT","")</f>
        <v/>
      </c>
      <c r="W39" s="21" t="str">
        <f>IF(COUNTIFS(EmployeeData!$A:$A,$A39,EmployeeData!$F:$F,W$5)&gt;0,"PT","")</f>
        <v/>
      </c>
      <c r="X39" s="21" t="str">
        <f>IF(COUNTIFS(EmployeeData!$A:$A,$A39,EmployeeData!$F:$F,X$5)&gt;0,"PT","")</f>
        <v/>
      </c>
      <c r="Y39" s="21" t="str">
        <f>IF(COUNTIFS(EmployeeData!$A:$A,$A39,EmployeeData!$F:$F,Y$5)&gt;0,"PT","")</f>
        <v/>
      </c>
      <c r="Z39" s="21" t="str">
        <f>IF(COUNTIFS(EmployeeData!$A:$A,$A39,EmployeeData!$F:$F,Z$5)&gt;0,"PT","")</f>
        <v/>
      </c>
      <c r="AA39" s="21" t="s">
        <v>109</v>
      </c>
      <c r="AB39" s="21" t="str">
        <f>IF(COUNTIFS(EmployeeData!$A:$A,$A39,EmployeeData!$F:$F,AB$5)&gt;0,"PT","")</f>
        <v/>
      </c>
      <c r="AC39" s="21" t="str">
        <f>IF(COUNTIFS(EmployeeData!$A:$A,$A39,EmployeeData!$F:$F,AC$5)&gt;0,"PT","")</f>
        <v/>
      </c>
      <c r="AD39" s="21" t="str">
        <f>IF(COUNTIFS(EmployeeData!$A:$A,$A39,EmployeeData!$F:$F,AD$5)&gt;0,"PT","")</f>
        <v/>
      </c>
      <c r="AE39" s="21" t="str">
        <f>IF(COUNTIFS(EmployeeData!$A:$A,$A39,EmployeeData!$F:$F,AE$5)&gt;0,"PT","")</f>
        <v/>
      </c>
      <c r="AF39" s="21" t="str">
        <f>IF(COUNTIFS(EmployeeData!$A:$A,$A39,EmployeeData!$F:$F,AF$5)&gt;0,"PT","")</f>
        <v/>
      </c>
      <c r="AG39" s="8">
        <f t="shared" si="6"/>
        <v>0</v>
      </c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</row>
    <row r="40" spans="1:55" s="3" customFormat="1" ht="25.15" customHeight="1" x14ac:dyDescent="0.3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</row>
    <row r="41" spans="1:55" s="3" customFormat="1" ht="25.15" customHeight="1" x14ac:dyDescent="0.3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</row>
    <row r="42" spans="1:55" s="3" customFormat="1" ht="25.15" customHeight="1" x14ac:dyDescent="0.3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</row>
    <row r="43" spans="1:55" s="3" customFormat="1" ht="25.15" customHeight="1" x14ac:dyDescent="0.3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7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</row>
    <row r="44" spans="1:55" s="3" customFormat="1" ht="25.15" customHeight="1" x14ac:dyDescent="0.3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</row>
    <row r="45" spans="1:55" s="3" customFormat="1" ht="25.15" customHeight="1" x14ac:dyDescent="0.3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</row>
    <row r="46" spans="1:55" s="3" customFormat="1" ht="25.15" customHeight="1" x14ac:dyDescent="0.3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</row>
    <row r="47" spans="1:55" s="3" customFormat="1" ht="25.15" customHeight="1" x14ac:dyDescent="0.3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</row>
    <row r="48" spans="1:55" s="3" customFormat="1" ht="25.15" customHeight="1" x14ac:dyDescent="0.3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</row>
    <row r="49" spans="1:55" s="3" customFormat="1" ht="25.15" customHeight="1" x14ac:dyDescent="0.3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</row>
    <row r="50" spans="1:55" s="3" customFormat="1" ht="25.15" customHeight="1" x14ac:dyDescent="0.3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</row>
    <row r="51" spans="1:55" s="3" customFormat="1" ht="25.15" customHeight="1" x14ac:dyDescent="0.3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</row>
    <row r="52" spans="1:55" s="3" customFormat="1" ht="25.15" customHeight="1" x14ac:dyDescent="0.3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</row>
    <row r="53" spans="1:55" s="3" customFormat="1" ht="25.15" customHeight="1" x14ac:dyDescent="0.3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</row>
    <row r="54" spans="1:55" s="3" customFormat="1" ht="25.15" customHeight="1" x14ac:dyDescent="0.3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</row>
    <row r="55" spans="1:55" s="3" customFormat="1" ht="25.15" customHeight="1" x14ac:dyDescent="0.3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</row>
    <row r="56" spans="1:55" s="3" customFormat="1" ht="25.15" customHeight="1" x14ac:dyDescent="0.3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</row>
    <row r="57" spans="1:55" s="3" customFormat="1" ht="25.15" customHeight="1" x14ac:dyDescent="0.3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</row>
    <row r="58" spans="1:55" s="3" customFormat="1" ht="25.15" customHeight="1" x14ac:dyDescent="0.3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</row>
    <row r="59" spans="1:55" s="3" customFormat="1" ht="25.15" customHeight="1" x14ac:dyDescent="0.3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</row>
    <row r="60" spans="1:55" s="3" customFormat="1" ht="25.15" customHeight="1" x14ac:dyDescent="0.3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</row>
    <row r="61" spans="1:55" s="3" customFormat="1" ht="25.15" customHeight="1" x14ac:dyDescent="0.3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</row>
    <row r="62" spans="1:55" s="3" customFormat="1" ht="25.15" customHeight="1" x14ac:dyDescent="0.3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</row>
    <row r="63" spans="1:55" s="3" customFormat="1" ht="25.15" customHeight="1" x14ac:dyDescent="0.3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</row>
    <row r="64" spans="1:55" s="3" customFormat="1" ht="25.15" customHeight="1" x14ac:dyDescent="0.3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</row>
    <row r="65" spans="1:55" s="3" customFormat="1" ht="25.15" customHeight="1" x14ac:dyDescent="0.3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</row>
    <row r="66" spans="1:55" s="3" customFormat="1" ht="25.15" customHeight="1" x14ac:dyDescent="0.3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</row>
    <row r="67" spans="1:55" s="3" customFormat="1" ht="25.15" customHeight="1" x14ac:dyDescent="0.3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</row>
    <row r="68" spans="1:55" s="3" customFormat="1" ht="25.15" customHeight="1" x14ac:dyDescent="0.3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</row>
    <row r="69" spans="1:55" s="3" customFormat="1" ht="25.15" customHeight="1" x14ac:dyDescent="0.3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</row>
    <row r="70" spans="1:55" s="3" customFormat="1" ht="25.15" customHeight="1" x14ac:dyDescent="0.3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</row>
    <row r="71" spans="1:55" s="3" customFormat="1" ht="25.15" customHeight="1" x14ac:dyDescent="0.3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</row>
    <row r="72" spans="1:55" s="3" customFormat="1" ht="25.15" customHeight="1" x14ac:dyDescent="0.3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</row>
    <row r="73" spans="1:55" s="3" customFormat="1" ht="25.15" customHeight="1" x14ac:dyDescent="0.3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</row>
    <row r="74" spans="1:55" s="3" customFormat="1" ht="25.15" customHeight="1" x14ac:dyDescent="0.3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</row>
    <row r="75" spans="1:55" s="3" customFormat="1" ht="25.15" customHeight="1" x14ac:dyDescent="0.3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</row>
  </sheetData>
  <mergeCells count="10">
    <mergeCell ref="AM4:AM5"/>
    <mergeCell ref="AN4:AN5"/>
    <mergeCell ref="A1:AK1"/>
    <mergeCell ref="A2:AK3"/>
    <mergeCell ref="A4:A5"/>
    <mergeCell ref="AG4:AG5"/>
    <mergeCell ref="AH4:AH5"/>
    <mergeCell ref="AI4:AI5"/>
    <mergeCell ref="AJ4:AJ5"/>
    <mergeCell ref="AK4:AK5"/>
  </mergeCells>
  <phoneticPr fontId="12" type="noConversion"/>
  <conditionalFormatting sqref="B6:AF39">
    <cfRule type="beginsWith" dxfId="62" priority="1" operator="beginsWith" text="H1">
      <formula>LEFT(B6,2)="H1"</formula>
    </cfRule>
    <cfRule type="beginsWith" dxfId="61" priority="2" operator="beginsWith" text="S">
      <formula>LEFT(B6,1)="S"</formula>
    </cfRule>
    <cfRule type="beginsWith" dxfId="60" priority="3" operator="beginsWith" text="PT">
      <formula>LEFT(B6,2)="PT"</formula>
    </cfRule>
    <cfRule type="beginsWith" dxfId="59" priority="4" operator="beginsWith" text="U">
      <formula>LEFT(B6,1)="U"</formula>
    </cfRule>
    <cfRule type="beginsWith" dxfId="58" priority="5" operator="beginsWith" text="FH">
      <formula>LEFT(B6,2)="FH"</formula>
    </cfRule>
    <cfRule type="beginsWith" dxfId="57" priority="6" operator="beginsWith" text="MT">
      <formula>LEFT(B6,2)="MT"</formula>
    </cfRule>
  </conditionalFormatting>
  <dataValidations disablePrompts="1" count="1">
    <dataValidation type="list" allowBlank="1" showInputMessage="1" showErrorMessage="1" sqref="AM16" xr:uid="{00000000-0002-0000-0300-000000000000}">
      <formula1>$AN$6:$AN$11</formula1>
    </dataValidation>
  </dataValidation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C74C91-F598-4350-A0E5-6D36570928E2}">
  <sheetPr codeName="Sheet4"/>
  <dimension ref="A1:AM35"/>
  <sheetViews>
    <sheetView topLeftCell="A13" zoomScale="69" zoomScaleNormal="89" workbookViewId="0">
      <selection activeCell="G17" sqref="G17"/>
    </sheetView>
  </sheetViews>
  <sheetFormatPr defaultRowHeight="14.5" x14ac:dyDescent="0.35"/>
  <cols>
    <col min="1" max="1" width="35.1796875" customWidth="1"/>
    <col min="2" max="2" width="5.26953125" bestFit="1" customWidth="1"/>
    <col min="3" max="29" width="5.7265625" customWidth="1"/>
    <col min="30" max="30" width="15.26953125" customWidth="1"/>
    <col min="31" max="34" width="11.26953125" customWidth="1"/>
    <col min="35" max="35" width="9.1796875" customWidth="1"/>
    <col min="36" max="36" width="29.26953125" bestFit="1" customWidth="1"/>
  </cols>
  <sheetData>
    <row r="1" spans="1:39" s="3" customFormat="1" ht="25.15" customHeight="1" x14ac:dyDescent="0.35">
      <c r="A1" s="67" t="s">
        <v>115</v>
      </c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2"/>
      <c r="AJ1" s="2"/>
      <c r="AK1" s="2"/>
      <c r="AL1" s="2"/>
      <c r="AM1" s="2"/>
    </row>
    <row r="2" spans="1:39" s="3" customFormat="1" ht="9.4" customHeight="1" x14ac:dyDescent="0.35">
      <c r="A2" s="68"/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  <c r="AA2" s="68"/>
      <c r="AB2" s="68"/>
      <c r="AC2" s="68"/>
      <c r="AD2" s="68"/>
      <c r="AE2" s="68"/>
      <c r="AF2" s="68"/>
      <c r="AG2" s="68"/>
      <c r="AH2" s="68"/>
      <c r="AI2" s="2"/>
      <c r="AJ2" s="2"/>
      <c r="AK2" s="2"/>
      <c r="AL2" s="2"/>
      <c r="AM2" s="2"/>
    </row>
    <row r="3" spans="1:39" s="3" customFormat="1" ht="25.15" customHeight="1" x14ac:dyDescent="0.35">
      <c r="A3" s="77" t="s">
        <v>94</v>
      </c>
      <c r="B3" s="18" t="str">
        <f>IF(B4="","",INDEX({"Sun";"Mon";"Tue";"Wed";"Thu";"Fri";"Sat"},WEEKDAY(B4,1)))</f>
        <v>Sun</v>
      </c>
      <c r="C3" s="18" t="str">
        <f>IF(C4="","",INDEX({"Sun";"Mon";"Tue";"Wed";"Thu";"Fri";"Sat"},WEEKDAY(C4,1)))</f>
        <v>Mon</v>
      </c>
      <c r="D3" s="18" t="str">
        <f>IF(D4="","",INDEX({"Sun";"Mon";"Tue";"Wed";"Thu";"Fri";"Sat"},WEEKDAY(D4,1)))</f>
        <v>Tue</v>
      </c>
      <c r="E3" s="18" t="str">
        <f>IF(E4="","",INDEX({"Sun";"Mon";"Tue";"Wed";"Thu";"Fri";"Sat"},WEEKDAY(E4,1)))</f>
        <v>Wed</v>
      </c>
      <c r="F3" s="18" t="str">
        <f>IF(F4="","",INDEX({"Sun";"Mon";"Tue";"Wed";"Thu";"Fri";"Sat"},WEEKDAY(F4,1)))</f>
        <v>Thu</v>
      </c>
      <c r="G3" s="18" t="str">
        <f>IF(G4="","",INDEX({"Sun";"Mon";"Tue";"Wed";"Thu";"Fri";"Sat"},WEEKDAY(G4,1)))</f>
        <v>Fri</v>
      </c>
      <c r="H3" s="18" t="str">
        <f>IF(H4="","",INDEX({"Sun";"Mon";"Tue";"Wed";"Thu";"Fri";"Sat"},WEEKDAY(H4,1)))</f>
        <v>Sat</v>
      </c>
      <c r="I3" s="18" t="str">
        <f>IF(I4="","",INDEX({"Sun";"Mon";"Tue";"Wed";"Thu";"Fri";"Sat"},WEEKDAY(I4,1)))</f>
        <v>Sun</v>
      </c>
      <c r="J3" s="18" t="str">
        <f>IF(J4="","",INDEX({"Sun";"Mon";"Tue";"Wed";"Thu";"Fri";"Sat"},WEEKDAY(J4,1)))</f>
        <v>Mon</v>
      </c>
      <c r="K3" s="18" t="str">
        <f>IF(K4="","",INDEX({"Sun";"Mon";"Tue";"Wed";"Thu";"Fri";"Sat"},WEEKDAY(K4,1)))</f>
        <v>Tue</v>
      </c>
      <c r="L3" s="18" t="str">
        <f>IF(L4="","",INDEX({"Sun";"Mon";"Tue";"Wed";"Thu";"Fri";"Sat"},WEEKDAY(L4,1)))</f>
        <v>Wed</v>
      </c>
      <c r="M3" s="18" t="str">
        <f>IF(M4="","",INDEX({"Sun";"Mon";"Tue";"Wed";"Thu";"Fri";"Sat"},WEEKDAY(M4,1)))</f>
        <v>Thu</v>
      </c>
      <c r="N3" s="18" t="str">
        <f>IF(N4="","",INDEX({"Sun";"Mon";"Tue";"Wed";"Thu";"Fri";"Sat"},WEEKDAY(N4,1)))</f>
        <v>Fri</v>
      </c>
      <c r="O3" s="18" t="str">
        <f>IF(O4="","",INDEX({"Sun";"Mon";"Tue";"Wed";"Thu";"Fri";"Sat"},WEEKDAY(O4,1)))</f>
        <v>Sat</v>
      </c>
      <c r="P3" s="18" t="str">
        <f>IF(P4="","",INDEX({"Sun";"Mon";"Tue";"Wed";"Thu";"Fri";"Sat"},WEEKDAY(P4,1)))</f>
        <v>Sun</v>
      </c>
      <c r="Q3" s="18" t="str">
        <f>IF(Q4="","",INDEX({"Sun";"Mon";"Tue";"Wed";"Thu";"Fri";"Sat"},WEEKDAY(Q4,1)))</f>
        <v>Mon</v>
      </c>
      <c r="R3" s="18" t="str">
        <f>IF(R4="","",INDEX({"Sun";"Mon";"Tue";"Wed";"Thu";"Fri";"Sat"},WEEKDAY(R4,1)))</f>
        <v>Tue</v>
      </c>
      <c r="S3" s="18" t="str">
        <f>IF(S4="","",INDEX({"Sun";"Mon";"Tue";"Wed";"Thu";"Fri";"Sat"},WEEKDAY(S4,1)))</f>
        <v>Wed</v>
      </c>
      <c r="T3" s="18" t="str">
        <f>IF(T4="","",INDEX({"Sun";"Mon";"Tue";"Wed";"Thu";"Fri";"Sat"},WEEKDAY(T4,1)))</f>
        <v>Thu</v>
      </c>
      <c r="U3" s="18" t="str">
        <f>IF(U4="","",INDEX({"Sun";"Mon";"Tue";"Wed";"Thu";"Fri";"Sat"},WEEKDAY(U4,1)))</f>
        <v>Fri</v>
      </c>
      <c r="V3" s="18" t="str">
        <f>IF(V4="","",INDEX({"Sun";"Mon";"Tue";"Wed";"Thu";"Fri";"Sat"},WEEKDAY(V4,1)))</f>
        <v>Sat</v>
      </c>
      <c r="W3" s="18" t="str">
        <f>IF(W4="","",INDEX({"Sun";"Mon";"Tue";"Wed";"Thu";"Fri";"Sat"},WEEKDAY(W4,1)))</f>
        <v>Sun</v>
      </c>
      <c r="X3" s="18" t="str">
        <f>IF(X4="","",INDEX({"Sun";"Mon";"Tue";"Wed";"Thu";"Fri";"Sat"},WEEKDAY(X4,1)))</f>
        <v>Mon</v>
      </c>
      <c r="Y3" s="18" t="str">
        <f>IF(Y4="","",INDEX({"Sun";"Mon";"Tue";"Wed";"Thu";"Fri";"Sat"},WEEKDAY(Y4,1)))</f>
        <v>Tue</v>
      </c>
      <c r="Z3" s="18" t="str">
        <f>IF(Z4="","",INDEX({"Sun";"Mon";"Tue";"Wed";"Thu";"Fri";"Sat"},WEEKDAY(Z4,1)))</f>
        <v>Wed</v>
      </c>
      <c r="AA3" s="18" t="str">
        <f>IF(AA4="","",INDEX({"Sun";"Mon";"Tue";"Wed";"Thu";"Fri";"Sat"},WEEKDAY(AA4,1)))</f>
        <v>Thu</v>
      </c>
      <c r="AB3" s="18" t="str">
        <f>IF(AB4="","",INDEX({"Sun";"Mon";"Tue";"Wed";"Thu";"Fri";"Sat"},WEEKDAY(AB4,1)))</f>
        <v>Fri</v>
      </c>
      <c r="AC3" s="18" t="str">
        <f>IF(AC4="","",INDEX({"Sun";"Mon";"Tue";"Wed";"Thu";"Fri";"Sat"},WEEKDAY(AC4,1)))</f>
        <v>Sat</v>
      </c>
      <c r="AD3" s="70" t="s">
        <v>95</v>
      </c>
      <c r="AE3" s="71" t="s">
        <v>96</v>
      </c>
      <c r="AF3" s="78" t="s">
        <v>116</v>
      </c>
      <c r="AG3" s="79" t="s">
        <v>98</v>
      </c>
      <c r="AH3" s="80" t="s">
        <v>99</v>
      </c>
      <c r="AI3" s="19"/>
      <c r="AJ3" s="75" t="s">
        <v>117</v>
      </c>
      <c r="AK3" s="75" t="s">
        <v>101</v>
      </c>
      <c r="AL3" s="2"/>
      <c r="AM3" s="2"/>
    </row>
    <row r="4" spans="1:39" s="3" customFormat="1" ht="25.15" customHeight="1" x14ac:dyDescent="0.35">
      <c r="A4" s="77"/>
      <c r="B4" s="31">
        <f>DATE(Year!$B$2,2,1)</f>
        <v>46054</v>
      </c>
      <c r="C4" s="31">
        <f t="shared" ref="C4:AC4" si="0">B4+1</f>
        <v>46055</v>
      </c>
      <c r="D4" s="31">
        <f t="shared" si="0"/>
        <v>46056</v>
      </c>
      <c r="E4" s="31">
        <f t="shared" si="0"/>
        <v>46057</v>
      </c>
      <c r="F4" s="31">
        <f t="shared" si="0"/>
        <v>46058</v>
      </c>
      <c r="G4" s="31">
        <f t="shared" si="0"/>
        <v>46059</v>
      </c>
      <c r="H4" s="31">
        <f t="shared" si="0"/>
        <v>46060</v>
      </c>
      <c r="I4" s="31">
        <f t="shared" si="0"/>
        <v>46061</v>
      </c>
      <c r="J4" s="31">
        <f t="shared" si="0"/>
        <v>46062</v>
      </c>
      <c r="K4" s="31">
        <f t="shared" si="0"/>
        <v>46063</v>
      </c>
      <c r="L4" s="31">
        <f t="shared" si="0"/>
        <v>46064</v>
      </c>
      <c r="M4" s="31">
        <f t="shared" si="0"/>
        <v>46065</v>
      </c>
      <c r="N4" s="31">
        <f t="shared" si="0"/>
        <v>46066</v>
      </c>
      <c r="O4" s="31">
        <f t="shared" si="0"/>
        <v>46067</v>
      </c>
      <c r="P4" s="31">
        <f t="shared" si="0"/>
        <v>46068</v>
      </c>
      <c r="Q4" s="31">
        <f t="shared" si="0"/>
        <v>46069</v>
      </c>
      <c r="R4" s="31">
        <f t="shared" si="0"/>
        <v>46070</v>
      </c>
      <c r="S4" s="31">
        <f t="shared" si="0"/>
        <v>46071</v>
      </c>
      <c r="T4" s="31">
        <f t="shared" si="0"/>
        <v>46072</v>
      </c>
      <c r="U4" s="31">
        <f t="shared" si="0"/>
        <v>46073</v>
      </c>
      <c r="V4" s="31">
        <f t="shared" si="0"/>
        <v>46074</v>
      </c>
      <c r="W4" s="31">
        <f t="shared" si="0"/>
        <v>46075</v>
      </c>
      <c r="X4" s="31">
        <f t="shared" si="0"/>
        <v>46076</v>
      </c>
      <c r="Y4" s="31">
        <f t="shared" si="0"/>
        <v>46077</v>
      </c>
      <c r="Z4" s="31">
        <f t="shared" si="0"/>
        <v>46078</v>
      </c>
      <c r="AA4" s="31">
        <f t="shared" si="0"/>
        <v>46079</v>
      </c>
      <c r="AB4" s="31">
        <f t="shared" si="0"/>
        <v>46080</v>
      </c>
      <c r="AC4" s="31">
        <f t="shared" si="0"/>
        <v>46081</v>
      </c>
      <c r="AD4" s="70"/>
      <c r="AE4" s="71"/>
      <c r="AF4" s="78"/>
      <c r="AG4" s="79"/>
      <c r="AH4" s="80"/>
      <c r="AI4" s="19"/>
      <c r="AJ4" s="76"/>
      <c r="AK4" s="76"/>
      <c r="AL4" s="2"/>
      <c r="AM4" s="2"/>
    </row>
    <row r="5" spans="1:39" s="3" customFormat="1" ht="24.75" customHeight="1" x14ac:dyDescent="0.55000000000000004">
      <c r="A5" s="9" t="s">
        <v>13</v>
      </c>
      <c r="B5" s="13"/>
      <c r="C5" s="22"/>
      <c r="D5" s="22"/>
      <c r="E5" s="22"/>
      <c r="F5" s="22"/>
      <c r="G5" s="22"/>
      <c r="H5" s="13"/>
      <c r="I5" s="13"/>
      <c r="J5" s="22"/>
      <c r="K5" s="22"/>
      <c r="L5" s="22"/>
      <c r="M5" s="22"/>
      <c r="N5" s="22"/>
      <c r="O5" s="13"/>
      <c r="P5" s="13"/>
      <c r="Q5" s="22"/>
      <c r="R5" s="22"/>
      <c r="S5" s="22"/>
      <c r="T5" s="22"/>
      <c r="U5" s="22"/>
      <c r="V5" s="13"/>
      <c r="W5" s="13"/>
      <c r="X5" s="22"/>
      <c r="Y5" s="22"/>
      <c r="Z5" s="22"/>
      <c r="AA5" s="22"/>
      <c r="AB5" s="22"/>
      <c r="AC5" s="13"/>
      <c r="AD5" s="8">
        <f t="shared" ref="AD5:AD35" si="1">SUM(AE5:AH5)</f>
        <v>0</v>
      </c>
      <c r="AE5" s="8">
        <f t="shared" ref="AE5:AE35" si="2">COUNTIF(B5:AC5,"V")+COUNTIF(B5:AC5,"V1")/2+COUNTIF(B5:AC5,"V2")/2</f>
        <v>0</v>
      </c>
      <c r="AF5" s="8">
        <f t="shared" ref="AF5:AF35" si="3">COUNTIF(B5:AC5,"S")+COUNTIF(B5:AC5,"S1")/2+COUNTIF(B5:AC5,"S2")/2</f>
        <v>0</v>
      </c>
      <c r="AG5" s="8">
        <f t="shared" ref="AG5:AG35" si="4">COUNTIF(B5:AC5,"M")</f>
        <v>0</v>
      </c>
      <c r="AH5" s="8">
        <f t="shared" ref="AH5:AH35" si="5">COUNTIF(B5:AC5,"U")</f>
        <v>0</v>
      </c>
      <c r="AI5" s="23"/>
      <c r="AJ5" s="32" t="s">
        <v>14</v>
      </c>
      <c r="AK5" s="25" t="s">
        <v>102</v>
      </c>
      <c r="AL5" s="2"/>
      <c r="AM5" s="2"/>
    </row>
    <row r="6" spans="1:39" s="3" customFormat="1" ht="25.15" customHeight="1" x14ac:dyDescent="0.55000000000000004">
      <c r="A6" s="10" t="s">
        <v>34</v>
      </c>
      <c r="B6" s="13"/>
      <c r="C6" s="22"/>
      <c r="D6" s="22"/>
      <c r="E6" s="22"/>
      <c r="F6" s="22"/>
      <c r="G6" s="22"/>
      <c r="H6" s="13"/>
      <c r="I6" s="13"/>
      <c r="J6" s="22"/>
      <c r="K6" s="22"/>
      <c r="L6" s="22"/>
      <c r="M6" s="22"/>
      <c r="N6" s="22"/>
      <c r="O6" s="13"/>
      <c r="P6" s="13"/>
      <c r="Q6" s="22"/>
      <c r="R6" s="22"/>
      <c r="S6" s="22"/>
      <c r="T6" s="22"/>
      <c r="U6" s="22"/>
      <c r="V6" s="13"/>
      <c r="W6" s="13"/>
      <c r="X6" s="22"/>
      <c r="Y6" s="22"/>
      <c r="Z6" s="22"/>
      <c r="AA6" s="22"/>
      <c r="AB6" s="22"/>
      <c r="AC6" s="13"/>
      <c r="AD6" s="8">
        <f t="shared" si="1"/>
        <v>0</v>
      </c>
      <c r="AE6" s="8">
        <f t="shared" si="2"/>
        <v>0</v>
      </c>
      <c r="AF6" s="8">
        <f t="shared" si="3"/>
        <v>0</v>
      </c>
      <c r="AG6" s="8">
        <f t="shared" si="4"/>
        <v>0</v>
      </c>
      <c r="AH6" s="8">
        <f t="shared" si="5"/>
        <v>0</v>
      </c>
      <c r="AI6" s="23"/>
      <c r="AJ6" s="33" t="s">
        <v>103</v>
      </c>
      <c r="AK6" s="25" t="s">
        <v>104</v>
      </c>
      <c r="AL6" s="2"/>
      <c r="AM6" s="2"/>
    </row>
    <row r="7" spans="1:39" s="3" customFormat="1" ht="25.15" customHeight="1" x14ac:dyDescent="0.55000000000000004">
      <c r="A7" s="10" t="s">
        <v>16</v>
      </c>
      <c r="B7" s="13"/>
      <c r="C7" s="22"/>
      <c r="D7" s="22"/>
      <c r="E7" s="22"/>
      <c r="F7" s="22"/>
      <c r="G7" s="22"/>
      <c r="H7" s="13"/>
      <c r="I7" s="13"/>
      <c r="J7" s="22"/>
      <c r="K7" s="22"/>
      <c r="L7" s="22"/>
      <c r="M7" s="22"/>
      <c r="N7" s="22"/>
      <c r="O7" s="13"/>
      <c r="P7" s="13"/>
      <c r="Q7" s="22"/>
      <c r="R7" s="22"/>
      <c r="S7" s="22"/>
      <c r="T7" s="22"/>
      <c r="U7" s="22"/>
      <c r="V7" s="13"/>
      <c r="W7" s="13"/>
      <c r="X7" s="22"/>
      <c r="Y7" s="22"/>
      <c r="Z7" s="22"/>
      <c r="AA7" s="22"/>
      <c r="AB7" s="22"/>
      <c r="AC7" s="13"/>
      <c r="AD7" s="8">
        <f t="shared" si="1"/>
        <v>0</v>
      </c>
      <c r="AE7" s="8">
        <f t="shared" si="2"/>
        <v>0</v>
      </c>
      <c r="AF7" s="8">
        <f t="shared" si="3"/>
        <v>0</v>
      </c>
      <c r="AG7" s="8">
        <f t="shared" si="4"/>
        <v>0</v>
      </c>
      <c r="AH7" s="8">
        <f t="shared" si="5"/>
        <v>0</v>
      </c>
      <c r="AI7" s="23"/>
      <c r="AJ7" s="34" t="s">
        <v>22</v>
      </c>
      <c r="AK7" s="25" t="s">
        <v>105</v>
      </c>
      <c r="AL7" s="2"/>
      <c r="AM7" s="2"/>
    </row>
    <row r="8" spans="1:39" s="3" customFormat="1" ht="25.15" customHeight="1" x14ac:dyDescent="0.55000000000000004">
      <c r="A8" s="10" t="s">
        <v>37</v>
      </c>
      <c r="B8" s="13"/>
      <c r="C8" s="22"/>
      <c r="D8" s="22"/>
      <c r="E8" s="22"/>
      <c r="F8" s="22"/>
      <c r="G8" s="22"/>
      <c r="H8" s="13"/>
      <c r="I8" s="13"/>
      <c r="J8" s="22"/>
      <c r="K8" s="22"/>
      <c r="L8" s="22"/>
      <c r="M8" s="22"/>
      <c r="N8" s="22"/>
      <c r="O8" s="13"/>
      <c r="P8" s="13"/>
      <c r="Q8" s="22"/>
      <c r="R8" s="22"/>
      <c r="S8" s="22"/>
      <c r="T8" s="22"/>
      <c r="U8" s="22"/>
      <c r="V8" s="13"/>
      <c r="W8" s="13"/>
      <c r="X8" s="22"/>
      <c r="Y8" s="22"/>
      <c r="Z8" s="22"/>
      <c r="AA8" s="22"/>
      <c r="AB8" s="22"/>
      <c r="AC8" s="13"/>
      <c r="AD8" s="8">
        <f t="shared" si="1"/>
        <v>0</v>
      </c>
      <c r="AE8" s="8">
        <f t="shared" si="2"/>
        <v>0</v>
      </c>
      <c r="AF8" s="8">
        <f t="shared" si="3"/>
        <v>0</v>
      </c>
      <c r="AG8" s="8">
        <f t="shared" si="4"/>
        <v>0</v>
      </c>
      <c r="AH8" s="8">
        <f t="shared" si="5"/>
        <v>0</v>
      </c>
      <c r="AI8" s="23"/>
      <c r="AJ8" s="35" t="s">
        <v>106</v>
      </c>
      <c r="AK8" s="25" t="s">
        <v>107</v>
      </c>
      <c r="AL8" s="2"/>
      <c r="AM8" s="2"/>
    </row>
    <row r="9" spans="1:39" s="3" customFormat="1" ht="25.15" customHeight="1" x14ac:dyDescent="0.55000000000000004">
      <c r="A9" s="10" t="s">
        <v>33</v>
      </c>
      <c r="B9" s="13"/>
      <c r="C9" s="22"/>
      <c r="D9" s="22"/>
      <c r="E9" s="22"/>
      <c r="F9" s="22"/>
      <c r="G9" s="22"/>
      <c r="H9" s="13"/>
      <c r="I9" s="13"/>
      <c r="J9" s="22"/>
      <c r="K9" s="22"/>
      <c r="L9" s="22"/>
      <c r="M9" s="22"/>
      <c r="N9" s="22"/>
      <c r="O9" s="13"/>
      <c r="P9" s="13"/>
      <c r="Q9" s="22"/>
      <c r="R9" s="22"/>
      <c r="S9" s="22"/>
      <c r="T9" s="22"/>
      <c r="U9" s="22"/>
      <c r="V9" s="13"/>
      <c r="W9" s="13"/>
      <c r="X9" s="22"/>
      <c r="Y9" s="22"/>
      <c r="Z9" s="22"/>
      <c r="AA9" s="22"/>
      <c r="AB9" s="22"/>
      <c r="AC9" s="13"/>
      <c r="AD9" s="8">
        <f t="shared" si="1"/>
        <v>0</v>
      </c>
      <c r="AE9" s="8">
        <f t="shared" si="2"/>
        <v>0</v>
      </c>
      <c r="AF9" s="8">
        <f t="shared" si="3"/>
        <v>0</v>
      </c>
      <c r="AG9" s="8">
        <f t="shared" si="4"/>
        <v>0</v>
      </c>
      <c r="AH9" s="8">
        <f t="shared" si="5"/>
        <v>0</v>
      </c>
      <c r="AI9" s="23"/>
      <c r="AJ9" s="29" t="s">
        <v>108</v>
      </c>
      <c r="AK9" s="25" t="s">
        <v>109</v>
      </c>
      <c r="AL9" s="2"/>
      <c r="AM9" s="2"/>
    </row>
    <row r="10" spans="1:39" s="3" customFormat="1" ht="25.15" customHeight="1" x14ac:dyDescent="0.55000000000000004">
      <c r="A10" s="10" t="s">
        <v>41</v>
      </c>
      <c r="B10" s="13"/>
      <c r="C10" s="22"/>
      <c r="D10" s="22"/>
      <c r="E10" s="22"/>
      <c r="F10" s="22"/>
      <c r="G10" s="22"/>
      <c r="H10" s="13"/>
      <c r="I10" s="13"/>
      <c r="J10" s="22"/>
      <c r="K10" s="22"/>
      <c r="L10" s="22"/>
      <c r="M10" s="22"/>
      <c r="N10" s="22"/>
      <c r="O10" s="13"/>
      <c r="P10" s="13"/>
      <c r="Q10" s="22"/>
      <c r="R10" s="22"/>
      <c r="S10" s="22"/>
      <c r="T10" s="22"/>
      <c r="U10" s="22"/>
      <c r="V10" s="13"/>
      <c r="W10" s="13"/>
      <c r="X10" s="22"/>
      <c r="Y10" s="22"/>
      <c r="Z10" s="22"/>
      <c r="AA10" s="22"/>
      <c r="AB10" s="22"/>
      <c r="AC10" s="13"/>
      <c r="AD10" s="8">
        <f t="shared" si="1"/>
        <v>0</v>
      </c>
      <c r="AE10" s="8">
        <f t="shared" si="2"/>
        <v>0</v>
      </c>
      <c r="AF10" s="8">
        <f t="shared" si="3"/>
        <v>0</v>
      </c>
      <c r="AG10" s="8">
        <f t="shared" si="4"/>
        <v>0</v>
      </c>
      <c r="AH10" s="8">
        <f t="shared" si="5"/>
        <v>0</v>
      </c>
      <c r="AI10" s="23"/>
      <c r="AJ10" s="30" t="s">
        <v>99</v>
      </c>
      <c r="AK10" s="25" t="s">
        <v>110</v>
      </c>
      <c r="AL10" s="2"/>
      <c r="AM10" s="2"/>
    </row>
    <row r="11" spans="1:39" s="3" customFormat="1" ht="25.15" customHeight="1" x14ac:dyDescent="0.55000000000000004">
      <c r="A11" s="10" t="s">
        <v>39</v>
      </c>
      <c r="B11" s="13"/>
      <c r="C11" s="22"/>
      <c r="D11" s="22"/>
      <c r="E11" s="22"/>
      <c r="F11" s="22"/>
      <c r="G11" s="22"/>
      <c r="H11" s="13"/>
      <c r="I11" s="13"/>
      <c r="J11" s="22"/>
      <c r="K11" s="22"/>
      <c r="L11" s="22"/>
      <c r="M11" s="22"/>
      <c r="N11" s="22"/>
      <c r="O11" s="13"/>
      <c r="P11" s="13"/>
      <c r="Q11" s="22"/>
      <c r="R11" s="22"/>
      <c r="S11" s="22"/>
      <c r="T11" s="22"/>
      <c r="U11" s="22"/>
      <c r="V11" s="13"/>
      <c r="W11" s="13"/>
      <c r="X11" s="22"/>
      <c r="Y11" s="22"/>
      <c r="Z11" s="22"/>
      <c r="AA11" s="22"/>
      <c r="AB11" s="22"/>
      <c r="AC11" s="13"/>
      <c r="AD11" s="8">
        <f t="shared" si="1"/>
        <v>0</v>
      </c>
      <c r="AE11" s="8">
        <f t="shared" si="2"/>
        <v>0</v>
      </c>
      <c r="AF11" s="8">
        <f t="shared" si="3"/>
        <v>0</v>
      </c>
      <c r="AG11" s="8">
        <f t="shared" si="4"/>
        <v>0</v>
      </c>
      <c r="AH11" s="8">
        <f t="shared" si="5"/>
        <v>0</v>
      </c>
      <c r="AI11" s="23"/>
      <c r="AJ11" s="36"/>
      <c r="AK11" s="37"/>
      <c r="AL11" s="2"/>
      <c r="AM11" s="2"/>
    </row>
    <row r="12" spans="1:39" s="3" customFormat="1" ht="25.15" customHeight="1" x14ac:dyDescent="0.55000000000000004">
      <c r="A12" s="10" t="s">
        <v>42</v>
      </c>
      <c r="B12" s="13"/>
      <c r="C12" s="22"/>
      <c r="D12" s="22"/>
      <c r="E12" s="22"/>
      <c r="F12" s="22"/>
      <c r="G12" s="22"/>
      <c r="H12" s="13"/>
      <c r="I12" s="13"/>
      <c r="J12" s="22"/>
      <c r="K12" s="22"/>
      <c r="L12" s="22"/>
      <c r="M12" s="22"/>
      <c r="N12" s="22"/>
      <c r="O12" s="13"/>
      <c r="P12" s="13"/>
      <c r="Q12" s="22"/>
      <c r="R12" s="22"/>
      <c r="S12" s="22"/>
      <c r="T12" s="22"/>
      <c r="U12" s="22"/>
      <c r="V12" s="13"/>
      <c r="W12" s="13"/>
      <c r="X12" s="22"/>
      <c r="Y12" s="22"/>
      <c r="Z12" s="22"/>
      <c r="AA12" s="22"/>
      <c r="AB12" s="22"/>
      <c r="AC12" s="13"/>
      <c r="AD12" s="8">
        <f t="shared" si="1"/>
        <v>0</v>
      </c>
      <c r="AE12" s="8">
        <f t="shared" si="2"/>
        <v>0</v>
      </c>
      <c r="AF12" s="8">
        <f t="shared" si="3"/>
        <v>0</v>
      </c>
      <c r="AG12" s="8">
        <f t="shared" si="4"/>
        <v>0</v>
      </c>
      <c r="AH12" s="8">
        <f t="shared" si="5"/>
        <v>0</v>
      </c>
      <c r="AI12" s="23"/>
      <c r="AJ12" s="36"/>
      <c r="AK12" s="37"/>
      <c r="AL12" s="2"/>
      <c r="AM12" s="2"/>
    </row>
    <row r="13" spans="1:39" s="3" customFormat="1" ht="25.15" customHeight="1" x14ac:dyDescent="0.55000000000000004">
      <c r="A13" s="10" t="s">
        <v>31</v>
      </c>
      <c r="B13" s="13"/>
      <c r="C13" s="22"/>
      <c r="D13" s="22"/>
      <c r="E13" s="22"/>
      <c r="F13" s="22"/>
      <c r="G13" s="22"/>
      <c r="H13" s="13"/>
      <c r="I13" s="13"/>
      <c r="J13" s="22"/>
      <c r="K13" s="22"/>
      <c r="L13" s="22"/>
      <c r="M13" s="22"/>
      <c r="N13" s="22"/>
      <c r="O13" s="13"/>
      <c r="P13" s="13"/>
      <c r="Q13" s="22"/>
      <c r="R13" s="22"/>
      <c r="S13" s="22"/>
      <c r="T13" s="22"/>
      <c r="U13" s="22"/>
      <c r="V13" s="13"/>
      <c r="W13" s="13"/>
      <c r="X13" s="22"/>
      <c r="Y13" s="22"/>
      <c r="Z13" s="22"/>
      <c r="AA13" s="22"/>
      <c r="AB13" s="22"/>
      <c r="AC13" s="13"/>
      <c r="AD13" s="8">
        <f t="shared" si="1"/>
        <v>0</v>
      </c>
      <c r="AE13" s="8">
        <f t="shared" si="2"/>
        <v>0</v>
      </c>
      <c r="AF13" s="8">
        <f t="shared" si="3"/>
        <v>0</v>
      </c>
      <c r="AG13" s="8">
        <f t="shared" si="4"/>
        <v>0</v>
      </c>
      <c r="AH13" s="8">
        <f t="shared" si="5"/>
        <v>0</v>
      </c>
      <c r="AI13" s="23"/>
      <c r="AJ13" s="2"/>
      <c r="AK13" s="2"/>
      <c r="AL13" s="2"/>
      <c r="AM13" s="2"/>
    </row>
    <row r="14" spans="1:39" s="3" customFormat="1" ht="25.15" customHeight="1" x14ac:dyDescent="0.55000000000000004">
      <c r="A14" s="10" t="s">
        <v>36</v>
      </c>
      <c r="B14" s="13"/>
      <c r="C14" s="22"/>
      <c r="D14" s="22"/>
      <c r="E14" s="22"/>
      <c r="F14" s="22"/>
      <c r="G14" s="22"/>
      <c r="H14" s="13"/>
      <c r="I14" s="13"/>
      <c r="J14" s="22"/>
      <c r="K14" s="22"/>
      <c r="L14" s="22"/>
      <c r="M14" s="22"/>
      <c r="N14" s="22"/>
      <c r="O14" s="13"/>
      <c r="P14" s="13"/>
      <c r="Q14" s="22"/>
      <c r="R14" s="22"/>
      <c r="S14" s="22"/>
      <c r="T14" s="22"/>
      <c r="U14" s="22"/>
      <c r="V14" s="13"/>
      <c r="W14" s="13"/>
      <c r="X14" s="22"/>
      <c r="Y14" s="22"/>
      <c r="Z14" s="22"/>
      <c r="AA14" s="22"/>
      <c r="AB14" s="22"/>
      <c r="AC14" s="13"/>
      <c r="AD14" s="8">
        <f t="shared" si="1"/>
        <v>0</v>
      </c>
      <c r="AE14" s="8">
        <f t="shared" si="2"/>
        <v>0</v>
      </c>
      <c r="AF14" s="8">
        <f t="shared" si="3"/>
        <v>0</v>
      </c>
      <c r="AG14" s="8">
        <f t="shared" si="4"/>
        <v>0</v>
      </c>
      <c r="AH14" s="8">
        <f t="shared" si="5"/>
        <v>0</v>
      </c>
      <c r="AI14" s="23"/>
      <c r="AJ14" s="2"/>
      <c r="AK14" s="2"/>
      <c r="AL14" s="2"/>
      <c r="AM14" s="2"/>
    </row>
    <row r="15" spans="1:39" s="3" customFormat="1" ht="25.15" customHeight="1" x14ac:dyDescent="0.55000000000000004">
      <c r="A15" s="10" t="s">
        <v>32</v>
      </c>
      <c r="B15" s="13"/>
      <c r="C15" s="22"/>
      <c r="D15" s="22"/>
      <c r="E15" s="22"/>
      <c r="F15" s="22"/>
      <c r="G15" s="22"/>
      <c r="H15" s="13"/>
      <c r="I15" s="13"/>
      <c r="J15" s="22"/>
      <c r="K15" s="22"/>
      <c r="L15" s="22"/>
      <c r="M15" s="22"/>
      <c r="N15" s="22"/>
      <c r="O15" s="13"/>
      <c r="P15" s="13"/>
      <c r="Q15" s="22"/>
      <c r="R15" s="22"/>
      <c r="S15" s="22"/>
      <c r="T15" s="22"/>
      <c r="U15" s="22"/>
      <c r="V15" s="13"/>
      <c r="W15" s="13"/>
      <c r="X15" s="22"/>
      <c r="Y15" s="22"/>
      <c r="Z15" s="22"/>
      <c r="AA15" s="22"/>
      <c r="AB15" s="22"/>
      <c r="AC15" s="13"/>
      <c r="AD15" s="8">
        <f t="shared" si="1"/>
        <v>0</v>
      </c>
      <c r="AE15" s="8">
        <f t="shared" si="2"/>
        <v>0</v>
      </c>
      <c r="AF15" s="8">
        <f t="shared" si="3"/>
        <v>0</v>
      </c>
      <c r="AG15" s="8">
        <f t="shared" si="4"/>
        <v>0</v>
      </c>
      <c r="AH15" s="8">
        <f t="shared" si="5"/>
        <v>0</v>
      </c>
      <c r="AI15" s="2"/>
      <c r="AJ15" s="2"/>
      <c r="AK15" s="2"/>
      <c r="AL15" s="2"/>
      <c r="AM15" s="2"/>
    </row>
    <row r="16" spans="1:39" ht="23.5" customHeight="1" x14ac:dyDescent="0.55000000000000004">
      <c r="A16" s="10" t="s">
        <v>28</v>
      </c>
      <c r="B16" s="13"/>
      <c r="C16" s="22"/>
      <c r="D16" s="22"/>
      <c r="E16" s="22"/>
      <c r="F16" s="22"/>
      <c r="G16" s="22"/>
      <c r="H16" s="13"/>
      <c r="I16" s="13"/>
      <c r="J16" s="22"/>
      <c r="K16" s="22"/>
      <c r="L16" s="22"/>
      <c r="M16" s="22"/>
      <c r="N16" s="22"/>
      <c r="O16" s="13"/>
      <c r="P16" s="13"/>
      <c r="Q16" s="22"/>
      <c r="R16" s="22"/>
      <c r="S16" s="22"/>
      <c r="T16" s="22"/>
      <c r="U16" s="22"/>
      <c r="V16" s="13"/>
      <c r="W16" s="13"/>
      <c r="X16" s="22"/>
      <c r="Y16" s="22"/>
      <c r="Z16" s="22"/>
      <c r="AA16" s="22"/>
      <c r="AB16" s="22"/>
      <c r="AC16" s="13"/>
      <c r="AD16" s="8">
        <f t="shared" si="1"/>
        <v>0</v>
      </c>
      <c r="AE16" s="8">
        <f t="shared" si="2"/>
        <v>0</v>
      </c>
      <c r="AF16" s="8">
        <f t="shared" si="3"/>
        <v>0</v>
      </c>
      <c r="AG16" s="8">
        <f t="shared" si="4"/>
        <v>0</v>
      </c>
      <c r="AH16" s="8">
        <f t="shared" si="5"/>
        <v>0</v>
      </c>
      <c r="AL16" s="2"/>
      <c r="AM16" s="2"/>
    </row>
    <row r="17" spans="1:34" ht="23.5" customHeight="1" x14ac:dyDescent="0.55000000000000004">
      <c r="A17" s="10" t="s">
        <v>111</v>
      </c>
      <c r="B17" s="13"/>
      <c r="C17" s="22"/>
      <c r="D17" s="22"/>
      <c r="E17" s="22"/>
      <c r="F17" s="22"/>
      <c r="G17" s="22"/>
      <c r="H17" s="13"/>
      <c r="I17" s="13"/>
      <c r="J17" s="22"/>
      <c r="K17" s="22"/>
      <c r="L17" s="22"/>
      <c r="M17" s="22"/>
      <c r="N17" s="22"/>
      <c r="O17" s="13"/>
      <c r="P17" s="13"/>
      <c r="Q17" s="22"/>
      <c r="R17" s="22"/>
      <c r="S17" s="22"/>
      <c r="T17" s="22"/>
      <c r="U17" s="22"/>
      <c r="V17" s="13"/>
      <c r="W17" s="13"/>
      <c r="X17" s="22"/>
      <c r="Y17" s="22"/>
      <c r="Z17" s="22"/>
      <c r="AA17" s="22"/>
      <c r="AB17" s="22"/>
      <c r="AC17" s="13"/>
      <c r="AD17" s="8">
        <f t="shared" si="1"/>
        <v>0</v>
      </c>
      <c r="AE17" s="8">
        <f t="shared" si="2"/>
        <v>0</v>
      </c>
      <c r="AF17" s="8">
        <f t="shared" si="3"/>
        <v>0</v>
      </c>
      <c r="AG17" s="8">
        <f t="shared" si="4"/>
        <v>0</v>
      </c>
      <c r="AH17" s="8">
        <f t="shared" si="5"/>
        <v>0</v>
      </c>
    </row>
    <row r="18" spans="1:34" ht="23.5" customHeight="1" x14ac:dyDescent="0.55000000000000004">
      <c r="A18" s="10" t="s">
        <v>21</v>
      </c>
      <c r="B18" s="13"/>
      <c r="C18" s="22"/>
      <c r="D18" s="22"/>
      <c r="E18" s="22"/>
      <c r="F18" s="22"/>
      <c r="G18" s="22"/>
      <c r="H18" s="13"/>
      <c r="I18" s="13"/>
      <c r="J18" s="22"/>
      <c r="K18" s="22"/>
      <c r="L18" s="22"/>
      <c r="M18" s="22"/>
      <c r="N18" s="22"/>
      <c r="O18" s="13"/>
      <c r="P18" s="13"/>
      <c r="Q18" s="22"/>
      <c r="R18" s="22"/>
      <c r="S18" s="22"/>
      <c r="T18" s="22"/>
      <c r="U18" s="22"/>
      <c r="V18" s="13"/>
      <c r="W18" s="13"/>
      <c r="X18" s="22"/>
      <c r="Y18" s="22"/>
      <c r="Z18" s="22"/>
      <c r="AA18" s="22"/>
      <c r="AB18" s="22"/>
      <c r="AC18" s="13"/>
      <c r="AD18" s="8">
        <f t="shared" si="1"/>
        <v>0</v>
      </c>
      <c r="AE18" s="8">
        <f t="shared" si="2"/>
        <v>0</v>
      </c>
      <c r="AF18" s="8">
        <f t="shared" si="3"/>
        <v>0</v>
      </c>
      <c r="AG18" s="8">
        <f t="shared" si="4"/>
        <v>0</v>
      </c>
      <c r="AH18" s="8">
        <f t="shared" si="5"/>
        <v>0</v>
      </c>
    </row>
    <row r="19" spans="1:34" ht="23.5" customHeight="1" x14ac:dyDescent="0.55000000000000004">
      <c r="A19" s="10" t="s">
        <v>35</v>
      </c>
      <c r="B19" s="13"/>
      <c r="C19" s="22"/>
      <c r="D19" s="22"/>
      <c r="E19" s="22"/>
      <c r="F19" s="22"/>
      <c r="G19" s="22"/>
      <c r="H19" s="13"/>
      <c r="I19" s="13"/>
      <c r="J19" s="22"/>
      <c r="K19" s="22"/>
      <c r="L19" s="22"/>
      <c r="M19" s="22"/>
      <c r="N19" s="22"/>
      <c r="O19" s="13"/>
      <c r="P19" s="13"/>
      <c r="Q19" s="22"/>
      <c r="R19" s="22"/>
      <c r="S19" s="22"/>
      <c r="T19" s="22"/>
      <c r="U19" s="22"/>
      <c r="V19" s="13"/>
      <c r="W19" s="13"/>
      <c r="X19" s="22"/>
      <c r="Y19" s="22"/>
      <c r="Z19" s="22"/>
      <c r="AA19" s="22"/>
      <c r="AB19" s="22"/>
      <c r="AC19" s="13"/>
      <c r="AD19" s="8">
        <f t="shared" si="1"/>
        <v>0</v>
      </c>
      <c r="AE19" s="8">
        <f t="shared" si="2"/>
        <v>0</v>
      </c>
      <c r="AF19" s="8">
        <f t="shared" si="3"/>
        <v>0</v>
      </c>
      <c r="AG19" s="8">
        <f t="shared" si="4"/>
        <v>0</v>
      </c>
      <c r="AH19" s="8">
        <f t="shared" si="5"/>
        <v>0</v>
      </c>
    </row>
    <row r="20" spans="1:34" ht="23.5" customHeight="1" x14ac:dyDescent="0.55000000000000004">
      <c r="A20" s="10" t="s">
        <v>43</v>
      </c>
      <c r="B20" s="13"/>
      <c r="C20" s="22"/>
      <c r="D20" s="22"/>
      <c r="E20" s="22"/>
      <c r="F20" s="22"/>
      <c r="G20" s="22"/>
      <c r="H20" s="13"/>
      <c r="I20" s="13"/>
      <c r="J20" s="22"/>
      <c r="K20" s="22"/>
      <c r="L20" s="22"/>
      <c r="M20" s="22"/>
      <c r="N20" s="22"/>
      <c r="O20" s="13"/>
      <c r="P20" s="13"/>
      <c r="Q20" s="22"/>
      <c r="R20" s="22"/>
      <c r="S20" s="22"/>
      <c r="T20" s="22"/>
      <c r="U20" s="22"/>
      <c r="V20" s="13"/>
      <c r="W20" s="13"/>
      <c r="X20" s="22"/>
      <c r="Y20" s="22"/>
      <c r="Z20" s="22"/>
      <c r="AA20" s="22"/>
      <c r="AB20" s="22"/>
      <c r="AC20" s="13"/>
      <c r="AD20" s="8">
        <f t="shared" si="1"/>
        <v>0</v>
      </c>
      <c r="AE20" s="8">
        <f t="shared" si="2"/>
        <v>0</v>
      </c>
      <c r="AF20" s="8">
        <f t="shared" si="3"/>
        <v>0</v>
      </c>
      <c r="AG20" s="8">
        <f t="shared" si="4"/>
        <v>0</v>
      </c>
      <c r="AH20" s="8">
        <f t="shared" si="5"/>
        <v>0</v>
      </c>
    </row>
    <row r="21" spans="1:34" ht="23.5" customHeight="1" x14ac:dyDescent="0.55000000000000004">
      <c r="A21" s="10" t="s">
        <v>112</v>
      </c>
      <c r="B21" s="13"/>
      <c r="C21" s="22"/>
      <c r="D21" s="22"/>
      <c r="E21" s="22"/>
      <c r="F21" s="22"/>
      <c r="G21" s="22"/>
      <c r="H21" s="13"/>
      <c r="I21" s="13"/>
      <c r="J21" s="22"/>
      <c r="K21" s="22"/>
      <c r="L21" s="22"/>
      <c r="M21" s="22"/>
      <c r="N21" s="22"/>
      <c r="O21" s="13"/>
      <c r="P21" s="13"/>
      <c r="Q21" s="22"/>
      <c r="R21" s="22"/>
      <c r="S21" s="22"/>
      <c r="T21" s="22"/>
      <c r="U21" s="22"/>
      <c r="V21" s="13"/>
      <c r="W21" s="13"/>
      <c r="X21" s="22"/>
      <c r="Y21" s="22"/>
      <c r="Z21" s="22"/>
      <c r="AA21" s="22"/>
      <c r="AB21" s="22"/>
      <c r="AC21" s="13"/>
      <c r="AD21" s="8">
        <f t="shared" si="1"/>
        <v>0</v>
      </c>
      <c r="AE21" s="8">
        <f t="shared" si="2"/>
        <v>0</v>
      </c>
      <c r="AF21" s="8">
        <f t="shared" si="3"/>
        <v>0</v>
      </c>
      <c r="AG21" s="8">
        <f t="shared" si="4"/>
        <v>0</v>
      </c>
      <c r="AH21" s="8">
        <f t="shared" si="5"/>
        <v>0</v>
      </c>
    </row>
    <row r="22" spans="1:34" ht="23.5" customHeight="1" x14ac:dyDescent="0.55000000000000004">
      <c r="A22" s="10" t="s">
        <v>26</v>
      </c>
      <c r="B22" s="13"/>
      <c r="C22" s="22"/>
      <c r="D22" s="22"/>
      <c r="E22" s="22"/>
      <c r="F22" s="22"/>
      <c r="G22" s="22"/>
      <c r="H22" s="13"/>
      <c r="I22" s="13"/>
      <c r="J22" s="22"/>
      <c r="K22" s="22"/>
      <c r="L22" s="22"/>
      <c r="M22" s="22"/>
      <c r="N22" s="22"/>
      <c r="O22" s="13"/>
      <c r="P22" s="13"/>
      <c r="Q22" s="22"/>
      <c r="R22" s="22"/>
      <c r="S22" s="22"/>
      <c r="T22" s="22"/>
      <c r="U22" s="22"/>
      <c r="V22" s="13"/>
      <c r="W22" s="13"/>
      <c r="X22" s="22"/>
      <c r="Y22" s="22"/>
      <c r="Z22" s="22"/>
      <c r="AA22" s="22"/>
      <c r="AB22" s="22"/>
      <c r="AC22" s="13"/>
      <c r="AD22" s="8">
        <f t="shared" si="1"/>
        <v>0</v>
      </c>
      <c r="AE22" s="8">
        <f t="shared" si="2"/>
        <v>0</v>
      </c>
      <c r="AF22" s="8">
        <f t="shared" si="3"/>
        <v>0</v>
      </c>
      <c r="AG22" s="8">
        <f t="shared" si="4"/>
        <v>0</v>
      </c>
      <c r="AH22" s="8">
        <f t="shared" si="5"/>
        <v>0</v>
      </c>
    </row>
    <row r="23" spans="1:34" ht="23.5" customHeight="1" x14ac:dyDescent="0.55000000000000004">
      <c r="A23" s="10" t="s">
        <v>27</v>
      </c>
      <c r="B23" s="13"/>
      <c r="C23" s="22"/>
      <c r="D23" s="22"/>
      <c r="E23" s="22"/>
      <c r="F23" s="22"/>
      <c r="G23" s="22"/>
      <c r="H23" s="13"/>
      <c r="I23" s="13"/>
      <c r="J23" s="22"/>
      <c r="K23" s="22"/>
      <c r="L23" s="22"/>
      <c r="M23" s="22"/>
      <c r="N23" s="22"/>
      <c r="O23" s="13"/>
      <c r="P23" s="13"/>
      <c r="Q23" s="22"/>
      <c r="R23" s="22"/>
      <c r="S23" s="22"/>
      <c r="T23" s="22"/>
      <c r="U23" s="22"/>
      <c r="V23" s="13"/>
      <c r="W23" s="13"/>
      <c r="X23" s="22"/>
      <c r="Y23" s="22"/>
      <c r="Z23" s="22"/>
      <c r="AA23" s="22"/>
      <c r="AB23" s="22"/>
      <c r="AC23" s="13"/>
      <c r="AD23" s="8">
        <f t="shared" si="1"/>
        <v>0</v>
      </c>
      <c r="AE23" s="8">
        <f t="shared" si="2"/>
        <v>0</v>
      </c>
      <c r="AF23" s="8">
        <f t="shared" si="3"/>
        <v>0</v>
      </c>
      <c r="AG23" s="8">
        <f t="shared" si="4"/>
        <v>0</v>
      </c>
      <c r="AH23" s="8">
        <f t="shared" si="5"/>
        <v>0</v>
      </c>
    </row>
    <row r="24" spans="1:34" ht="23.5" customHeight="1" x14ac:dyDescent="0.55000000000000004">
      <c r="A24" s="10" t="s">
        <v>20</v>
      </c>
      <c r="B24" s="13"/>
      <c r="C24" s="22"/>
      <c r="D24" s="22"/>
      <c r="E24" s="22"/>
      <c r="F24" s="22"/>
      <c r="G24" s="22"/>
      <c r="H24" s="13"/>
      <c r="I24" s="13"/>
      <c r="J24" s="22"/>
      <c r="K24" s="22"/>
      <c r="L24" s="22"/>
      <c r="M24" s="22"/>
      <c r="N24" s="22"/>
      <c r="O24" s="13"/>
      <c r="P24" s="13"/>
      <c r="Q24" s="22"/>
      <c r="R24" s="22"/>
      <c r="S24" s="22"/>
      <c r="T24" s="22"/>
      <c r="U24" s="22"/>
      <c r="V24" s="13"/>
      <c r="W24" s="13"/>
      <c r="X24" s="22"/>
      <c r="Y24" s="22"/>
      <c r="Z24" s="22"/>
      <c r="AA24" s="22"/>
      <c r="AB24" s="22"/>
      <c r="AC24" s="13"/>
      <c r="AD24" s="8">
        <f t="shared" si="1"/>
        <v>0</v>
      </c>
      <c r="AE24" s="8">
        <f t="shared" si="2"/>
        <v>0</v>
      </c>
      <c r="AF24" s="8">
        <f t="shared" si="3"/>
        <v>0</v>
      </c>
      <c r="AG24" s="8">
        <f t="shared" si="4"/>
        <v>0</v>
      </c>
      <c r="AH24" s="8">
        <f t="shared" si="5"/>
        <v>0</v>
      </c>
    </row>
    <row r="25" spans="1:34" ht="23.5" customHeight="1" x14ac:dyDescent="0.55000000000000004">
      <c r="A25" s="10" t="s">
        <v>38</v>
      </c>
      <c r="B25" s="13"/>
      <c r="C25" s="22"/>
      <c r="D25" s="22"/>
      <c r="E25" s="22"/>
      <c r="F25" s="22"/>
      <c r="G25" s="22"/>
      <c r="H25" s="13"/>
      <c r="I25" s="13"/>
      <c r="J25" s="22"/>
      <c r="K25" s="22"/>
      <c r="L25" s="22"/>
      <c r="M25" s="22"/>
      <c r="N25" s="22"/>
      <c r="O25" s="13"/>
      <c r="P25" s="13"/>
      <c r="Q25" s="22"/>
      <c r="R25" s="22"/>
      <c r="S25" s="22"/>
      <c r="T25" s="22"/>
      <c r="U25" s="22"/>
      <c r="V25" s="13"/>
      <c r="W25" s="13"/>
      <c r="X25" s="22"/>
      <c r="Y25" s="22"/>
      <c r="Z25" s="22"/>
      <c r="AA25" s="22"/>
      <c r="AB25" s="22"/>
      <c r="AC25" s="13"/>
      <c r="AD25" s="8">
        <f t="shared" si="1"/>
        <v>0</v>
      </c>
      <c r="AE25" s="8">
        <f t="shared" si="2"/>
        <v>0</v>
      </c>
      <c r="AF25" s="8">
        <f t="shared" si="3"/>
        <v>0</v>
      </c>
      <c r="AG25" s="8">
        <f t="shared" si="4"/>
        <v>0</v>
      </c>
      <c r="AH25" s="8">
        <f t="shared" si="5"/>
        <v>0</v>
      </c>
    </row>
    <row r="26" spans="1:34" ht="23.5" customHeight="1" x14ac:dyDescent="0.55000000000000004">
      <c r="A26" s="10" t="s">
        <v>25</v>
      </c>
      <c r="B26" s="13"/>
      <c r="C26" s="22"/>
      <c r="D26" s="22"/>
      <c r="E26" s="22"/>
      <c r="F26" s="22"/>
      <c r="G26" s="22"/>
      <c r="H26" s="13"/>
      <c r="I26" s="13"/>
      <c r="J26" s="22"/>
      <c r="K26" s="22"/>
      <c r="L26" s="22"/>
      <c r="M26" s="22"/>
      <c r="N26" s="22"/>
      <c r="O26" s="13"/>
      <c r="P26" s="13"/>
      <c r="Q26" s="22"/>
      <c r="R26" s="22"/>
      <c r="S26" s="22"/>
      <c r="T26" s="22"/>
      <c r="U26" s="22"/>
      <c r="V26" s="13"/>
      <c r="W26" s="13"/>
      <c r="X26" s="22"/>
      <c r="Y26" s="22"/>
      <c r="Z26" s="22"/>
      <c r="AA26" s="22"/>
      <c r="AB26" s="22"/>
      <c r="AC26" s="13"/>
      <c r="AD26" s="8">
        <f t="shared" si="1"/>
        <v>0</v>
      </c>
      <c r="AE26" s="8">
        <f t="shared" si="2"/>
        <v>0</v>
      </c>
      <c r="AF26" s="8">
        <f t="shared" si="3"/>
        <v>0</v>
      </c>
      <c r="AG26" s="8">
        <f t="shared" si="4"/>
        <v>0</v>
      </c>
      <c r="AH26" s="8">
        <f t="shared" si="5"/>
        <v>0</v>
      </c>
    </row>
    <row r="27" spans="1:34" ht="23.5" customHeight="1" x14ac:dyDescent="0.55000000000000004">
      <c r="A27" s="10" t="s">
        <v>40</v>
      </c>
      <c r="B27" s="13"/>
      <c r="C27" s="22"/>
      <c r="D27" s="22"/>
      <c r="E27" s="22"/>
      <c r="F27" s="22"/>
      <c r="G27" s="22"/>
      <c r="H27" s="13"/>
      <c r="I27" s="13"/>
      <c r="J27" s="22"/>
      <c r="K27" s="22"/>
      <c r="L27" s="22"/>
      <c r="M27" s="22"/>
      <c r="N27" s="22"/>
      <c r="O27" s="13"/>
      <c r="P27" s="13"/>
      <c r="Q27" s="22"/>
      <c r="R27" s="22"/>
      <c r="S27" s="22"/>
      <c r="T27" s="22"/>
      <c r="U27" s="22"/>
      <c r="V27" s="13"/>
      <c r="W27" s="13"/>
      <c r="X27" s="22"/>
      <c r="Y27" s="22"/>
      <c r="Z27" s="22"/>
      <c r="AA27" s="22"/>
      <c r="AB27" s="22"/>
      <c r="AC27" s="13"/>
      <c r="AD27" s="8">
        <f t="shared" si="1"/>
        <v>0</v>
      </c>
      <c r="AE27" s="8">
        <f t="shared" si="2"/>
        <v>0</v>
      </c>
      <c r="AF27" s="8">
        <f t="shared" si="3"/>
        <v>0</v>
      </c>
      <c r="AG27" s="8">
        <f t="shared" si="4"/>
        <v>0</v>
      </c>
      <c r="AH27" s="8">
        <f t="shared" si="5"/>
        <v>0</v>
      </c>
    </row>
    <row r="28" spans="1:34" ht="23.5" customHeight="1" x14ac:dyDescent="0.55000000000000004">
      <c r="A28" s="10" t="s">
        <v>24</v>
      </c>
      <c r="B28" s="13"/>
      <c r="C28" s="22"/>
      <c r="D28" s="22"/>
      <c r="E28" s="22"/>
      <c r="F28" s="22"/>
      <c r="G28" s="22"/>
      <c r="H28" s="13"/>
      <c r="I28" s="13"/>
      <c r="J28" s="22"/>
      <c r="K28" s="22"/>
      <c r="L28" s="22"/>
      <c r="M28" s="22"/>
      <c r="N28" s="22"/>
      <c r="O28" s="13"/>
      <c r="P28" s="13"/>
      <c r="Q28" s="22"/>
      <c r="R28" s="22"/>
      <c r="S28" s="22"/>
      <c r="T28" s="22"/>
      <c r="U28" s="22"/>
      <c r="V28" s="13"/>
      <c r="W28" s="13"/>
      <c r="X28" s="22"/>
      <c r="Y28" s="22"/>
      <c r="Z28" s="22"/>
      <c r="AA28" s="22"/>
      <c r="AB28" s="22"/>
      <c r="AC28" s="13"/>
      <c r="AD28" s="8">
        <f t="shared" si="1"/>
        <v>0</v>
      </c>
      <c r="AE28" s="8">
        <f t="shared" si="2"/>
        <v>0</v>
      </c>
      <c r="AF28" s="8">
        <f t="shared" si="3"/>
        <v>0</v>
      </c>
      <c r="AG28" s="8">
        <f t="shared" si="4"/>
        <v>0</v>
      </c>
      <c r="AH28" s="8">
        <f t="shared" si="5"/>
        <v>0</v>
      </c>
    </row>
    <row r="29" spans="1:34" ht="23.5" customHeight="1" x14ac:dyDescent="0.55000000000000004">
      <c r="A29" s="10" t="s">
        <v>23</v>
      </c>
      <c r="B29" s="13"/>
      <c r="C29" s="22"/>
      <c r="D29" s="22"/>
      <c r="E29" s="22"/>
      <c r="F29" s="22"/>
      <c r="G29" s="22"/>
      <c r="H29" s="13"/>
      <c r="I29" s="13"/>
      <c r="J29" s="22"/>
      <c r="K29" s="22"/>
      <c r="L29" s="22"/>
      <c r="M29" s="22"/>
      <c r="N29" s="22"/>
      <c r="O29" s="13"/>
      <c r="P29" s="13"/>
      <c r="Q29" s="22"/>
      <c r="R29" s="22"/>
      <c r="S29" s="22"/>
      <c r="T29" s="22"/>
      <c r="U29" s="22"/>
      <c r="V29" s="13"/>
      <c r="W29" s="13"/>
      <c r="X29" s="22"/>
      <c r="Y29" s="22"/>
      <c r="Z29" s="22"/>
      <c r="AA29" s="22"/>
      <c r="AB29" s="22"/>
      <c r="AC29" s="13"/>
      <c r="AD29" s="8">
        <f t="shared" si="1"/>
        <v>0</v>
      </c>
      <c r="AE29" s="8">
        <f t="shared" si="2"/>
        <v>0</v>
      </c>
      <c r="AF29" s="8">
        <f t="shared" si="3"/>
        <v>0</v>
      </c>
      <c r="AG29" s="8">
        <f t="shared" si="4"/>
        <v>0</v>
      </c>
      <c r="AH29" s="8">
        <f t="shared" si="5"/>
        <v>0</v>
      </c>
    </row>
    <row r="30" spans="1:34" ht="23.5" customHeight="1" x14ac:dyDescent="0.55000000000000004">
      <c r="A30" s="10" t="s">
        <v>50</v>
      </c>
      <c r="B30" s="13"/>
      <c r="C30" s="22"/>
      <c r="D30" s="22"/>
      <c r="E30" s="22"/>
      <c r="F30" s="22"/>
      <c r="G30" s="22"/>
      <c r="H30" s="13"/>
      <c r="I30" s="13"/>
      <c r="J30" s="22"/>
      <c r="K30" s="22"/>
      <c r="L30" s="22"/>
      <c r="M30" s="22"/>
      <c r="N30" s="22"/>
      <c r="O30" s="13"/>
      <c r="P30" s="13"/>
      <c r="Q30" s="22"/>
      <c r="R30" s="22"/>
      <c r="S30" s="22"/>
      <c r="T30" s="22"/>
      <c r="U30" s="22"/>
      <c r="V30" s="13"/>
      <c r="W30" s="13"/>
      <c r="X30" s="22"/>
      <c r="Y30" s="22"/>
      <c r="Z30" s="22"/>
      <c r="AA30" s="22"/>
      <c r="AB30" s="22"/>
      <c r="AC30" s="13"/>
      <c r="AD30" s="8">
        <f t="shared" si="1"/>
        <v>0</v>
      </c>
      <c r="AE30" s="8">
        <f t="shared" si="2"/>
        <v>0</v>
      </c>
      <c r="AF30" s="8">
        <f t="shared" si="3"/>
        <v>0</v>
      </c>
      <c r="AG30" s="8">
        <f t="shared" si="4"/>
        <v>0</v>
      </c>
      <c r="AH30" s="8">
        <f t="shared" si="5"/>
        <v>0</v>
      </c>
    </row>
    <row r="31" spans="1:34" ht="23.5" customHeight="1" x14ac:dyDescent="0.55000000000000004">
      <c r="A31" s="10" t="s">
        <v>45</v>
      </c>
      <c r="B31" s="13"/>
      <c r="C31" s="22"/>
      <c r="D31" s="22"/>
      <c r="E31" s="22"/>
      <c r="F31" s="22"/>
      <c r="G31" s="22"/>
      <c r="H31" s="13"/>
      <c r="I31" s="13"/>
      <c r="J31" s="22"/>
      <c r="K31" s="22"/>
      <c r="L31" s="22"/>
      <c r="M31" s="22"/>
      <c r="N31" s="22"/>
      <c r="O31" s="13"/>
      <c r="P31" s="13"/>
      <c r="Q31" s="22"/>
      <c r="R31" s="22"/>
      <c r="S31" s="22"/>
      <c r="T31" s="22"/>
      <c r="U31" s="22"/>
      <c r="V31" s="13"/>
      <c r="W31" s="13"/>
      <c r="X31" s="22"/>
      <c r="Y31" s="22"/>
      <c r="Z31" s="22"/>
      <c r="AA31" s="22"/>
      <c r="AB31" s="22"/>
      <c r="AC31" s="13"/>
      <c r="AD31" s="8">
        <f t="shared" si="1"/>
        <v>0</v>
      </c>
      <c r="AE31" s="8">
        <f t="shared" si="2"/>
        <v>0</v>
      </c>
      <c r="AF31" s="8">
        <f t="shared" si="3"/>
        <v>0</v>
      </c>
      <c r="AG31" s="8">
        <f t="shared" si="4"/>
        <v>0</v>
      </c>
      <c r="AH31" s="8">
        <f t="shared" si="5"/>
        <v>0</v>
      </c>
    </row>
    <row r="32" spans="1:34" ht="23.5" customHeight="1" x14ac:dyDescent="0.55000000000000004">
      <c r="A32" s="10" t="s">
        <v>113</v>
      </c>
      <c r="B32" s="13"/>
      <c r="C32" s="22"/>
      <c r="D32" s="22"/>
      <c r="E32" s="22"/>
      <c r="F32" s="22"/>
      <c r="G32" s="22"/>
      <c r="H32" s="13"/>
      <c r="I32" s="13"/>
      <c r="J32" s="22"/>
      <c r="K32" s="22"/>
      <c r="L32" s="22"/>
      <c r="M32" s="22"/>
      <c r="N32" s="22"/>
      <c r="O32" s="13"/>
      <c r="P32" s="13"/>
      <c r="Q32" s="22"/>
      <c r="R32" s="22"/>
      <c r="S32" s="22"/>
      <c r="T32" s="22"/>
      <c r="U32" s="22"/>
      <c r="V32" s="13"/>
      <c r="W32" s="13"/>
      <c r="X32" s="22"/>
      <c r="Y32" s="22"/>
      <c r="Z32" s="22"/>
      <c r="AA32" s="22"/>
      <c r="AB32" s="22"/>
      <c r="AC32" s="13"/>
      <c r="AD32" s="8">
        <f t="shared" si="1"/>
        <v>0</v>
      </c>
      <c r="AE32" s="8">
        <f t="shared" si="2"/>
        <v>0</v>
      </c>
      <c r="AF32" s="8">
        <f t="shared" si="3"/>
        <v>0</v>
      </c>
      <c r="AG32" s="8">
        <f t="shared" si="4"/>
        <v>0</v>
      </c>
      <c r="AH32" s="8">
        <f t="shared" si="5"/>
        <v>0</v>
      </c>
    </row>
    <row r="33" spans="1:34" ht="23.5" customHeight="1" x14ac:dyDescent="0.55000000000000004">
      <c r="A33" s="10" t="s">
        <v>46</v>
      </c>
      <c r="B33" s="13"/>
      <c r="C33" s="22"/>
      <c r="D33" s="22"/>
      <c r="E33" s="22"/>
      <c r="F33" s="22"/>
      <c r="G33" s="22"/>
      <c r="H33" s="13"/>
      <c r="I33" s="13"/>
      <c r="J33" s="22"/>
      <c r="K33" s="22"/>
      <c r="L33" s="22"/>
      <c r="M33" s="22"/>
      <c r="N33" s="22"/>
      <c r="O33" s="13"/>
      <c r="P33" s="13"/>
      <c r="Q33" s="22"/>
      <c r="R33" s="22"/>
      <c r="S33" s="22"/>
      <c r="T33" s="22"/>
      <c r="U33" s="22"/>
      <c r="V33" s="13"/>
      <c r="W33" s="13"/>
      <c r="X33" s="22"/>
      <c r="Y33" s="22"/>
      <c r="Z33" s="22"/>
      <c r="AA33" s="22"/>
      <c r="AB33" s="22"/>
      <c r="AC33" s="13"/>
      <c r="AD33" s="8">
        <f t="shared" si="1"/>
        <v>0</v>
      </c>
      <c r="AE33" s="8">
        <f t="shared" si="2"/>
        <v>0</v>
      </c>
      <c r="AF33" s="8">
        <f t="shared" si="3"/>
        <v>0</v>
      </c>
      <c r="AG33" s="8">
        <f t="shared" si="4"/>
        <v>0</v>
      </c>
      <c r="AH33" s="8">
        <f t="shared" si="5"/>
        <v>0</v>
      </c>
    </row>
    <row r="34" spans="1:34" ht="23.5" customHeight="1" x14ac:dyDescent="0.55000000000000004">
      <c r="A34" s="10" t="s">
        <v>53</v>
      </c>
      <c r="B34" s="13"/>
      <c r="C34" s="22"/>
      <c r="D34" s="22"/>
      <c r="E34" s="22"/>
      <c r="F34" s="22"/>
      <c r="G34" s="22"/>
      <c r="H34" s="13"/>
      <c r="I34" s="13"/>
      <c r="J34" s="22"/>
      <c r="K34" s="22"/>
      <c r="L34" s="22"/>
      <c r="M34" s="22"/>
      <c r="N34" s="22"/>
      <c r="O34" s="13"/>
      <c r="P34" s="13"/>
      <c r="Q34" s="22"/>
      <c r="R34" s="22"/>
      <c r="S34" s="22"/>
      <c r="T34" s="22"/>
      <c r="U34" s="22"/>
      <c r="V34" s="13"/>
      <c r="W34" s="13"/>
      <c r="X34" s="22"/>
      <c r="Y34" s="22"/>
      <c r="Z34" s="22"/>
      <c r="AA34" s="22"/>
      <c r="AB34" s="22"/>
      <c r="AC34" s="13"/>
      <c r="AD34" s="8">
        <f t="shared" si="1"/>
        <v>0</v>
      </c>
      <c r="AE34" s="8">
        <f t="shared" si="2"/>
        <v>0</v>
      </c>
      <c r="AF34" s="8">
        <f t="shared" si="3"/>
        <v>0</v>
      </c>
      <c r="AG34" s="8">
        <f t="shared" si="4"/>
        <v>0</v>
      </c>
      <c r="AH34" s="8">
        <f t="shared" si="5"/>
        <v>0</v>
      </c>
    </row>
    <row r="35" spans="1:34" ht="23.5" customHeight="1" x14ac:dyDescent="0.55000000000000004">
      <c r="A35" s="10" t="s">
        <v>114</v>
      </c>
      <c r="B35" s="13"/>
      <c r="C35" s="22"/>
      <c r="D35" s="22"/>
      <c r="E35" s="22"/>
      <c r="F35" s="22"/>
      <c r="G35" s="22"/>
      <c r="H35" s="13"/>
      <c r="I35" s="13"/>
      <c r="J35" s="22"/>
      <c r="K35" s="22"/>
      <c r="L35" s="22"/>
      <c r="M35" s="22"/>
      <c r="N35" s="22"/>
      <c r="O35" s="13"/>
      <c r="P35" s="13"/>
      <c r="Q35" s="22"/>
      <c r="R35" s="22"/>
      <c r="S35" s="22"/>
      <c r="T35" s="22"/>
      <c r="U35" s="22"/>
      <c r="V35" s="13"/>
      <c r="W35" s="13"/>
      <c r="X35" s="22"/>
      <c r="Y35" s="22"/>
      <c r="Z35" s="22"/>
      <c r="AA35" s="22"/>
      <c r="AB35" s="22"/>
      <c r="AC35" s="13"/>
      <c r="AD35" s="8">
        <f t="shared" si="1"/>
        <v>0</v>
      </c>
      <c r="AE35" s="8">
        <f t="shared" si="2"/>
        <v>0</v>
      </c>
      <c r="AF35" s="8">
        <f t="shared" si="3"/>
        <v>0</v>
      </c>
      <c r="AG35" s="8">
        <f t="shared" si="4"/>
        <v>0</v>
      </c>
      <c r="AH35" s="8">
        <f t="shared" si="5"/>
        <v>0</v>
      </c>
    </row>
  </sheetData>
  <mergeCells count="9">
    <mergeCell ref="AJ3:AJ4"/>
    <mergeCell ref="AK3:AK4"/>
    <mergeCell ref="A1:AH2"/>
    <mergeCell ref="A3:A4"/>
    <mergeCell ref="AD3:AD4"/>
    <mergeCell ref="AE3:AE4"/>
    <mergeCell ref="AF3:AF4"/>
    <mergeCell ref="AG3:AG4"/>
    <mergeCell ref="AH3:AH4"/>
  </mergeCells>
  <phoneticPr fontId="12" type="noConversion"/>
  <conditionalFormatting sqref="B5:AC35">
    <cfRule type="beginsWith" dxfId="56" priority="1" operator="beginsWith" text="U">
      <formula>LEFT(B5,1)="U"</formula>
    </cfRule>
    <cfRule type="beginsWith" dxfId="55" priority="2" operator="beginsWith" text="FH">
      <formula>LEFT(B5,2)="FH"</formula>
    </cfRule>
    <cfRule type="beginsWith" dxfId="54" priority="3" operator="beginsWith" text="MT">
      <formula>LEFT(B5,2)="MT"</formula>
    </cfRule>
    <cfRule type="beginsWith" dxfId="53" priority="4" operator="beginsWith" text="H1">
      <formula>LEFT(B5,2)="H1"</formula>
    </cfRule>
    <cfRule type="beginsWith" dxfId="52" priority="5" operator="beginsWith" text="S">
      <formula>LEFT(B5,1)="S"</formula>
    </cfRule>
    <cfRule type="beginsWith" dxfId="51" priority="6" operator="beginsWith" text="PT">
      <formula>LEFT(B5,2)="PT"</formula>
    </cfRule>
  </conditionalFormatting>
  <dataValidations count="1">
    <dataValidation type="list" allowBlank="1" showInputMessage="1" showErrorMessage="1" sqref="B5:AC35" xr:uid="{00000000-0002-0000-0400-000000000000}">
      <formula1>$AK$5:$AK$12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843EA2-8703-484E-9330-9D28536235B4}">
  <sheetPr codeName="Sheet5"/>
  <dimension ref="A1:AP36"/>
  <sheetViews>
    <sheetView topLeftCell="A13" zoomScale="41" zoomScaleNormal="80" workbookViewId="0">
      <selection activeCell="P16" sqref="P16"/>
    </sheetView>
  </sheetViews>
  <sheetFormatPr defaultRowHeight="14.5" x14ac:dyDescent="0.35"/>
  <cols>
    <col min="1" max="1" width="30.7265625" customWidth="1"/>
    <col min="2" max="2" width="5.26953125" bestFit="1" customWidth="1"/>
    <col min="3" max="32" width="5.7265625" customWidth="1"/>
    <col min="33" max="33" width="9.1796875" customWidth="1"/>
    <col min="34" max="37" width="11.26953125" customWidth="1"/>
    <col min="38" max="38" width="9.1796875" customWidth="1"/>
    <col min="39" max="39" width="29.26953125" bestFit="1" customWidth="1"/>
  </cols>
  <sheetData>
    <row r="1" spans="1:42" s="3" customFormat="1" ht="25.15" customHeight="1" x14ac:dyDescent="0.35">
      <c r="A1" s="67" t="s">
        <v>118</v>
      </c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2"/>
      <c r="AM1" s="2"/>
      <c r="AN1" s="2"/>
      <c r="AO1" s="2"/>
      <c r="AP1" s="2"/>
    </row>
    <row r="2" spans="1:42" s="3" customFormat="1" ht="25.15" customHeight="1" x14ac:dyDescent="0.35">
      <c r="A2" s="68"/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  <c r="AA2" s="68"/>
      <c r="AB2" s="68"/>
      <c r="AC2" s="68"/>
      <c r="AD2" s="68"/>
      <c r="AE2" s="68"/>
      <c r="AF2" s="68"/>
      <c r="AG2" s="68"/>
      <c r="AH2" s="68"/>
      <c r="AI2" s="68"/>
      <c r="AJ2" s="68"/>
      <c r="AK2" s="68"/>
      <c r="AL2" s="2"/>
      <c r="AM2" s="2"/>
      <c r="AN2" s="2"/>
      <c r="AO2" s="2"/>
      <c r="AP2" s="2"/>
    </row>
    <row r="3" spans="1:42" s="3" customFormat="1" ht="25.15" customHeight="1" x14ac:dyDescent="0.35">
      <c r="A3" s="77" t="s">
        <v>119</v>
      </c>
      <c r="B3" s="38" t="str">
        <f>IF(B4="","",INDEX({"Sun";"Mon";"Tue";"Wen";"Thu";"Fri";"Sat"},WEEKDAY(B4,1)))</f>
        <v>Sun</v>
      </c>
      <c r="C3" s="38" t="str">
        <f>IF(C4="","",INDEX({"Sun";"Mon";"Tue";"Wen";"Thu";"Fri";"Sat"},WEEKDAY(C4,1)))</f>
        <v>Mon</v>
      </c>
      <c r="D3" s="38" t="str">
        <f>IF(D4="","",INDEX({"Sun";"Mon";"Tue";"Wen";"Thu";"Fri";"Sat"},WEEKDAY(D4,1)))</f>
        <v>Tue</v>
      </c>
      <c r="E3" s="38" t="str">
        <f>IF(E4="","",INDEX({"Sun";"Mon";"Tue";"Wen";"Thu";"Fri";"Sat"},WEEKDAY(E4,1)))</f>
        <v>Wen</v>
      </c>
      <c r="F3" s="38" t="str">
        <f>IF(F4="","",INDEX({"Sun";"Mon";"Tue";"Wen";"Thu";"Fri";"Sat"},WEEKDAY(F4,1)))</f>
        <v>Thu</v>
      </c>
      <c r="G3" s="38" t="str">
        <f>IF(G4="","",INDEX({"Sun";"Mon";"Tue";"Wen";"Thu";"Fri";"Sat"},WEEKDAY(G4,1)))</f>
        <v>Fri</v>
      </c>
      <c r="H3" s="38" t="str">
        <f>IF(H4="","",INDEX({"Sun";"Mon";"Tue";"Wen";"Thu";"Fri";"Sat"},WEEKDAY(H4,1)))</f>
        <v>Sat</v>
      </c>
      <c r="I3" s="38" t="str">
        <f>IF(I4="","",INDEX({"Sun";"Mon";"Tue";"Wen";"Thu";"Fri";"Sat"},WEEKDAY(I4,1)))</f>
        <v>Sun</v>
      </c>
      <c r="J3" s="38" t="str">
        <f>IF(J4="","",INDEX({"Sun";"Mon";"Tue";"Wen";"Thu";"Fri";"Sat"},WEEKDAY(J4,1)))</f>
        <v>Mon</v>
      </c>
      <c r="K3" s="38" t="str">
        <f>IF(K4="","",INDEX({"Sun";"Mon";"Tue";"Wen";"Thu";"Fri";"Sat"},WEEKDAY(K4,1)))</f>
        <v>Tue</v>
      </c>
      <c r="L3" s="38" t="str">
        <f>IF(L4="","",INDEX({"Sun";"Mon";"Tue";"Wen";"Thu";"Fri";"Sat"},WEEKDAY(L4,1)))</f>
        <v>Wen</v>
      </c>
      <c r="M3" s="38" t="str">
        <f>IF(M4="","",INDEX({"Sun";"Mon";"Tue";"Wen";"Thu";"Fri";"Sat"},WEEKDAY(M4,1)))</f>
        <v>Thu</v>
      </c>
      <c r="N3" s="38" t="str">
        <f>IF(N4="","",INDEX({"Sun";"Mon";"Tue";"Wen";"Thu";"Fri";"Sat"},WEEKDAY(N4,1)))</f>
        <v>Fri</v>
      </c>
      <c r="O3" s="38" t="str">
        <f>IF(O4="","",INDEX({"Sun";"Mon";"Tue";"Wen";"Thu";"Fri";"Sat"},WEEKDAY(O4,1)))</f>
        <v>Sat</v>
      </c>
      <c r="P3" s="38" t="str">
        <f>IF(P4="","",INDEX({"Sun";"Mon";"Tue";"Wen";"Thu";"Fri";"Sat"},WEEKDAY(P4,1)))</f>
        <v>Sun</v>
      </c>
      <c r="Q3" s="38" t="str">
        <f>IF(Q4="","",INDEX({"Sun";"Mon";"Tue";"Wen";"Thu";"Fri";"Sat"},WEEKDAY(Q4,1)))</f>
        <v>Mon</v>
      </c>
      <c r="R3" s="38" t="str">
        <f>IF(R4="","",INDEX({"Sun";"Mon";"Tue";"Wen";"Thu";"Fri";"Sat"},WEEKDAY(R4,1)))</f>
        <v>Tue</v>
      </c>
      <c r="S3" s="38" t="str">
        <f>IF(S4="","",INDEX({"Sun";"Mon";"Tue";"Wen";"Thu";"Fri";"Sat"},WEEKDAY(S4,1)))</f>
        <v>Wen</v>
      </c>
      <c r="T3" s="38" t="str">
        <f>IF(T4="","",INDEX({"Sun";"Mon";"Tue";"Wen";"Thu";"Fri";"Sat"},WEEKDAY(T4,1)))</f>
        <v>Thu</v>
      </c>
      <c r="U3" s="38" t="str">
        <f>IF(U4="","",INDEX({"Sun";"Mon";"Tue";"Wen";"Thu";"Fri";"Sat"},WEEKDAY(U4,1)))</f>
        <v>Fri</v>
      </c>
      <c r="V3" s="38" t="str">
        <f>IF(V4="","",INDEX({"Sun";"Mon";"Tue";"Wen";"Thu";"Fri";"Sat"},WEEKDAY(V4,1)))</f>
        <v>Sat</v>
      </c>
      <c r="W3" s="38" t="str">
        <f>IF(W4="","",INDEX({"Sun";"Mon";"Tue";"Wen";"Thu";"Fri";"Sat"},WEEKDAY(W4,1)))</f>
        <v>Sun</v>
      </c>
      <c r="X3" s="38" t="str">
        <f>IF(X4="","",INDEX({"Sun";"Mon";"Tue";"Wen";"Thu";"Fri";"Sat"},WEEKDAY(X4,1)))</f>
        <v>Mon</v>
      </c>
      <c r="Y3" s="38" t="str">
        <f>IF(Y4="","",INDEX({"Sun";"Mon";"Tue";"Wen";"Thu";"Fri";"Sat"},WEEKDAY(Y4,1)))</f>
        <v>Tue</v>
      </c>
      <c r="Z3" s="38" t="str">
        <f>IF(Z4="","",INDEX({"Sun";"Mon";"Tue";"Wen";"Thu";"Fri";"Sat"},WEEKDAY(Z4,1)))</f>
        <v>Wen</v>
      </c>
      <c r="AA3" s="38" t="str">
        <f>IF(AA4="","",INDEX({"Sun";"Mon";"Tue";"Wen";"Thu";"Fri";"Sat"},WEEKDAY(AA4,1)))</f>
        <v>Thu</v>
      </c>
      <c r="AB3" s="38" t="str">
        <f>IF(AB4="","",INDEX({"Sun";"Mon";"Tue";"Wen";"Thu";"Fri";"Sat"},WEEKDAY(AB4,1)))</f>
        <v>Fri</v>
      </c>
      <c r="AC3" s="38" t="str">
        <f>IF(AC4="","",INDEX({"Sun";"Mon";"Tue";"Wen";"Thu";"Fri";"Sat"},WEEKDAY(AC4,1)))</f>
        <v>Sat</v>
      </c>
      <c r="AD3" s="38" t="str">
        <f>IF(AD4="","",INDEX({"Sun";"Mon";"Tue";"Wen";"Thu";"Fri";"Sat"},WEEKDAY(AD4,1)))</f>
        <v>Sun</v>
      </c>
      <c r="AE3" s="38" t="str">
        <f>IF(AE4="","",INDEX({"Sun";"Mon";"Tue";"Wen";"Thu";"Fri";"Sat"},WEEKDAY(AE4,1)))</f>
        <v>Mon</v>
      </c>
      <c r="AF3" s="38" t="str">
        <f>IF(AF4="","",INDEX({"Sun";"Mon";"Tue";"Wen";"Thu";"Fri";"Sat"},WEEKDAY(AF4,1)))</f>
        <v>Tue</v>
      </c>
      <c r="AG3" s="82" t="s">
        <v>95</v>
      </c>
      <c r="AH3" s="71" t="s">
        <v>96</v>
      </c>
      <c r="AI3" s="83" t="s">
        <v>116</v>
      </c>
      <c r="AJ3" s="84" t="s">
        <v>98</v>
      </c>
      <c r="AK3" s="78" t="s">
        <v>99</v>
      </c>
      <c r="AL3" s="19"/>
      <c r="AM3" s="75" t="s">
        <v>117</v>
      </c>
      <c r="AN3" s="75" t="s">
        <v>101</v>
      </c>
      <c r="AO3" s="2"/>
      <c r="AP3" s="2"/>
    </row>
    <row r="4" spans="1:42" s="3" customFormat="1" ht="25.15" customHeight="1" x14ac:dyDescent="0.35">
      <c r="A4" s="77"/>
      <c r="B4" s="39">
        <f>DATE(Year!$B$2,3,1)</f>
        <v>46082</v>
      </c>
      <c r="C4" s="39">
        <f t="shared" ref="C4:AF4" si="0">B4+1</f>
        <v>46083</v>
      </c>
      <c r="D4" s="39">
        <f t="shared" si="0"/>
        <v>46084</v>
      </c>
      <c r="E4" s="39">
        <f t="shared" si="0"/>
        <v>46085</v>
      </c>
      <c r="F4" s="39">
        <f t="shared" si="0"/>
        <v>46086</v>
      </c>
      <c r="G4" s="39">
        <f t="shared" si="0"/>
        <v>46087</v>
      </c>
      <c r="H4" s="39">
        <f t="shared" si="0"/>
        <v>46088</v>
      </c>
      <c r="I4" s="39">
        <f t="shared" si="0"/>
        <v>46089</v>
      </c>
      <c r="J4" s="39">
        <f t="shared" si="0"/>
        <v>46090</v>
      </c>
      <c r="K4" s="39">
        <f t="shared" si="0"/>
        <v>46091</v>
      </c>
      <c r="L4" s="39">
        <f t="shared" si="0"/>
        <v>46092</v>
      </c>
      <c r="M4" s="39">
        <f t="shared" si="0"/>
        <v>46093</v>
      </c>
      <c r="N4" s="39">
        <f t="shared" si="0"/>
        <v>46094</v>
      </c>
      <c r="O4" s="39">
        <f t="shared" si="0"/>
        <v>46095</v>
      </c>
      <c r="P4" s="39">
        <f t="shared" si="0"/>
        <v>46096</v>
      </c>
      <c r="Q4" s="39">
        <f t="shared" si="0"/>
        <v>46097</v>
      </c>
      <c r="R4" s="39">
        <f t="shared" si="0"/>
        <v>46098</v>
      </c>
      <c r="S4" s="39">
        <f t="shared" si="0"/>
        <v>46099</v>
      </c>
      <c r="T4" s="39">
        <f t="shared" si="0"/>
        <v>46100</v>
      </c>
      <c r="U4" s="39">
        <f t="shared" si="0"/>
        <v>46101</v>
      </c>
      <c r="V4" s="39">
        <f t="shared" si="0"/>
        <v>46102</v>
      </c>
      <c r="W4" s="39">
        <f t="shared" si="0"/>
        <v>46103</v>
      </c>
      <c r="X4" s="39">
        <f t="shared" si="0"/>
        <v>46104</v>
      </c>
      <c r="Y4" s="39">
        <f t="shared" si="0"/>
        <v>46105</v>
      </c>
      <c r="Z4" s="39">
        <f t="shared" si="0"/>
        <v>46106</v>
      </c>
      <c r="AA4" s="39">
        <f t="shared" si="0"/>
        <v>46107</v>
      </c>
      <c r="AB4" s="39">
        <f t="shared" si="0"/>
        <v>46108</v>
      </c>
      <c r="AC4" s="39">
        <f t="shared" si="0"/>
        <v>46109</v>
      </c>
      <c r="AD4" s="39">
        <f t="shared" si="0"/>
        <v>46110</v>
      </c>
      <c r="AE4" s="39">
        <f t="shared" si="0"/>
        <v>46111</v>
      </c>
      <c r="AF4" s="39">
        <f t="shared" si="0"/>
        <v>46112</v>
      </c>
      <c r="AG4" s="82"/>
      <c r="AH4" s="71"/>
      <c r="AI4" s="83"/>
      <c r="AJ4" s="84"/>
      <c r="AK4" s="78"/>
      <c r="AL4" s="19"/>
      <c r="AM4" s="76"/>
      <c r="AN4" s="76"/>
      <c r="AO4" s="2"/>
      <c r="AP4" s="2"/>
    </row>
    <row r="5" spans="1:42" s="3" customFormat="1" ht="25.15" customHeight="1" x14ac:dyDescent="0.35">
      <c r="A5" s="77"/>
      <c r="B5" s="81"/>
      <c r="C5" s="81"/>
      <c r="D5" s="81"/>
      <c r="E5" s="81"/>
      <c r="F5" s="81"/>
      <c r="G5" s="81"/>
      <c r="H5" s="81"/>
      <c r="I5" s="81"/>
      <c r="J5" s="81"/>
      <c r="K5" s="81"/>
      <c r="L5" s="81"/>
      <c r="M5" s="81"/>
      <c r="N5" s="81"/>
      <c r="O5" s="81"/>
      <c r="P5" s="81"/>
      <c r="Q5" s="81"/>
      <c r="R5" s="81"/>
      <c r="S5" s="81"/>
      <c r="T5" s="81"/>
      <c r="U5" s="81"/>
      <c r="V5" s="81"/>
      <c r="W5" s="81"/>
      <c r="X5" s="81"/>
      <c r="Y5" s="81"/>
      <c r="Z5" s="81"/>
      <c r="AA5" s="81"/>
      <c r="AB5" s="81"/>
      <c r="AC5" s="81"/>
      <c r="AD5" s="1"/>
      <c r="AE5" s="1"/>
      <c r="AF5" s="1"/>
      <c r="AG5" s="82"/>
      <c r="AH5" s="71"/>
      <c r="AI5" s="83"/>
      <c r="AJ5" s="84"/>
      <c r="AK5" s="78"/>
      <c r="AL5" s="19"/>
      <c r="AM5" s="32" t="s">
        <v>14</v>
      </c>
      <c r="AN5" s="25" t="s">
        <v>102</v>
      </c>
      <c r="AO5" s="2"/>
      <c r="AP5" s="2"/>
    </row>
    <row r="6" spans="1:42" s="3" customFormat="1" ht="24.75" customHeight="1" x14ac:dyDescent="0.55000000000000004">
      <c r="A6" s="9" t="s">
        <v>13</v>
      </c>
      <c r="B6" s="22"/>
      <c r="C6" s="22"/>
      <c r="D6" s="22" t="s">
        <v>109</v>
      </c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 t="s">
        <v>109</v>
      </c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8">
        <f t="shared" ref="AG6:AG35" si="1">SUM(AH6:AK6)</f>
        <v>0</v>
      </c>
      <c r="AH6" s="8">
        <f t="shared" ref="AH6:AH35" si="2">COUNTIF(B6:AF6,"V")+COUNTIF(B6:AF6,"V1")/2+COUNTIF(B6:AF6,"V2")/2</f>
        <v>0</v>
      </c>
      <c r="AI6" s="8">
        <f t="shared" ref="AI6:AI35" si="3">COUNTIF(B6:AF6,"S")+COUNTIF(B6:AF6,"S1")/2+COUNTIF(B6:AF6,"S2")/2</f>
        <v>0</v>
      </c>
      <c r="AJ6" s="8">
        <f t="shared" ref="AJ6:AJ35" si="4">COUNTIF(B6:AF6,"M")</f>
        <v>0</v>
      </c>
      <c r="AK6" s="8">
        <f t="shared" ref="AK6:AK35" si="5">COUNTIF(B6:AF6,"U")</f>
        <v>0</v>
      </c>
      <c r="AL6" s="23"/>
      <c r="AM6" s="33" t="s">
        <v>103</v>
      </c>
      <c r="AN6" s="25" t="s">
        <v>104</v>
      </c>
      <c r="AO6" s="2"/>
      <c r="AP6" s="2"/>
    </row>
    <row r="7" spans="1:42" s="3" customFormat="1" ht="25.15" customHeight="1" x14ac:dyDescent="0.55000000000000004">
      <c r="A7" s="10" t="s">
        <v>34</v>
      </c>
      <c r="B7" s="22"/>
      <c r="C7" s="22"/>
      <c r="D7" s="22" t="s">
        <v>109</v>
      </c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 t="s">
        <v>109</v>
      </c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8">
        <f t="shared" si="1"/>
        <v>0</v>
      </c>
      <c r="AH7" s="8">
        <f t="shared" si="2"/>
        <v>0</v>
      </c>
      <c r="AI7" s="8">
        <f t="shared" si="3"/>
        <v>0</v>
      </c>
      <c r="AJ7" s="8">
        <f t="shared" si="4"/>
        <v>0</v>
      </c>
      <c r="AK7" s="8">
        <f t="shared" si="5"/>
        <v>0</v>
      </c>
      <c r="AL7" s="23"/>
      <c r="AM7" s="34" t="s">
        <v>22</v>
      </c>
      <c r="AN7" s="25" t="s">
        <v>105</v>
      </c>
      <c r="AO7" s="2"/>
      <c r="AP7" s="2"/>
    </row>
    <row r="8" spans="1:42" s="3" customFormat="1" ht="25.15" customHeight="1" x14ac:dyDescent="0.55000000000000004">
      <c r="A8" s="10" t="s">
        <v>16</v>
      </c>
      <c r="B8" s="22"/>
      <c r="C8" s="22"/>
      <c r="D8" s="22" t="s">
        <v>109</v>
      </c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 t="s">
        <v>109</v>
      </c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8">
        <f t="shared" si="1"/>
        <v>0</v>
      </c>
      <c r="AH8" s="8">
        <f t="shared" si="2"/>
        <v>0</v>
      </c>
      <c r="AI8" s="8">
        <f t="shared" si="3"/>
        <v>0</v>
      </c>
      <c r="AJ8" s="8">
        <f t="shared" si="4"/>
        <v>0</v>
      </c>
      <c r="AK8" s="8">
        <f t="shared" si="5"/>
        <v>0</v>
      </c>
      <c r="AL8" s="23"/>
      <c r="AM8" s="35" t="s">
        <v>106</v>
      </c>
      <c r="AN8" s="25" t="s">
        <v>107</v>
      </c>
      <c r="AO8" s="2"/>
      <c r="AP8" s="2"/>
    </row>
    <row r="9" spans="1:42" s="3" customFormat="1" ht="25.15" customHeight="1" x14ac:dyDescent="0.55000000000000004">
      <c r="A9" s="10" t="s">
        <v>37</v>
      </c>
      <c r="B9" s="22"/>
      <c r="C9" s="22"/>
      <c r="D9" s="22" t="s">
        <v>109</v>
      </c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 t="s">
        <v>109</v>
      </c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2"/>
      <c r="AG9" s="8">
        <f t="shared" si="1"/>
        <v>0</v>
      </c>
      <c r="AH9" s="8">
        <f t="shared" si="2"/>
        <v>0</v>
      </c>
      <c r="AI9" s="8">
        <f t="shared" si="3"/>
        <v>0</v>
      </c>
      <c r="AJ9" s="8">
        <f t="shared" si="4"/>
        <v>0</v>
      </c>
      <c r="AK9" s="8">
        <f t="shared" si="5"/>
        <v>0</v>
      </c>
      <c r="AL9" s="23"/>
      <c r="AM9" s="29" t="s">
        <v>108</v>
      </c>
      <c r="AN9" s="25" t="s">
        <v>109</v>
      </c>
      <c r="AO9" s="2"/>
      <c r="AP9" s="2"/>
    </row>
    <row r="10" spans="1:42" s="3" customFormat="1" ht="25.15" customHeight="1" x14ac:dyDescent="0.55000000000000004">
      <c r="A10" s="10" t="s">
        <v>33</v>
      </c>
      <c r="B10" s="22"/>
      <c r="C10" s="22"/>
      <c r="D10" s="22" t="s">
        <v>109</v>
      </c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 t="s">
        <v>109</v>
      </c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8">
        <f t="shared" si="1"/>
        <v>0</v>
      </c>
      <c r="AH10" s="8">
        <f t="shared" si="2"/>
        <v>0</v>
      </c>
      <c r="AI10" s="8">
        <f t="shared" si="3"/>
        <v>0</v>
      </c>
      <c r="AJ10" s="8">
        <f t="shared" si="4"/>
        <v>0</v>
      </c>
      <c r="AK10" s="8">
        <f t="shared" si="5"/>
        <v>0</v>
      </c>
      <c r="AL10" s="23"/>
      <c r="AM10" s="30" t="s">
        <v>99</v>
      </c>
      <c r="AN10" s="25" t="s">
        <v>110</v>
      </c>
      <c r="AO10" s="2"/>
      <c r="AP10" s="2"/>
    </row>
    <row r="11" spans="1:42" s="3" customFormat="1" ht="25.15" customHeight="1" x14ac:dyDescent="0.55000000000000004">
      <c r="A11" s="10" t="s">
        <v>41</v>
      </c>
      <c r="B11" s="22"/>
      <c r="C11" s="22"/>
      <c r="D11" s="22" t="s">
        <v>109</v>
      </c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 t="s">
        <v>109</v>
      </c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8">
        <f t="shared" si="1"/>
        <v>0</v>
      </c>
      <c r="AH11" s="8">
        <f t="shared" si="2"/>
        <v>0</v>
      </c>
      <c r="AI11" s="8">
        <f t="shared" si="3"/>
        <v>0</v>
      </c>
      <c r="AJ11" s="8">
        <f t="shared" si="4"/>
        <v>0</v>
      </c>
      <c r="AK11" s="8">
        <f t="shared" si="5"/>
        <v>0</v>
      </c>
      <c r="AL11" s="23"/>
      <c r="AM11" s="11"/>
      <c r="AN11" s="40"/>
      <c r="AO11" s="2"/>
      <c r="AP11" s="2"/>
    </row>
    <row r="12" spans="1:42" s="3" customFormat="1" ht="25.15" customHeight="1" x14ac:dyDescent="0.55000000000000004">
      <c r="A12" s="10" t="s">
        <v>39</v>
      </c>
      <c r="B12" s="22"/>
      <c r="C12" s="22"/>
      <c r="D12" s="22" t="s">
        <v>109</v>
      </c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 t="s">
        <v>109</v>
      </c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8">
        <f t="shared" si="1"/>
        <v>0</v>
      </c>
      <c r="AH12" s="8">
        <f t="shared" si="2"/>
        <v>0</v>
      </c>
      <c r="AI12" s="8">
        <f t="shared" si="3"/>
        <v>0</v>
      </c>
      <c r="AJ12" s="8">
        <f t="shared" si="4"/>
        <v>0</v>
      </c>
      <c r="AK12" s="8">
        <f t="shared" si="5"/>
        <v>0</v>
      </c>
      <c r="AL12" s="23"/>
      <c r="AM12" s="11"/>
      <c r="AN12" s="40"/>
      <c r="AO12" s="2"/>
      <c r="AP12" s="2"/>
    </row>
    <row r="13" spans="1:42" s="3" customFormat="1" ht="25.15" customHeight="1" x14ac:dyDescent="0.55000000000000004">
      <c r="A13" s="10" t="s">
        <v>42</v>
      </c>
      <c r="B13" s="22"/>
      <c r="C13" s="22"/>
      <c r="D13" s="22" t="s">
        <v>109</v>
      </c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 t="s">
        <v>109</v>
      </c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8">
        <f t="shared" si="1"/>
        <v>0</v>
      </c>
      <c r="AH13" s="8">
        <f t="shared" si="2"/>
        <v>0</v>
      </c>
      <c r="AI13" s="8">
        <f t="shared" si="3"/>
        <v>0</v>
      </c>
      <c r="AJ13" s="8">
        <f t="shared" si="4"/>
        <v>0</v>
      </c>
      <c r="AK13" s="8">
        <f t="shared" si="5"/>
        <v>0</v>
      </c>
      <c r="AL13" s="23"/>
      <c r="AM13" s="11"/>
      <c r="AN13" s="40"/>
      <c r="AO13" s="2"/>
      <c r="AP13" s="2"/>
    </row>
    <row r="14" spans="1:42" s="3" customFormat="1" ht="25.15" customHeight="1" x14ac:dyDescent="0.55000000000000004">
      <c r="A14" s="10" t="s">
        <v>31</v>
      </c>
      <c r="B14" s="22"/>
      <c r="C14" s="22"/>
      <c r="D14" s="22" t="s">
        <v>109</v>
      </c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 t="s">
        <v>109</v>
      </c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8">
        <f t="shared" si="1"/>
        <v>0</v>
      </c>
      <c r="AH14" s="8">
        <f t="shared" si="2"/>
        <v>0</v>
      </c>
      <c r="AI14" s="8">
        <f t="shared" si="3"/>
        <v>0</v>
      </c>
      <c r="AJ14" s="8">
        <f t="shared" si="4"/>
        <v>0</v>
      </c>
      <c r="AK14" s="8">
        <f t="shared" si="5"/>
        <v>0</v>
      </c>
      <c r="AL14" s="23"/>
      <c r="AM14" s="2"/>
      <c r="AN14" s="2"/>
      <c r="AO14" s="2"/>
      <c r="AP14" s="2"/>
    </row>
    <row r="15" spans="1:42" s="3" customFormat="1" ht="25.15" customHeight="1" x14ac:dyDescent="0.55000000000000004">
      <c r="A15" s="10" t="s">
        <v>36</v>
      </c>
      <c r="B15" s="22"/>
      <c r="C15" s="22"/>
      <c r="D15" s="22" t="s">
        <v>109</v>
      </c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 t="s">
        <v>109</v>
      </c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8">
        <f t="shared" si="1"/>
        <v>0</v>
      </c>
      <c r="AH15" s="8">
        <f t="shared" si="2"/>
        <v>0</v>
      </c>
      <c r="AI15" s="8">
        <f t="shared" si="3"/>
        <v>0</v>
      </c>
      <c r="AJ15" s="8">
        <f t="shared" si="4"/>
        <v>0</v>
      </c>
      <c r="AK15" s="8">
        <f t="shared" si="5"/>
        <v>0</v>
      </c>
      <c r="AL15" s="23"/>
      <c r="AM15" s="2"/>
      <c r="AN15" s="2"/>
      <c r="AO15" s="2"/>
      <c r="AP15" s="2"/>
    </row>
    <row r="16" spans="1:42" s="3" customFormat="1" ht="25.15" customHeight="1" x14ac:dyDescent="0.55000000000000004">
      <c r="A16" s="10" t="s">
        <v>32</v>
      </c>
      <c r="B16" s="22"/>
      <c r="C16" s="22"/>
      <c r="D16" s="22" t="s">
        <v>109</v>
      </c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 t="s">
        <v>109</v>
      </c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8">
        <f t="shared" si="1"/>
        <v>0</v>
      </c>
      <c r="AH16" s="8">
        <f t="shared" si="2"/>
        <v>0</v>
      </c>
      <c r="AI16" s="8">
        <f t="shared" si="3"/>
        <v>0</v>
      </c>
      <c r="AJ16" s="8">
        <f t="shared" si="4"/>
        <v>0</v>
      </c>
      <c r="AK16" s="8">
        <f t="shared" si="5"/>
        <v>0</v>
      </c>
      <c r="AL16" s="2"/>
      <c r="AM16" s="2"/>
      <c r="AN16" s="2"/>
      <c r="AO16" s="2"/>
      <c r="AP16" s="2"/>
    </row>
    <row r="17" spans="1:42" ht="23.5" customHeight="1" x14ac:dyDescent="0.55000000000000004">
      <c r="A17" s="10" t="s">
        <v>28</v>
      </c>
      <c r="B17" s="22"/>
      <c r="C17" s="22"/>
      <c r="D17" s="22"/>
      <c r="E17" s="22" t="s">
        <v>109</v>
      </c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8">
        <f t="shared" si="1"/>
        <v>0</v>
      </c>
      <c r="AH17" s="8">
        <f t="shared" si="2"/>
        <v>0</v>
      </c>
      <c r="AI17" s="8">
        <f t="shared" si="3"/>
        <v>0</v>
      </c>
      <c r="AJ17" s="8">
        <f t="shared" si="4"/>
        <v>0</v>
      </c>
      <c r="AK17" s="8">
        <f t="shared" si="5"/>
        <v>0</v>
      </c>
      <c r="AO17" s="2"/>
      <c r="AP17" s="2"/>
    </row>
    <row r="18" spans="1:42" ht="23.5" customHeight="1" x14ac:dyDescent="0.55000000000000004">
      <c r="A18" s="10" t="s">
        <v>111</v>
      </c>
      <c r="B18" s="22"/>
      <c r="C18" s="22"/>
      <c r="D18" s="22" t="s">
        <v>109</v>
      </c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 t="s">
        <v>109</v>
      </c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8">
        <f t="shared" si="1"/>
        <v>0</v>
      </c>
      <c r="AH18" s="8">
        <f t="shared" si="2"/>
        <v>0</v>
      </c>
      <c r="AI18" s="8">
        <f t="shared" si="3"/>
        <v>0</v>
      </c>
      <c r="AJ18" s="8">
        <f t="shared" si="4"/>
        <v>0</v>
      </c>
      <c r="AK18" s="8">
        <f t="shared" si="5"/>
        <v>0</v>
      </c>
    </row>
    <row r="19" spans="1:42" ht="23.5" customHeight="1" x14ac:dyDescent="0.55000000000000004">
      <c r="A19" s="10" t="s">
        <v>21</v>
      </c>
      <c r="B19" s="22"/>
      <c r="C19" s="22"/>
      <c r="D19" s="22" t="s">
        <v>109</v>
      </c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 t="s">
        <v>109</v>
      </c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8">
        <f t="shared" si="1"/>
        <v>0</v>
      </c>
      <c r="AH19" s="8">
        <f t="shared" si="2"/>
        <v>0</v>
      </c>
      <c r="AI19" s="8">
        <f t="shared" si="3"/>
        <v>0</v>
      </c>
      <c r="AJ19" s="8">
        <f t="shared" si="4"/>
        <v>0</v>
      </c>
      <c r="AK19" s="8">
        <f t="shared" si="5"/>
        <v>0</v>
      </c>
    </row>
    <row r="20" spans="1:42" ht="23.5" customHeight="1" x14ac:dyDescent="0.55000000000000004">
      <c r="A20" s="10" t="s">
        <v>35</v>
      </c>
      <c r="B20" s="22"/>
      <c r="C20" s="22"/>
      <c r="D20" s="22"/>
      <c r="E20" s="22" t="s">
        <v>109</v>
      </c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8">
        <f t="shared" si="1"/>
        <v>0</v>
      </c>
      <c r="AH20" s="8">
        <f t="shared" si="2"/>
        <v>0</v>
      </c>
      <c r="AI20" s="8">
        <f t="shared" si="3"/>
        <v>0</v>
      </c>
      <c r="AJ20" s="8">
        <f t="shared" si="4"/>
        <v>0</v>
      </c>
      <c r="AK20" s="8">
        <f t="shared" si="5"/>
        <v>0</v>
      </c>
    </row>
    <row r="21" spans="1:42" ht="23.5" customHeight="1" x14ac:dyDescent="0.55000000000000004">
      <c r="A21" s="10" t="s">
        <v>43</v>
      </c>
      <c r="B21" s="22"/>
      <c r="C21" s="22"/>
      <c r="D21" s="22" t="s">
        <v>109</v>
      </c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 t="s">
        <v>109</v>
      </c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8">
        <f t="shared" si="1"/>
        <v>0</v>
      </c>
      <c r="AH21" s="8">
        <f t="shared" si="2"/>
        <v>0</v>
      </c>
      <c r="AI21" s="8">
        <f t="shared" si="3"/>
        <v>0</v>
      </c>
      <c r="AJ21" s="8">
        <f t="shared" si="4"/>
        <v>0</v>
      </c>
      <c r="AK21" s="8">
        <f t="shared" si="5"/>
        <v>0</v>
      </c>
    </row>
    <row r="22" spans="1:42" ht="23.5" customHeight="1" x14ac:dyDescent="0.55000000000000004">
      <c r="A22" s="10" t="s">
        <v>112</v>
      </c>
      <c r="B22" s="22"/>
      <c r="C22" s="22"/>
      <c r="D22" s="22" t="s">
        <v>109</v>
      </c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 t="s">
        <v>109</v>
      </c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8">
        <f t="shared" si="1"/>
        <v>0</v>
      </c>
      <c r="AH22" s="8">
        <f t="shared" si="2"/>
        <v>0</v>
      </c>
      <c r="AI22" s="8">
        <f t="shared" si="3"/>
        <v>0</v>
      </c>
      <c r="AJ22" s="8">
        <f t="shared" si="4"/>
        <v>0</v>
      </c>
      <c r="AK22" s="8">
        <f t="shared" si="5"/>
        <v>0</v>
      </c>
    </row>
    <row r="23" spans="1:42" ht="23.5" customHeight="1" x14ac:dyDescent="0.55000000000000004">
      <c r="A23" s="10" t="s">
        <v>26</v>
      </c>
      <c r="B23" s="22"/>
      <c r="C23" s="22"/>
      <c r="D23" s="22" t="s">
        <v>109</v>
      </c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 t="s">
        <v>109</v>
      </c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8">
        <f t="shared" si="1"/>
        <v>0</v>
      </c>
      <c r="AH23" s="8">
        <f t="shared" si="2"/>
        <v>0</v>
      </c>
      <c r="AI23" s="8">
        <f t="shared" si="3"/>
        <v>0</v>
      </c>
      <c r="AJ23" s="8">
        <f t="shared" si="4"/>
        <v>0</v>
      </c>
      <c r="AK23" s="8">
        <f t="shared" si="5"/>
        <v>0</v>
      </c>
    </row>
    <row r="24" spans="1:42" ht="23.5" customHeight="1" x14ac:dyDescent="0.55000000000000004">
      <c r="A24" s="10" t="s">
        <v>27</v>
      </c>
      <c r="B24" s="22"/>
      <c r="C24" s="22"/>
      <c r="D24" s="22" t="s">
        <v>109</v>
      </c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 t="s">
        <v>109</v>
      </c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8">
        <f t="shared" si="1"/>
        <v>0</v>
      </c>
      <c r="AH24" s="8">
        <f t="shared" si="2"/>
        <v>0</v>
      </c>
      <c r="AI24" s="8">
        <f t="shared" si="3"/>
        <v>0</v>
      </c>
      <c r="AJ24" s="8">
        <f t="shared" si="4"/>
        <v>0</v>
      </c>
      <c r="AK24" s="8">
        <f t="shared" si="5"/>
        <v>0</v>
      </c>
    </row>
    <row r="25" spans="1:42" ht="23.5" customHeight="1" x14ac:dyDescent="0.55000000000000004">
      <c r="A25" s="10" t="s">
        <v>20</v>
      </c>
      <c r="B25" s="22"/>
      <c r="C25" s="22"/>
      <c r="D25" s="22" t="s">
        <v>109</v>
      </c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 t="s">
        <v>109</v>
      </c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8">
        <f t="shared" si="1"/>
        <v>0</v>
      </c>
      <c r="AH25" s="8">
        <f t="shared" si="2"/>
        <v>0</v>
      </c>
      <c r="AI25" s="8">
        <f t="shared" si="3"/>
        <v>0</v>
      </c>
      <c r="AJ25" s="8">
        <f t="shared" si="4"/>
        <v>0</v>
      </c>
      <c r="AK25" s="8">
        <f t="shared" si="5"/>
        <v>0</v>
      </c>
    </row>
    <row r="26" spans="1:42" ht="23.5" customHeight="1" x14ac:dyDescent="0.55000000000000004">
      <c r="A26" s="10" t="s">
        <v>38</v>
      </c>
      <c r="B26" s="22"/>
      <c r="C26" s="22"/>
      <c r="D26" s="22" t="s">
        <v>109</v>
      </c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 t="s">
        <v>109</v>
      </c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8">
        <f t="shared" si="1"/>
        <v>0</v>
      </c>
      <c r="AH26" s="8">
        <f t="shared" si="2"/>
        <v>0</v>
      </c>
      <c r="AI26" s="8">
        <f t="shared" si="3"/>
        <v>0</v>
      </c>
      <c r="AJ26" s="8">
        <f t="shared" si="4"/>
        <v>0</v>
      </c>
      <c r="AK26" s="8">
        <f t="shared" si="5"/>
        <v>0</v>
      </c>
    </row>
    <row r="27" spans="1:42" ht="23.5" customHeight="1" x14ac:dyDescent="0.55000000000000004">
      <c r="A27" s="10" t="s">
        <v>25</v>
      </c>
      <c r="B27" s="22"/>
      <c r="C27" s="22"/>
      <c r="D27" s="22" t="s">
        <v>109</v>
      </c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 t="s">
        <v>109</v>
      </c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8">
        <f t="shared" si="1"/>
        <v>0</v>
      </c>
      <c r="AH27" s="8">
        <f t="shared" si="2"/>
        <v>0</v>
      </c>
      <c r="AI27" s="8">
        <f t="shared" si="3"/>
        <v>0</v>
      </c>
      <c r="AJ27" s="8">
        <f t="shared" si="4"/>
        <v>0</v>
      </c>
      <c r="AK27" s="8">
        <f t="shared" si="5"/>
        <v>0</v>
      </c>
    </row>
    <row r="28" spans="1:42" ht="23.5" customHeight="1" x14ac:dyDescent="0.55000000000000004">
      <c r="A28" s="10" t="s">
        <v>40</v>
      </c>
      <c r="B28" s="22"/>
      <c r="C28" s="22"/>
      <c r="D28" s="22" t="s">
        <v>109</v>
      </c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 t="s">
        <v>109</v>
      </c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8">
        <f t="shared" si="1"/>
        <v>0</v>
      </c>
      <c r="AH28" s="8">
        <f t="shared" si="2"/>
        <v>0</v>
      </c>
      <c r="AI28" s="8">
        <f t="shared" si="3"/>
        <v>0</v>
      </c>
      <c r="AJ28" s="8">
        <f t="shared" si="4"/>
        <v>0</v>
      </c>
      <c r="AK28" s="8">
        <f t="shared" si="5"/>
        <v>0</v>
      </c>
    </row>
    <row r="29" spans="1:42" ht="23.5" customHeight="1" x14ac:dyDescent="0.55000000000000004">
      <c r="A29" s="10" t="s">
        <v>24</v>
      </c>
      <c r="B29" s="22"/>
      <c r="C29" s="22"/>
      <c r="D29" s="22" t="s">
        <v>109</v>
      </c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 t="s">
        <v>109</v>
      </c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8">
        <f t="shared" si="1"/>
        <v>0</v>
      </c>
      <c r="AH29" s="8">
        <f t="shared" si="2"/>
        <v>0</v>
      </c>
      <c r="AI29" s="8">
        <f t="shared" si="3"/>
        <v>0</v>
      </c>
      <c r="AJ29" s="8">
        <f t="shared" si="4"/>
        <v>0</v>
      </c>
      <c r="AK29" s="8">
        <f t="shared" si="5"/>
        <v>0</v>
      </c>
    </row>
    <row r="30" spans="1:42" ht="23.5" customHeight="1" x14ac:dyDescent="0.55000000000000004">
      <c r="A30" s="10" t="s">
        <v>23</v>
      </c>
      <c r="B30" s="22"/>
      <c r="C30" s="22"/>
      <c r="D30" s="22"/>
      <c r="E30" s="22" t="s">
        <v>109</v>
      </c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8">
        <f t="shared" si="1"/>
        <v>0</v>
      </c>
      <c r="AH30" s="8">
        <f t="shared" si="2"/>
        <v>0</v>
      </c>
      <c r="AI30" s="8">
        <f t="shared" si="3"/>
        <v>0</v>
      </c>
      <c r="AJ30" s="8">
        <f t="shared" si="4"/>
        <v>0</v>
      </c>
      <c r="AK30" s="8">
        <f t="shared" si="5"/>
        <v>0</v>
      </c>
    </row>
    <row r="31" spans="1:42" ht="23.5" customHeight="1" x14ac:dyDescent="0.55000000000000004">
      <c r="A31" s="10" t="s">
        <v>50</v>
      </c>
      <c r="B31" s="22"/>
      <c r="C31" s="22"/>
      <c r="D31" s="22" t="s">
        <v>109</v>
      </c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 t="s">
        <v>109</v>
      </c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8">
        <f t="shared" si="1"/>
        <v>0</v>
      </c>
      <c r="AH31" s="8">
        <f t="shared" si="2"/>
        <v>0</v>
      </c>
      <c r="AI31" s="8">
        <f t="shared" si="3"/>
        <v>0</v>
      </c>
      <c r="AJ31" s="8">
        <f t="shared" si="4"/>
        <v>0</v>
      </c>
      <c r="AK31" s="8">
        <f t="shared" si="5"/>
        <v>0</v>
      </c>
    </row>
    <row r="32" spans="1:42" ht="23.5" customHeight="1" x14ac:dyDescent="0.55000000000000004">
      <c r="A32" s="10" t="s">
        <v>45</v>
      </c>
      <c r="B32" s="22"/>
      <c r="C32" s="22"/>
      <c r="D32" s="22" t="s">
        <v>109</v>
      </c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 t="s">
        <v>109</v>
      </c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/>
      <c r="AF32" s="22"/>
      <c r="AG32" s="8">
        <f t="shared" si="1"/>
        <v>0</v>
      </c>
      <c r="AH32" s="8">
        <f t="shared" si="2"/>
        <v>0</v>
      </c>
      <c r="AI32" s="8">
        <f t="shared" si="3"/>
        <v>0</v>
      </c>
      <c r="AJ32" s="8">
        <f t="shared" si="4"/>
        <v>0</v>
      </c>
      <c r="AK32" s="8">
        <f t="shared" si="5"/>
        <v>0</v>
      </c>
    </row>
    <row r="33" spans="1:37" ht="23.5" customHeight="1" x14ac:dyDescent="0.55000000000000004">
      <c r="A33" s="10" t="s">
        <v>113</v>
      </c>
      <c r="B33" s="22"/>
      <c r="C33" s="22"/>
      <c r="D33" s="22" t="s">
        <v>109</v>
      </c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 t="s">
        <v>109</v>
      </c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8">
        <f t="shared" si="1"/>
        <v>0</v>
      </c>
      <c r="AH33" s="8">
        <f t="shared" si="2"/>
        <v>0</v>
      </c>
      <c r="AI33" s="8">
        <f t="shared" si="3"/>
        <v>0</v>
      </c>
      <c r="AJ33" s="8">
        <f t="shared" si="4"/>
        <v>0</v>
      </c>
      <c r="AK33" s="8">
        <f t="shared" si="5"/>
        <v>0</v>
      </c>
    </row>
    <row r="34" spans="1:37" ht="23.5" customHeight="1" x14ac:dyDescent="0.55000000000000004">
      <c r="A34" s="10" t="s">
        <v>46</v>
      </c>
      <c r="B34" s="22"/>
      <c r="C34" s="22"/>
      <c r="D34" s="22" t="s">
        <v>109</v>
      </c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 t="s">
        <v>109</v>
      </c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22"/>
      <c r="AG34" s="8">
        <f t="shared" si="1"/>
        <v>0</v>
      </c>
      <c r="AH34" s="8">
        <f t="shared" si="2"/>
        <v>0</v>
      </c>
      <c r="AI34" s="8">
        <f t="shared" si="3"/>
        <v>0</v>
      </c>
      <c r="AJ34" s="8">
        <f t="shared" si="4"/>
        <v>0</v>
      </c>
      <c r="AK34" s="8">
        <f t="shared" si="5"/>
        <v>0</v>
      </c>
    </row>
    <row r="35" spans="1:37" ht="23.5" customHeight="1" x14ac:dyDescent="0.55000000000000004">
      <c r="A35" s="10" t="s">
        <v>53</v>
      </c>
      <c r="B35" s="22"/>
      <c r="C35" s="22"/>
      <c r="D35" s="22" t="s">
        <v>109</v>
      </c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 t="s">
        <v>109</v>
      </c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  <c r="AG35" s="8">
        <f t="shared" si="1"/>
        <v>0</v>
      </c>
      <c r="AH35" s="8">
        <f t="shared" si="2"/>
        <v>0</v>
      </c>
      <c r="AI35" s="8">
        <f t="shared" si="3"/>
        <v>0</v>
      </c>
      <c r="AJ35" s="8">
        <f t="shared" si="4"/>
        <v>0</v>
      </c>
      <c r="AK35" s="8">
        <f t="shared" si="5"/>
        <v>0</v>
      </c>
    </row>
    <row r="36" spans="1:37" ht="23.5" customHeight="1" x14ac:dyDescent="0.55000000000000004">
      <c r="A36" s="10" t="s">
        <v>114</v>
      </c>
      <c r="B36" s="15"/>
      <c r="C36" s="15"/>
      <c r="D36" s="15" t="s">
        <v>109</v>
      </c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 t="s">
        <v>109</v>
      </c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5"/>
      <c r="AG36" s="15"/>
      <c r="AH36" s="15"/>
      <c r="AI36" s="15"/>
      <c r="AJ36" s="15"/>
      <c r="AK36" s="15"/>
    </row>
  </sheetData>
  <mergeCells count="10">
    <mergeCell ref="AM3:AM4"/>
    <mergeCell ref="AN3:AN4"/>
    <mergeCell ref="B5:AC5"/>
    <mergeCell ref="A1:AK2"/>
    <mergeCell ref="A3:A5"/>
    <mergeCell ref="AG3:AG5"/>
    <mergeCell ref="AH3:AH5"/>
    <mergeCell ref="AI3:AI5"/>
    <mergeCell ref="AJ3:AJ5"/>
    <mergeCell ref="AK3:AK5"/>
  </mergeCells>
  <conditionalFormatting sqref="B6:AF35">
    <cfRule type="cellIs" dxfId="50" priority="2" operator="equal">
      <formula>"U"</formula>
    </cfRule>
    <cfRule type="cellIs" dxfId="49" priority="3" operator="equal">
      <formula>"M"</formula>
    </cfRule>
    <cfRule type="beginsWith" dxfId="48" priority="4" operator="beginsWith" text="S">
      <formula>LEFT(B6,1)="S"</formula>
    </cfRule>
    <cfRule type="beginsWith" dxfId="47" priority="5" operator="beginsWith" text="V">
      <formula>LEFT(B6,1)="V"</formula>
    </cfRule>
  </conditionalFormatting>
  <conditionalFormatting sqref="AG6:AK35">
    <cfRule type="cellIs" dxfId="46" priority="1" operator="equal">
      <formula>0</formula>
    </cfRule>
  </conditionalFormatting>
  <dataValidations count="1">
    <dataValidation type="list" allowBlank="1" showInputMessage="1" showErrorMessage="1" sqref="B6:AF35" xr:uid="{00000000-0002-0000-0500-000000000000}">
      <formula1>$AN$6:$AN$13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3D773-6634-42E8-A49F-870B66E0C441}">
  <sheetPr codeName="Sheet6"/>
  <dimension ref="A1:AO37"/>
  <sheetViews>
    <sheetView zoomScale="40" zoomScaleNormal="40" workbookViewId="0">
      <selection sqref="A1:AJ2 A1:AJ35"/>
    </sheetView>
  </sheetViews>
  <sheetFormatPr defaultRowHeight="14.5" x14ac:dyDescent="0.35"/>
  <cols>
    <col min="1" max="1" width="30.7265625" customWidth="1"/>
    <col min="2" max="2" width="5.26953125" bestFit="1" customWidth="1"/>
    <col min="3" max="31" width="5.7265625" customWidth="1"/>
    <col min="32" max="32" width="9.1796875" customWidth="1"/>
    <col min="33" max="36" width="11.26953125" customWidth="1"/>
    <col min="37" max="37" width="9.1796875" customWidth="1"/>
    <col min="38" max="38" width="29.26953125" bestFit="1" customWidth="1"/>
  </cols>
  <sheetData>
    <row r="1" spans="1:41" s="3" customFormat="1" ht="25.15" customHeight="1" x14ac:dyDescent="0.35">
      <c r="A1" s="67" t="s">
        <v>120</v>
      </c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2"/>
      <c r="AL1" s="2"/>
      <c r="AM1" s="2"/>
      <c r="AN1" s="2"/>
      <c r="AO1" s="2"/>
    </row>
    <row r="2" spans="1:41" s="3" customFormat="1" ht="25.15" customHeight="1" x14ac:dyDescent="0.35">
      <c r="A2" s="68"/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  <c r="AA2" s="68"/>
      <c r="AB2" s="68"/>
      <c r="AC2" s="68"/>
      <c r="AD2" s="68"/>
      <c r="AE2" s="68"/>
      <c r="AF2" s="68"/>
      <c r="AG2" s="68"/>
      <c r="AH2" s="68"/>
      <c r="AI2" s="68"/>
      <c r="AJ2" s="68"/>
      <c r="AK2" s="2"/>
      <c r="AL2" s="2"/>
      <c r="AM2" s="2"/>
      <c r="AN2" s="2"/>
      <c r="AO2" s="2"/>
    </row>
    <row r="3" spans="1:41" s="3" customFormat="1" ht="25.15" customHeight="1" x14ac:dyDescent="0.35">
      <c r="A3" s="77" t="s">
        <v>119</v>
      </c>
      <c r="B3" s="38" t="str">
        <f>IF(B4="","",INDEX({"Sun";"Mon";"Tue";"Wen";"Thu";"Fri";"Sat"},WEEKDAY(B4,1)))</f>
        <v>Wen</v>
      </c>
      <c r="C3" s="38" t="str">
        <f>IF(C4="","",INDEX({"Sun";"Mon";"Tue";"Wen";"Thu";"Fri";"Sat"},WEEKDAY(C4,1)))</f>
        <v>Thu</v>
      </c>
      <c r="D3" s="38" t="str">
        <f>IF(D4="","",INDEX({"Sun";"Mon";"Tue";"Wen";"Thu";"Fri";"Sat"},WEEKDAY(D4,1)))</f>
        <v>Fri</v>
      </c>
      <c r="E3" s="38" t="str">
        <f>IF(E4="","",INDEX({"Sun";"Mon";"Tue";"Wen";"Thu";"Fri";"Sat"},WEEKDAY(E4,1)))</f>
        <v>Sat</v>
      </c>
      <c r="F3" s="38" t="str">
        <f>IF(F4="","",INDEX({"Sun";"Mon";"Tue";"Wen";"Thu";"Fri";"Sat"},WEEKDAY(F4,1)))</f>
        <v>Sun</v>
      </c>
      <c r="G3" s="38" t="str">
        <f>IF(G4="","",INDEX({"Sun";"Mon";"Tue";"Wen";"Thu";"Fri";"Sat"},WEEKDAY(G4,1)))</f>
        <v>Mon</v>
      </c>
      <c r="H3" s="38" t="str">
        <f>IF(H4="","",INDEX({"Sun";"Mon";"Tue";"Wen";"Thu";"Fri";"Sat"},WEEKDAY(H4,1)))</f>
        <v>Tue</v>
      </c>
      <c r="I3" s="38" t="str">
        <f>IF(I4="","",INDEX({"Sun";"Mon";"Tue";"Wen";"Thu";"Fri";"Sat"},WEEKDAY(I4,1)))</f>
        <v>Wen</v>
      </c>
      <c r="J3" s="38" t="str">
        <f>IF(J4="","",INDEX({"Sun";"Mon";"Tue";"Wen";"Thu";"Fri";"Sat"},WEEKDAY(J4,1)))</f>
        <v>Thu</v>
      </c>
      <c r="K3" s="38" t="str">
        <f>IF(K4="","",INDEX({"Sun";"Mon";"Tue";"Wen";"Thu";"Fri";"Sat"},WEEKDAY(K4,1)))</f>
        <v>Fri</v>
      </c>
      <c r="L3" s="38" t="str">
        <f>IF(L4="","",INDEX({"Sun";"Mon";"Tue";"Wen";"Thu";"Fri";"Sat"},WEEKDAY(L4,1)))</f>
        <v>Sat</v>
      </c>
      <c r="M3" s="38" t="str">
        <f>IF(M4="","",INDEX({"Sun";"Mon";"Tue";"Wen";"Thu";"Fri";"Sat"},WEEKDAY(M4,1)))</f>
        <v>Sun</v>
      </c>
      <c r="N3" s="38" t="str">
        <f>IF(N4="","",INDEX({"Sun";"Mon";"Tue";"Wen";"Thu";"Fri";"Sat"},WEEKDAY(N4,1)))</f>
        <v>Mon</v>
      </c>
      <c r="O3" s="38" t="str">
        <f>IF(O4="","",INDEX({"Sun";"Mon";"Tue";"Wen";"Thu";"Fri";"Sat"},WEEKDAY(O4,1)))</f>
        <v>Tue</v>
      </c>
      <c r="P3" s="38" t="str">
        <f>IF(P4="","",INDEX({"Sun";"Mon";"Tue";"Wen";"Thu";"Fri";"Sat"},WEEKDAY(P4,1)))</f>
        <v>Wen</v>
      </c>
      <c r="Q3" s="38" t="str">
        <f>IF(Q4="","",INDEX({"Sun";"Mon";"Tue";"Wen";"Thu";"Fri";"Sat"},WEEKDAY(Q4,1)))</f>
        <v>Thu</v>
      </c>
      <c r="R3" s="38" t="str">
        <f>IF(R4="","",INDEX({"Sun";"Mon";"Tue";"Wen";"Thu";"Fri";"Sat"},WEEKDAY(R4,1)))</f>
        <v>Fri</v>
      </c>
      <c r="S3" s="38" t="str">
        <f>IF(S4="","",INDEX({"Sun";"Mon";"Tue";"Wen";"Thu";"Fri";"Sat"},WEEKDAY(S4,1)))</f>
        <v>Sat</v>
      </c>
      <c r="T3" s="38" t="str">
        <f>IF(T4="","",INDEX({"Sun";"Mon";"Tue";"Wen";"Thu";"Fri";"Sat"},WEEKDAY(T4,1)))</f>
        <v>Sun</v>
      </c>
      <c r="U3" s="38" t="str">
        <f>IF(U4="","",INDEX({"Sun";"Mon";"Tue";"Wen";"Thu";"Fri";"Sat"},WEEKDAY(U4,1)))</f>
        <v>Mon</v>
      </c>
      <c r="V3" s="38" t="str">
        <f>IF(V4="","",INDEX({"Sun";"Mon";"Tue";"Wen";"Thu";"Fri";"Sat"},WEEKDAY(V4,1)))</f>
        <v>Tue</v>
      </c>
      <c r="W3" s="38" t="str">
        <f>IF(W4="","",INDEX({"Sun";"Mon";"Tue";"Wen";"Thu";"Fri";"Sat"},WEEKDAY(W4,1)))</f>
        <v>Wen</v>
      </c>
      <c r="X3" s="38" t="str">
        <f>IF(X4="","",INDEX({"Sun";"Mon";"Tue";"Wen";"Thu";"Fri";"Sat"},WEEKDAY(X4,1)))</f>
        <v>Thu</v>
      </c>
      <c r="Y3" s="38" t="str">
        <f>IF(Y4="","",INDEX({"Sun";"Mon";"Tue";"Wen";"Thu";"Fri";"Sat"},WEEKDAY(Y4,1)))</f>
        <v>Fri</v>
      </c>
      <c r="Z3" s="38" t="str">
        <f>IF(Z4="","",INDEX({"Sun";"Mon";"Tue";"Wen";"Thu";"Fri";"Sat"},WEEKDAY(Z4,1)))</f>
        <v>Sat</v>
      </c>
      <c r="AA3" s="38" t="str">
        <f>IF(AA4="","",INDEX({"Sun";"Mon";"Tue";"Wen";"Thu";"Fri";"Sat"},WEEKDAY(AA4,1)))</f>
        <v>Sun</v>
      </c>
      <c r="AB3" s="38" t="str">
        <f>IF(AB4="","",INDEX({"Sun";"Mon";"Tue";"Wen";"Thu";"Fri";"Sat"},WEEKDAY(AB4,1)))</f>
        <v>Mon</v>
      </c>
      <c r="AC3" s="38" t="str">
        <f>IF(AC4="","",INDEX({"Sun";"Mon";"Tue";"Wen";"Thu";"Fri";"Sat"},WEEKDAY(AC4,1)))</f>
        <v>Tue</v>
      </c>
      <c r="AD3" s="38" t="str">
        <f>IF(AD4="","",INDEX({"Sun";"Mon";"Tue";"Wen";"Thu";"Fri";"Sat"},WEEKDAY(AD4,1)))</f>
        <v>Wen</v>
      </c>
      <c r="AE3" s="38" t="str">
        <f>IF(AE4="","",INDEX({"Sun";"Mon";"Tue";"Wen";"Thu";"Fri";"Sat"},WEEKDAY(AE4,1)))</f>
        <v>Thu</v>
      </c>
      <c r="AF3" s="85" t="s">
        <v>95</v>
      </c>
      <c r="AG3" s="71" t="s">
        <v>96</v>
      </c>
      <c r="AH3" s="83" t="s">
        <v>116</v>
      </c>
      <c r="AI3" s="84" t="s">
        <v>98</v>
      </c>
      <c r="AJ3" s="78" t="s">
        <v>99</v>
      </c>
      <c r="AK3" s="19"/>
      <c r="AL3" s="75" t="s">
        <v>117</v>
      </c>
      <c r="AM3" s="75" t="s">
        <v>101</v>
      </c>
      <c r="AN3" s="2"/>
      <c r="AO3" s="2"/>
    </row>
    <row r="4" spans="1:41" s="3" customFormat="1" ht="25.15" customHeight="1" x14ac:dyDescent="0.35">
      <c r="A4" s="77"/>
      <c r="B4" s="39">
        <f>DATE(Year!$B$2,4,1)</f>
        <v>46113</v>
      </c>
      <c r="C4" s="39">
        <f t="shared" ref="C4:AE4" si="0">B4+1</f>
        <v>46114</v>
      </c>
      <c r="D4" s="39">
        <f t="shared" si="0"/>
        <v>46115</v>
      </c>
      <c r="E4" s="39">
        <f t="shared" si="0"/>
        <v>46116</v>
      </c>
      <c r="F4" s="39">
        <f t="shared" si="0"/>
        <v>46117</v>
      </c>
      <c r="G4" s="39">
        <f t="shared" si="0"/>
        <v>46118</v>
      </c>
      <c r="H4" s="39">
        <f t="shared" si="0"/>
        <v>46119</v>
      </c>
      <c r="I4" s="39">
        <f t="shared" si="0"/>
        <v>46120</v>
      </c>
      <c r="J4" s="39">
        <f t="shared" si="0"/>
        <v>46121</v>
      </c>
      <c r="K4" s="39">
        <f t="shared" si="0"/>
        <v>46122</v>
      </c>
      <c r="L4" s="39">
        <f t="shared" si="0"/>
        <v>46123</v>
      </c>
      <c r="M4" s="39">
        <f t="shared" si="0"/>
        <v>46124</v>
      </c>
      <c r="N4" s="39">
        <f t="shared" si="0"/>
        <v>46125</v>
      </c>
      <c r="O4" s="39">
        <f t="shared" si="0"/>
        <v>46126</v>
      </c>
      <c r="P4" s="39">
        <f t="shared" si="0"/>
        <v>46127</v>
      </c>
      <c r="Q4" s="39">
        <f t="shared" si="0"/>
        <v>46128</v>
      </c>
      <c r="R4" s="39">
        <f t="shared" si="0"/>
        <v>46129</v>
      </c>
      <c r="S4" s="39">
        <f t="shared" si="0"/>
        <v>46130</v>
      </c>
      <c r="T4" s="39">
        <f t="shared" si="0"/>
        <v>46131</v>
      </c>
      <c r="U4" s="39">
        <f t="shared" si="0"/>
        <v>46132</v>
      </c>
      <c r="V4" s="39">
        <f t="shared" si="0"/>
        <v>46133</v>
      </c>
      <c r="W4" s="39">
        <f t="shared" si="0"/>
        <v>46134</v>
      </c>
      <c r="X4" s="39">
        <f t="shared" si="0"/>
        <v>46135</v>
      </c>
      <c r="Y4" s="39">
        <f t="shared" si="0"/>
        <v>46136</v>
      </c>
      <c r="Z4" s="39">
        <f t="shared" si="0"/>
        <v>46137</v>
      </c>
      <c r="AA4" s="39">
        <f t="shared" si="0"/>
        <v>46138</v>
      </c>
      <c r="AB4" s="39">
        <f t="shared" si="0"/>
        <v>46139</v>
      </c>
      <c r="AC4" s="39">
        <f t="shared" si="0"/>
        <v>46140</v>
      </c>
      <c r="AD4" s="39">
        <f t="shared" si="0"/>
        <v>46141</v>
      </c>
      <c r="AE4" s="39">
        <f t="shared" si="0"/>
        <v>46142</v>
      </c>
      <c r="AF4" s="85"/>
      <c r="AG4" s="71"/>
      <c r="AH4" s="83"/>
      <c r="AI4" s="84"/>
      <c r="AJ4" s="78"/>
      <c r="AK4" s="19"/>
      <c r="AL4" s="76"/>
      <c r="AM4" s="76"/>
      <c r="AN4" s="2"/>
      <c r="AO4" s="2"/>
    </row>
    <row r="5" spans="1:41" s="3" customFormat="1" ht="24.75" customHeight="1" x14ac:dyDescent="0.55000000000000004">
      <c r="A5" s="9" t="s">
        <v>13</v>
      </c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8">
        <f t="shared" ref="AF5:AF37" si="1">SUM(AG5:AJ5)</f>
        <v>0</v>
      </c>
      <c r="AG5" s="8">
        <f t="shared" ref="AG5:AG37" si="2">COUNTIF(B5:AE5,"V")+COUNTIF(B5:AE5,"V1")/2+COUNTIF(B5:AE5,"V2")/2</f>
        <v>0</v>
      </c>
      <c r="AH5" s="8">
        <f t="shared" ref="AH5:AH37" si="3">COUNTIF(B5:AE5,"S")+COUNTIF(B5:AE5,"S1")/2+COUNTIF(B5:AE5,"S2")/2</f>
        <v>0</v>
      </c>
      <c r="AI5" s="8">
        <f t="shared" ref="AI5:AI37" si="4">COUNTIF(B5:AE5,"M")</f>
        <v>0</v>
      </c>
      <c r="AJ5" s="8">
        <f t="shared" ref="AJ5:AJ37" si="5">COUNTIF(B5:AE5,"U")</f>
        <v>0</v>
      </c>
      <c r="AK5" s="23"/>
      <c r="AL5" s="32" t="s">
        <v>14</v>
      </c>
      <c r="AM5" s="25" t="s">
        <v>102</v>
      </c>
      <c r="AN5" s="2"/>
      <c r="AO5" s="2"/>
    </row>
    <row r="6" spans="1:41" s="3" customFormat="1" ht="25.15" customHeight="1" x14ac:dyDescent="0.55000000000000004">
      <c r="A6" s="10" t="s">
        <v>34</v>
      </c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8">
        <f t="shared" si="1"/>
        <v>0</v>
      </c>
      <c r="AG6" s="8">
        <f t="shared" si="2"/>
        <v>0</v>
      </c>
      <c r="AH6" s="8">
        <f t="shared" si="3"/>
        <v>0</v>
      </c>
      <c r="AI6" s="8">
        <f t="shared" si="4"/>
        <v>0</v>
      </c>
      <c r="AJ6" s="8">
        <f t="shared" si="5"/>
        <v>0</v>
      </c>
      <c r="AK6" s="23"/>
      <c r="AL6" s="33" t="s">
        <v>103</v>
      </c>
      <c r="AM6" s="25" t="s">
        <v>104</v>
      </c>
      <c r="AN6" s="2"/>
      <c r="AO6" s="2"/>
    </row>
    <row r="7" spans="1:41" s="3" customFormat="1" ht="25.15" customHeight="1" x14ac:dyDescent="0.55000000000000004">
      <c r="A7" s="10" t="s">
        <v>16</v>
      </c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8">
        <f t="shared" si="1"/>
        <v>0</v>
      </c>
      <c r="AG7" s="8">
        <f t="shared" si="2"/>
        <v>0</v>
      </c>
      <c r="AH7" s="8">
        <f t="shared" si="3"/>
        <v>0</v>
      </c>
      <c r="AI7" s="8">
        <f t="shared" si="4"/>
        <v>0</v>
      </c>
      <c r="AJ7" s="8">
        <f t="shared" si="5"/>
        <v>0</v>
      </c>
      <c r="AK7" s="23"/>
      <c r="AL7" s="34" t="s">
        <v>22</v>
      </c>
      <c r="AM7" s="25" t="s">
        <v>105</v>
      </c>
      <c r="AN7" s="2"/>
      <c r="AO7" s="2"/>
    </row>
    <row r="8" spans="1:41" s="3" customFormat="1" ht="25.15" customHeight="1" x14ac:dyDescent="0.55000000000000004">
      <c r="A8" s="10" t="s">
        <v>37</v>
      </c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8">
        <f t="shared" si="1"/>
        <v>0</v>
      </c>
      <c r="AG8" s="8">
        <f t="shared" si="2"/>
        <v>0</v>
      </c>
      <c r="AH8" s="8">
        <f t="shared" si="3"/>
        <v>0</v>
      </c>
      <c r="AI8" s="8">
        <f t="shared" si="4"/>
        <v>0</v>
      </c>
      <c r="AJ8" s="8">
        <f t="shared" si="5"/>
        <v>0</v>
      </c>
      <c r="AK8" s="23"/>
      <c r="AL8" s="35" t="s">
        <v>106</v>
      </c>
      <c r="AM8" s="25" t="s">
        <v>107</v>
      </c>
      <c r="AN8" s="2"/>
      <c r="AO8" s="2"/>
    </row>
    <row r="9" spans="1:41" s="3" customFormat="1" ht="25.15" customHeight="1" x14ac:dyDescent="0.55000000000000004">
      <c r="A9" s="10" t="s">
        <v>33</v>
      </c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8">
        <f t="shared" si="1"/>
        <v>0</v>
      </c>
      <c r="AG9" s="8">
        <f t="shared" si="2"/>
        <v>0</v>
      </c>
      <c r="AH9" s="8">
        <f t="shared" si="3"/>
        <v>0</v>
      </c>
      <c r="AI9" s="8">
        <f t="shared" si="4"/>
        <v>0</v>
      </c>
      <c r="AJ9" s="8">
        <f t="shared" si="5"/>
        <v>0</v>
      </c>
      <c r="AK9" s="23"/>
      <c r="AL9" s="29" t="s">
        <v>108</v>
      </c>
      <c r="AM9" s="25" t="s">
        <v>109</v>
      </c>
      <c r="AN9" s="2"/>
      <c r="AO9" s="2"/>
    </row>
    <row r="10" spans="1:41" s="3" customFormat="1" ht="25.15" customHeight="1" x14ac:dyDescent="0.55000000000000004">
      <c r="A10" s="10" t="s">
        <v>41</v>
      </c>
      <c r="B10" s="22"/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8">
        <f t="shared" si="1"/>
        <v>0</v>
      </c>
      <c r="AG10" s="8">
        <f t="shared" si="2"/>
        <v>0</v>
      </c>
      <c r="AH10" s="8">
        <f t="shared" si="3"/>
        <v>0</v>
      </c>
      <c r="AI10" s="8">
        <f t="shared" si="4"/>
        <v>0</v>
      </c>
      <c r="AJ10" s="8">
        <f t="shared" si="5"/>
        <v>0</v>
      </c>
      <c r="AK10" s="23"/>
      <c r="AL10" s="30" t="s">
        <v>99</v>
      </c>
      <c r="AM10" s="25" t="s">
        <v>110</v>
      </c>
      <c r="AN10" s="2"/>
      <c r="AO10" s="2"/>
    </row>
    <row r="11" spans="1:41" s="3" customFormat="1" ht="25.15" customHeight="1" x14ac:dyDescent="0.55000000000000004">
      <c r="A11" s="10" t="s">
        <v>39</v>
      </c>
      <c r="B11" s="22"/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8">
        <f t="shared" si="1"/>
        <v>0</v>
      </c>
      <c r="AG11" s="8">
        <f t="shared" si="2"/>
        <v>0</v>
      </c>
      <c r="AH11" s="8">
        <f t="shared" si="3"/>
        <v>0</v>
      </c>
      <c r="AI11" s="8">
        <f t="shared" si="4"/>
        <v>0</v>
      </c>
      <c r="AJ11" s="8">
        <f t="shared" si="5"/>
        <v>0</v>
      </c>
      <c r="AK11" s="23"/>
      <c r="AL11" s="11"/>
      <c r="AM11" s="40"/>
      <c r="AN11" s="2"/>
      <c r="AO11" s="2"/>
    </row>
    <row r="12" spans="1:41" s="3" customFormat="1" ht="25.15" customHeight="1" x14ac:dyDescent="0.55000000000000004">
      <c r="A12" s="10" t="s">
        <v>42</v>
      </c>
      <c r="B12" s="22"/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8">
        <f t="shared" si="1"/>
        <v>0</v>
      </c>
      <c r="AG12" s="8">
        <f t="shared" si="2"/>
        <v>0</v>
      </c>
      <c r="AH12" s="8">
        <f t="shared" si="3"/>
        <v>0</v>
      </c>
      <c r="AI12" s="8">
        <f t="shared" si="4"/>
        <v>0</v>
      </c>
      <c r="AJ12" s="8">
        <f t="shared" si="5"/>
        <v>0</v>
      </c>
      <c r="AK12" s="23"/>
      <c r="AL12" s="11"/>
      <c r="AM12" s="40"/>
      <c r="AN12" s="2"/>
      <c r="AO12" s="2"/>
    </row>
    <row r="13" spans="1:41" s="3" customFormat="1" ht="25.15" customHeight="1" x14ac:dyDescent="0.55000000000000004">
      <c r="A13" s="10" t="s">
        <v>31</v>
      </c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8">
        <f t="shared" si="1"/>
        <v>0</v>
      </c>
      <c r="AG13" s="8">
        <f t="shared" si="2"/>
        <v>0</v>
      </c>
      <c r="AH13" s="8">
        <f t="shared" si="3"/>
        <v>0</v>
      </c>
      <c r="AI13" s="8">
        <f t="shared" si="4"/>
        <v>0</v>
      </c>
      <c r="AJ13" s="8">
        <f t="shared" si="5"/>
        <v>0</v>
      </c>
      <c r="AK13" s="23"/>
      <c r="AL13" s="2"/>
      <c r="AM13" s="2"/>
      <c r="AN13" s="2"/>
      <c r="AO13" s="2"/>
    </row>
    <row r="14" spans="1:41" s="3" customFormat="1" ht="25.15" customHeight="1" x14ac:dyDescent="0.55000000000000004">
      <c r="A14" s="10" t="s">
        <v>36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8">
        <f t="shared" si="1"/>
        <v>0</v>
      </c>
      <c r="AG14" s="8">
        <f t="shared" si="2"/>
        <v>0</v>
      </c>
      <c r="AH14" s="8">
        <f t="shared" si="3"/>
        <v>0</v>
      </c>
      <c r="AI14" s="8">
        <f t="shared" si="4"/>
        <v>0</v>
      </c>
      <c r="AJ14" s="8">
        <f t="shared" si="5"/>
        <v>0</v>
      </c>
      <c r="AK14" s="23"/>
      <c r="AL14" s="2"/>
      <c r="AM14" s="2"/>
      <c r="AN14" s="2"/>
      <c r="AO14" s="2"/>
    </row>
    <row r="15" spans="1:41" s="3" customFormat="1" ht="25.15" customHeight="1" x14ac:dyDescent="0.55000000000000004">
      <c r="A15" s="10" t="s">
        <v>32</v>
      </c>
      <c r="B15" s="22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8">
        <f t="shared" si="1"/>
        <v>0</v>
      </c>
      <c r="AG15" s="8">
        <f t="shared" si="2"/>
        <v>0</v>
      </c>
      <c r="AH15" s="8">
        <f t="shared" si="3"/>
        <v>0</v>
      </c>
      <c r="AI15" s="8">
        <f t="shared" si="4"/>
        <v>0</v>
      </c>
      <c r="AJ15" s="8">
        <f t="shared" si="5"/>
        <v>0</v>
      </c>
      <c r="AK15" s="2"/>
      <c r="AL15" s="2"/>
      <c r="AM15" s="2"/>
      <c r="AN15" s="2"/>
      <c r="AO15" s="2"/>
    </row>
    <row r="16" spans="1:41" ht="23.5" customHeight="1" x14ac:dyDescent="0.55000000000000004">
      <c r="A16" s="10" t="s">
        <v>28</v>
      </c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 t="s">
        <v>109</v>
      </c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8">
        <f t="shared" si="1"/>
        <v>0</v>
      </c>
      <c r="AG16" s="8">
        <f t="shared" si="2"/>
        <v>0</v>
      </c>
      <c r="AH16" s="8">
        <f t="shared" si="3"/>
        <v>0</v>
      </c>
      <c r="AI16" s="8">
        <f t="shared" si="4"/>
        <v>0</v>
      </c>
      <c r="AJ16" s="8">
        <f t="shared" si="5"/>
        <v>0</v>
      </c>
      <c r="AN16" s="2"/>
      <c r="AO16" s="2"/>
    </row>
    <row r="17" spans="1:36" ht="23.5" customHeight="1" x14ac:dyDescent="0.55000000000000004">
      <c r="A17" s="10" t="s">
        <v>111</v>
      </c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8">
        <f t="shared" si="1"/>
        <v>0</v>
      </c>
      <c r="AG17" s="8">
        <f t="shared" si="2"/>
        <v>0</v>
      </c>
      <c r="AH17" s="8">
        <f t="shared" si="3"/>
        <v>0</v>
      </c>
      <c r="AI17" s="8">
        <f t="shared" si="4"/>
        <v>0</v>
      </c>
      <c r="AJ17" s="8">
        <f t="shared" si="5"/>
        <v>0</v>
      </c>
    </row>
    <row r="18" spans="1:36" ht="23.5" customHeight="1" x14ac:dyDescent="0.55000000000000004">
      <c r="A18" s="10" t="s">
        <v>21</v>
      </c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8">
        <f t="shared" si="1"/>
        <v>0</v>
      </c>
      <c r="AG18" s="8">
        <f t="shared" si="2"/>
        <v>0</v>
      </c>
      <c r="AH18" s="8">
        <f t="shared" si="3"/>
        <v>0</v>
      </c>
      <c r="AI18" s="8">
        <f t="shared" si="4"/>
        <v>0</v>
      </c>
      <c r="AJ18" s="8">
        <f t="shared" si="5"/>
        <v>0</v>
      </c>
    </row>
    <row r="19" spans="1:36" ht="23.5" customHeight="1" x14ac:dyDescent="0.55000000000000004">
      <c r="A19" s="10" t="s">
        <v>35</v>
      </c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 t="s">
        <v>109</v>
      </c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8">
        <f t="shared" si="1"/>
        <v>0</v>
      </c>
      <c r="AG19" s="8">
        <f t="shared" si="2"/>
        <v>0</v>
      </c>
      <c r="AH19" s="8">
        <f t="shared" si="3"/>
        <v>0</v>
      </c>
      <c r="AI19" s="8">
        <f t="shared" si="4"/>
        <v>0</v>
      </c>
      <c r="AJ19" s="8">
        <f t="shared" si="5"/>
        <v>0</v>
      </c>
    </row>
    <row r="20" spans="1:36" ht="23.5" customHeight="1" x14ac:dyDescent="0.55000000000000004">
      <c r="A20" s="10" t="s">
        <v>43</v>
      </c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8">
        <f t="shared" si="1"/>
        <v>0</v>
      </c>
      <c r="AG20" s="8">
        <f t="shared" si="2"/>
        <v>0</v>
      </c>
      <c r="AH20" s="8">
        <f t="shared" si="3"/>
        <v>0</v>
      </c>
      <c r="AI20" s="8">
        <f t="shared" si="4"/>
        <v>0</v>
      </c>
      <c r="AJ20" s="8">
        <f t="shared" si="5"/>
        <v>0</v>
      </c>
    </row>
    <row r="21" spans="1:36" ht="23.5" customHeight="1" x14ac:dyDescent="0.55000000000000004">
      <c r="A21" s="10" t="s">
        <v>112</v>
      </c>
      <c r="B21" s="22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8">
        <f t="shared" si="1"/>
        <v>0</v>
      </c>
      <c r="AG21" s="8">
        <f t="shared" si="2"/>
        <v>0</v>
      </c>
      <c r="AH21" s="8">
        <f t="shared" si="3"/>
        <v>0</v>
      </c>
      <c r="AI21" s="8">
        <f t="shared" si="4"/>
        <v>0</v>
      </c>
      <c r="AJ21" s="8">
        <f t="shared" si="5"/>
        <v>0</v>
      </c>
    </row>
    <row r="22" spans="1:36" ht="23.5" customHeight="1" x14ac:dyDescent="0.55000000000000004">
      <c r="A22" s="10" t="s">
        <v>26</v>
      </c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8">
        <f t="shared" si="1"/>
        <v>0</v>
      </c>
      <c r="AG22" s="8">
        <f t="shared" si="2"/>
        <v>0</v>
      </c>
      <c r="AH22" s="8">
        <f t="shared" si="3"/>
        <v>0</v>
      </c>
      <c r="AI22" s="8">
        <f t="shared" si="4"/>
        <v>0</v>
      </c>
      <c r="AJ22" s="8">
        <f t="shared" si="5"/>
        <v>0</v>
      </c>
    </row>
    <row r="23" spans="1:36" ht="23.5" customHeight="1" x14ac:dyDescent="0.55000000000000004">
      <c r="A23" s="10" t="s">
        <v>27</v>
      </c>
      <c r="B23" s="22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8">
        <f t="shared" si="1"/>
        <v>0</v>
      </c>
      <c r="AG23" s="8">
        <f t="shared" si="2"/>
        <v>0</v>
      </c>
      <c r="AH23" s="8">
        <f t="shared" si="3"/>
        <v>0</v>
      </c>
      <c r="AI23" s="8">
        <f t="shared" si="4"/>
        <v>0</v>
      </c>
      <c r="AJ23" s="8">
        <f t="shared" si="5"/>
        <v>0</v>
      </c>
    </row>
    <row r="24" spans="1:36" ht="23.5" customHeight="1" x14ac:dyDescent="0.55000000000000004">
      <c r="A24" s="10" t="s">
        <v>20</v>
      </c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8">
        <f t="shared" si="1"/>
        <v>0</v>
      </c>
      <c r="AG24" s="8">
        <f t="shared" si="2"/>
        <v>0</v>
      </c>
      <c r="AH24" s="8">
        <f t="shared" si="3"/>
        <v>0</v>
      </c>
      <c r="AI24" s="8">
        <f t="shared" si="4"/>
        <v>0</v>
      </c>
      <c r="AJ24" s="8">
        <f t="shared" si="5"/>
        <v>0</v>
      </c>
    </row>
    <row r="25" spans="1:36" ht="23.5" customHeight="1" x14ac:dyDescent="0.55000000000000004">
      <c r="A25" s="10" t="s">
        <v>38</v>
      </c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8">
        <f t="shared" si="1"/>
        <v>0</v>
      </c>
      <c r="AG25" s="8">
        <f t="shared" si="2"/>
        <v>0</v>
      </c>
      <c r="AH25" s="8">
        <f t="shared" si="3"/>
        <v>0</v>
      </c>
      <c r="AI25" s="8">
        <f t="shared" si="4"/>
        <v>0</v>
      </c>
      <c r="AJ25" s="8">
        <f t="shared" si="5"/>
        <v>0</v>
      </c>
    </row>
    <row r="26" spans="1:36" ht="23.5" customHeight="1" x14ac:dyDescent="0.55000000000000004">
      <c r="A26" s="10" t="s">
        <v>25</v>
      </c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8">
        <f t="shared" si="1"/>
        <v>0</v>
      </c>
      <c r="AG26" s="8">
        <f t="shared" si="2"/>
        <v>0</v>
      </c>
      <c r="AH26" s="8">
        <f t="shared" si="3"/>
        <v>0</v>
      </c>
      <c r="AI26" s="8">
        <f t="shared" si="4"/>
        <v>0</v>
      </c>
      <c r="AJ26" s="8">
        <f t="shared" si="5"/>
        <v>0</v>
      </c>
    </row>
    <row r="27" spans="1:36" ht="23.5" customHeight="1" x14ac:dyDescent="0.55000000000000004">
      <c r="A27" s="10" t="s">
        <v>40</v>
      </c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8">
        <f t="shared" si="1"/>
        <v>0</v>
      </c>
      <c r="AG27" s="8">
        <f t="shared" si="2"/>
        <v>0</v>
      </c>
      <c r="AH27" s="8">
        <f t="shared" si="3"/>
        <v>0</v>
      </c>
      <c r="AI27" s="8">
        <f t="shared" si="4"/>
        <v>0</v>
      </c>
      <c r="AJ27" s="8">
        <f t="shared" si="5"/>
        <v>0</v>
      </c>
    </row>
    <row r="28" spans="1:36" ht="23.5" customHeight="1" x14ac:dyDescent="0.55000000000000004">
      <c r="A28" s="10" t="s">
        <v>24</v>
      </c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8">
        <f t="shared" si="1"/>
        <v>0</v>
      </c>
      <c r="AG28" s="8">
        <f t="shared" si="2"/>
        <v>0</v>
      </c>
      <c r="AH28" s="8">
        <f t="shared" si="3"/>
        <v>0</v>
      </c>
      <c r="AI28" s="8">
        <f t="shared" si="4"/>
        <v>0</v>
      </c>
      <c r="AJ28" s="8">
        <f t="shared" si="5"/>
        <v>0</v>
      </c>
    </row>
    <row r="29" spans="1:36" ht="23.5" customHeight="1" x14ac:dyDescent="0.55000000000000004">
      <c r="A29" s="10" t="s">
        <v>23</v>
      </c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 t="s">
        <v>109</v>
      </c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8">
        <f t="shared" si="1"/>
        <v>0</v>
      </c>
      <c r="AG29" s="8">
        <f t="shared" si="2"/>
        <v>0</v>
      </c>
      <c r="AH29" s="8">
        <f t="shared" si="3"/>
        <v>0</v>
      </c>
      <c r="AI29" s="8">
        <f t="shared" si="4"/>
        <v>0</v>
      </c>
      <c r="AJ29" s="8">
        <f t="shared" si="5"/>
        <v>0</v>
      </c>
    </row>
    <row r="30" spans="1:36" ht="23.5" customHeight="1" x14ac:dyDescent="0.55000000000000004">
      <c r="A30" s="10" t="s">
        <v>50</v>
      </c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8">
        <f t="shared" si="1"/>
        <v>0</v>
      </c>
      <c r="AG30" s="8">
        <f t="shared" si="2"/>
        <v>0</v>
      </c>
      <c r="AH30" s="8">
        <f t="shared" si="3"/>
        <v>0</v>
      </c>
      <c r="AI30" s="8">
        <f t="shared" si="4"/>
        <v>0</v>
      </c>
      <c r="AJ30" s="8">
        <f t="shared" si="5"/>
        <v>0</v>
      </c>
    </row>
    <row r="31" spans="1:36" ht="23.5" customHeight="1" x14ac:dyDescent="0.55000000000000004">
      <c r="A31" s="10" t="s">
        <v>45</v>
      </c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8">
        <f t="shared" si="1"/>
        <v>0</v>
      </c>
      <c r="AG31" s="8">
        <f t="shared" si="2"/>
        <v>0</v>
      </c>
      <c r="AH31" s="8">
        <f t="shared" si="3"/>
        <v>0</v>
      </c>
      <c r="AI31" s="8">
        <f t="shared" si="4"/>
        <v>0</v>
      </c>
      <c r="AJ31" s="8">
        <f t="shared" si="5"/>
        <v>0</v>
      </c>
    </row>
    <row r="32" spans="1:36" ht="23.5" customHeight="1" x14ac:dyDescent="0.55000000000000004">
      <c r="A32" s="10" t="s">
        <v>113</v>
      </c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/>
      <c r="AF32" s="8">
        <f t="shared" si="1"/>
        <v>0</v>
      </c>
      <c r="AG32" s="8">
        <f t="shared" si="2"/>
        <v>0</v>
      </c>
      <c r="AH32" s="8">
        <f t="shared" si="3"/>
        <v>0</v>
      </c>
      <c r="AI32" s="8">
        <f t="shared" si="4"/>
        <v>0</v>
      </c>
      <c r="AJ32" s="8">
        <f t="shared" si="5"/>
        <v>0</v>
      </c>
    </row>
    <row r="33" spans="1:36" ht="23.5" customHeight="1" x14ac:dyDescent="0.55000000000000004">
      <c r="A33" s="10" t="s">
        <v>46</v>
      </c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8">
        <f t="shared" si="1"/>
        <v>0</v>
      </c>
      <c r="AG33" s="8">
        <f t="shared" si="2"/>
        <v>0</v>
      </c>
      <c r="AH33" s="8">
        <f t="shared" si="3"/>
        <v>0</v>
      </c>
      <c r="AI33" s="8">
        <f t="shared" si="4"/>
        <v>0</v>
      </c>
      <c r="AJ33" s="8">
        <f t="shared" si="5"/>
        <v>0</v>
      </c>
    </row>
    <row r="34" spans="1:36" ht="23.5" customHeight="1" x14ac:dyDescent="0.55000000000000004">
      <c r="A34" s="10" t="s">
        <v>53</v>
      </c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8">
        <f t="shared" si="1"/>
        <v>0</v>
      </c>
      <c r="AG34" s="8">
        <f t="shared" si="2"/>
        <v>0</v>
      </c>
      <c r="AH34" s="8">
        <f t="shared" si="3"/>
        <v>0</v>
      </c>
      <c r="AI34" s="8">
        <f t="shared" si="4"/>
        <v>0</v>
      </c>
      <c r="AJ34" s="8">
        <f t="shared" si="5"/>
        <v>0</v>
      </c>
    </row>
    <row r="35" spans="1:36" ht="23.5" customHeight="1" x14ac:dyDescent="0.55000000000000004">
      <c r="A35" s="10" t="s">
        <v>114</v>
      </c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8">
        <f t="shared" si="1"/>
        <v>0</v>
      </c>
      <c r="AG35" s="8">
        <f t="shared" si="2"/>
        <v>0</v>
      </c>
      <c r="AH35" s="8">
        <f t="shared" si="3"/>
        <v>0</v>
      </c>
      <c r="AI35" s="8">
        <f t="shared" si="4"/>
        <v>0</v>
      </c>
      <c r="AJ35" s="8">
        <f t="shared" si="5"/>
        <v>0</v>
      </c>
    </row>
    <row r="36" spans="1:36" ht="15.5" customHeight="1" x14ac:dyDescent="0.35">
      <c r="B36" s="41"/>
      <c r="C36" s="41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">
        <f t="shared" si="1"/>
        <v>0</v>
      </c>
      <c r="AG36" s="4">
        <f t="shared" si="2"/>
        <v>0</v>
      </c>
      <c r="AH36" s="4">
        <f t="shared" si="3"/>
        <v>0</v>
      </c>
      <c r="AI36" s="5">
        <f t="shared" si="4"/>
        <v>0</v>
      </c>
      <c r="AJ36" s="4">
        <f t="shared" si="5"/>
        <v>0</v>
      </c>
    </row>
    <row r="37" spans="1:36" ht="15.5" customHeight="1" x14ac:dyDescent="0.35">
      <c r="B37" s="41"/>
      <c r="C37" s="41"/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">
        <f t="shared" si="1"/>
        <v>0</v>
      </c>
      <c r="AG37" s="4">
        <f t="shared" si="2"/>
        <v>0</v>
      </c>
      <c r="AH37" s="4">
        <f t="shared" si="3"/>
        <v>0</v>
      </c>
      <c r="AI37" s="5">
        <f t="shared" si="4"/>
        <v>0</v>
      </c>
      <c r="AJ37" s="6">
        <f t="shared" si="5"/>
        <v>0</v>
      </c>
    </row>
  </sheetData>
  <mergeCells count="9">
    <mergeCell ref="AL3:AL4"/>
    <mergeCell ref="AM3:AM4"/>
    <mergeCell ref="A1:AJ2"/>
    <mergeCell ref="A3:A4"/>
    <mergeCell ref="AF3:AF4"/>
    <mergeCell ref="AG3:AG4"/>
    <mergeCell ref="AH3:AH4"/>
    <mergeCell ref="AI3:AI4"/>
    <mergeCell ref="AJ3:AJ4"/>
  </mergeCells>
  <conditionalFormatting sqref="B5:AE37">
    <cfRule type="cellIs" dxfId="45" priority="2" operator="equal">
      <formula>"U"</formula>
    </cfRule>
    <cfRule type="cellIs" dxfId="44" priority="3" operator="equal">
      <formula>"M"</formula>
    </cfRule>
    <cfRule type="beginsWith" dxfId="43" priority="4" operator="beginsWith" text="S">
      <formula>LEFT(B5,1)="S"</formula>
    </cfRule>
    <cfRule type="beginsWith" dxfId="42" priority="5" operator="beginsWith" text="V">
      <formula>LEFT(B5,1)="V"</formula>
    </cfRule>
  </conditionalFormatting>
  <conditionalFormatting sqref="AF5:AJ37">
    <cfRule type="cellIs" dxfId="41" priority="1" operator="equal">
      <formula>0</formula>
    </cfRule>
  </conditionalFormatting>
  <dataValidations count="1">
    <dataValidation type="list" allowBlank="1" showInputMessage="1" showErrorMessage="1" sqref="B5:AE37" xr:uid="{00000000-0002-0000-0600-000000000000}">
      <formula1>$AM$5:$AM$12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FCDAC-E9E5-4D27-B87D-EA3634B43496}">
  <sheetPr codeName="Sheet7"/>
  <dimension ref="A1:AP35"/>
  <sheetViews>
    <sheetView zoomScale="25" zoomScaleNormal="25" workbookViewId="0">
      <selection sqref="A1:AK2 A1:AK35"/>
    </sheetView>
  </sheetViews>
  <sheetFormatPr defaultRowHeight="14.5" x14ac:dyDescent="0.35"/>
  <cols>
    <col min="1" max="1" width="28.81640625" customWidth="1"/>
    <col min="2" max="2" width="5.26953125" bestFit="1" customWidth="1"/>
    <col min="3" max="32" width="5.7265625" customWidth="1"/>
    <col min="33" max="33" width="9.1796875" customWidth="1"/>
    <col min="34" max="37" width="11.26953125" customWidth="1"/>
    <col min="38" max="38" width="9.1796875" customWidth="1"/>
    <col min="39" max="39" width="29.26953125" bestFit="1" customWidth="1"/>
  </cols>
  <sheetData>
    <row r="1" spans="1:42" s="3" customFormat="1" ht="25.15" customHeight="1" x14ac:dyDescent="0.35">
      <c r="A1" s="67" t="s">
        <v>121</v>
      </c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2"/>
      <c r="AM1" s="2"/>
      <c r="AN1" s="2"/>
      <c r="AO1" s="2"/>
      <c r="AP1" s="2"/>
    </row>
    <row r="2" spans="1:42" s="3" customFormat="1" ht="25.15" customHeight="1" x14ac:dyDescent="0.35">
      <c r="A2" s="68"/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  <c r="AA2" s="68"/>
      <c r="AB2" s="68"/>
      <c r="AC2" s="68"/>
      <c r="AD2" s="68"/>
      <c r="AE2" s="68"/>
      <c r="AF2" s="68"/>
      <c r="AG2" s="68"/>
      <c r="AH2" s="68"/>
      <c r="AI2" s="68"/>
      <c r="AJ2" s="68"/>
      <c r="AK2" s="68"/>
      <c r="AL2" s="2"/>
      <c r="AM2" s="2"/>
      <c r="AN2" s="2"/>
      <c r="AO2" s="2"/>
      <c r="AP2" s="2"/>
    </row>
    <row r="3" spans="1:42" s="3" customFormat="1" ht="25.15" customHeight="1" x14ac:dyDescent="0.35">
      <c r="A3" s="77" t="s">
        <v>119</v>
      </c>
      <c r="B3" s="38" t="str">
        <f>IF(B4="","",INDEX({"Sun";"Mon";"Tue";"Wen";"Thu";"Fri";"Sat"},WEEKDAY(B4,1)))</f>
        <v>Fri</v>
      </c>
      <c r="C3" s="38" t="str">
        <f>IF(C4="","",INDEX({"Sun";"Mon";"Tue";"Wen";"Thu";"Fri";"Sat"},WEEKDAY(C4,1)))</f>
        <v>Sat</v>
      </c>
      <c r="D3" s="38" t="str">
        <f>IF(D4="","",INDEX({"Sun";"Mon";"Tue";"Wen";"Thu";"Fri";"Sat"},WEEKDAY(D4,1)))</f>
        <v>Sun</v>
      </c>
      <c r="E3" s="38" t="str">
        <f>IF(E4="","",INDEX({"Sun";"Mon";"Tue";"Wen";"Thu";"Fri";"Sat"},WEEKDAY(E4,1)))</f>
        <v>Mon</v>
      </c>
      <c r="F3" s="38" t="str">
        <f>IF(F4="","",INDEX({"Sun";"Mon";"Tue";"Wen";"Thu";"Fri";"Sat"},WEEKDAY(F4,1)))</f>
        <v>Tue</v>
      </c>
      <c r="G3" s="38" t="str">
        <f>IF(G4="","",INDEX({"Sun";"Mon";"Tue";"Wen";"Thu";"Fri";"Sat"},WEEKDAY(G4,1)))</f>
        <v>Wen</v>
      </c>
      <c r="H3" s="38" t="str">
        <f>IF(H4="","",INDEX({"Sun";"Mon";"Tue";"Wen";"Thu";"Fri";"Sat"},WEEKDAY(H4,1)))</f>
        <v>Thu</v>
      </c>
      <c r="I3" s="38" t="str">
        <f>IF(I4="","",INDEX({"Sun";"Mon";"Tue";"Wen";"Thu";"Fri";"Sat"},WEEKDAY(I4,1)))</f>
        <v>Fri</v>
      </c>
      <c r="J3" s="38" t="str">
        <f>IF(J4="","",INDEX({"Sun";"Mon";"Tue";"Wen";"Thu";"Fri";"Sat"},WEEKDAY(J4,1)))</f>
        <v>Sat</v>
      </c>
      <c r="K3" s="38" t="str">
        <f>IF(K4="","",INDEX({"Sun";"Mon";"Tue";"Wen";"Thu";"Fri";"Sat"},WEEKDAY(K4,1)))</f>
        <v>Sun</v>
      </c>
      <c r="L3" s="38" t="str">
        <f>IF(L4="","",INDEX({"Sun";"Mon";"Tue";"Wen";"Thu";"Fri";"Sat"},WEEKDAY(L4,1)))</f>
        <v>Mon</v>
      </c>
      <c r="M3" s="38" t="str">
        <f>IF(M4="","",INDEX({"Sun";"Mon";"Tue";"Wen";"Thu";"Fri";"Sat"},WEEKDAY(M4,1)))</f>
        <v>Tue</v>
      </c>
      <c r="N3" s="38" t="str">
        <f>IF(N4="","",INDEX({"Sun";"Mon";"Tue";"Wen";"Thu";"Fri";"Sat"},WEEKDAY(N4,1)))</f>
        <v>Wen</v>
      </c>
      <c r="O3" s="38" t="str">
        <f>IF(O4="","",INDEX({"Sun";"Mon";"Tue";"Wen";"Thu";"Fri";"Sat"},WEEKDAY(O4,1)))</f>
        <v>Thu</v>
      </c>
      <c r="P3" s="38" t="str">
        <f>IF(P4="","",INDEX({"Sun";"Mon";"Tue";"Wen";"Thu";"Fri";"Sat"},WEEKDAY(P4,1)))</f>
        <v>Fri</v>
      </c>
      <c r="Q3" s="38" t="str">
        <f>IF(Q4="","",INDEX({"Sun";"Mon";"Tue";"Wen";"Thu";"Fri";"Sat"},WEEKDAY(Q4,1)))</f>
        <v>Sat</v>
      </c>
      <c r="R3" s="38" t="str">
        <f>IF(R4="","",INDEX({"Sun";"Mon";"Tue";"Wen";"Thu";"Fri";"Sat"},WEEKDAY(R4,1)))</f>
        <v>Sun</v>
      </c>
      <c r="S3" s="38" t="str">
        <f>IF(S4="","",INDEX({"Sun";"Mon";"Tue";"Wen";"Thu";"Fri";"Sat"},WEEKDAY(S4,1)))</f>
        <v>Mon</v>
      </c>
      <c r="T3" s="38" t="str">
        <f>IF(T4="","",INDEX({"Sun";"Mon";"Tue";"Wen";"Thu";"Fri";"Sat"},WEEKDAY(T4,1)))</f>
        <v>Tue</v>
      </c>
      <c r="U3" s="38" t="str">
        <f>IF(U4="","",INDEX({"Sun";"Mon";"Tue";"Wen";"Thu";"Fri";"Sat"},WEEKDAY(U4,1)))</f>
        <v>Wen</v>
      </c>
      <c r="V3" s="38" t="str">
        <f>IF(V4="","",INDEX({"Sun";"Mon";"Tue";"Wen";"Thu";"Fri";"Sat"},WEEKDAY(V4,1)))</f>
        <v>Thu</v>
      </c>
      <c r="W3" s="38" t="str">
        <f>IF(W4="","",INDEX({"Sun";"Mon";"Tue";"Wen";"Thu";"Fri";"Sat"},WEEKDAY(W4,1)))</f>
        <v>Fri</v>
      </c>
      <c r="X3" s="38" t="str">
        <f>IF(X4="","",INDEX({"Sun";"Mon";"Tue";"Wen";"Thu";"Fri";"Sat"},WEEKDAY(X4,1)))</f>
        <v>Sat</v>
      </c>
      <c r="Y3" s="38" t="str">
        <f>IF(Y4="","",INDEX({"Sun";"Mon";"Tue";"Wen";"Thu";"Fri";"Sat"},WEEKDAY(Y4,1)))</f>
        <v>Sun</v>
      </c>
      <c r="Z3" s="38" t="str">
        <f>IF(Z4="","",INDEX({"Sun";"Mon";"Tue";"Wen";"Thu";"Fri";"Sat"},WEEKDAY(Z4,1)))</f>
        <v>Mon</v>
      </c>
      <c r="AA3" s="38" t="str">
        <f>IF(AA4="","",INDEX({"Sun";"Mon";"Tue";"Wen";"Thu";"Fri";"Sat"},WEEKDAY(AA4,1)))</f>
        <v>Tue</v>
      </c>
      <c r="AB3" s="38" t="str">
        <f>IF(AB4="","",INDEX({"Sun";"Mon";"Tue";"Wen";"Thu";"Fri";"Sat"},WEEKDAY(AB4,1)))</f>
        <v>Wen</v>
      </c>
      <c r="AC3" s="38" t="str">
        <f>IF(AC4="","",INDEX({"Sun";"Mon";"Tue";"Wen";"Thu";"Fri";"Sat"},WEEKDAY(AC4,1)))</f>
        <v>Thu</v>
      </c>
      <c r="AD3" s="38" t="str">
        <f>IF(AD4="","",INDEX({"Sun";"Mon";"Tue";"Wen";"Thu";"Fri";"Sat"},WEEKDAY(AD4,1)))</f>
        <v>Fri</v>
      </c>
      <c r="AE3" s="38" t="str">
        <f>IF(AE4="","",INDEX({"Sun";"Mon";"Tue";"Wen";"Thu";"Fri";"Sat"},WEEKDAY(AE4,1)))</f>
        <v>Sat</v>
      </c>
      <c r="AF3" s="38" t="str">
        <f>IF(AF4="","",INDEX({"Sun";"Mon";"Tue";"Wen";"Thu";"Fri";"Sat"},WEEKDAY(AF4,1)))</f>
        <v>Sun</v>
      </c>
      <c r="AG3" s="85" t="s">
        <v>95</v>
      </c>
      <c r="AH3" s="71" t="s">
        <v>96</v>
      </c>
      <c r="AI3" s="83" t="s">
        <v>116</v>
      </c>
      <c r="AJ3" s="84" t="s">
        <v>98</v>
      </c>
      <c r="AK3" s="78" t="s">
        <v>99</v>
      </c>
      <c r="AL3" s="19"/>
      <c r="AM3" s="75" t="s">
        <v>117</v>
      </c>
      <c r="AN3" s="75" t="s">
        <v>101</v>
      </c>
      <c r="AO3" s="2"/>
      <c r="AP3" s="2"/>
    </row>
    <row r="4" spans="1:42" s="3" customFormat="1" ht="25.15" customHeight="1" x14ac:dyDescent="0.35">
      <c r="A4" s="77"/>
      <c r="B4" s="39">
        <f>DATE(Year!$B$2,5,1)</f>
        <v>46143</v>
      </c>
      <c r="C4" s="39">
        <f t="shared" ref="C4:AF4" si="0">B4+1</f>
        <v>46144</v>
      </c>
      <c r="D4" s="39">
        <f t="shared" si="0"/>
        <v>46145</v>
      </c>
      <c r="E4" s="39">
        <f t="shared" si="0"/>
        <v>46146</v>
      </c>
      <c r="F4" s="39">
        <f t="shared" si="0"/>
        <v>46147</v>
      </c>
      <c r="G4" s="39">
        <f t="shared" si="0"/>
        <v>46148</v>
      </c>
      <c r="H4" s="39">
        <f t="shared" si="0"/>
        <v>46149</v>
      </c>
      <c r="I4" s="39">
        <f t="shared" si="0"/>
        <v>46150</v>
      </c>
      <c r="J4" s="39">
        <f t="shared" si="0"/>
        <v>46151</v>
      </c>
      <c r="K4" s="39">
        <f t="shared" si="0"/>
        <v>46152</v>
      </c>
      <c r="L4" s="39">
        <f t="shared" si="0"/>
        <v>46153</v>
      </c>
      <c r="M4" s="39">
        <f t="shared" si="0"/>
        <v>46154</v>
      </c>
      <c r="N4" s="39">
        <f t="shared" si="0"/>
        <v>46155</v>
      </c>
      <c r="O4" s="39">
        <f t="shared" si="0"/>
        <v>46156</v>
      </c>
      <c r="P4" s="39">
        <f t="shared" si="0"/>
        <v>46157</v>
      </c>
      <c r="Q4" s="39">
        <f t="shared" si="0"/>
        <v>46158</v>
      </c>
      <c r="R4" s="39">
        <f t="shared" si="0"/>
        <v>46159</v>
      </c>
      <c r="S4" s="39">
        <f t="shared" si="0"/>
        <v>46160</v>
      </c>
      <c r="T4" s="39">
        <f t="shared" si="0"/>
        <v>46161</v>
      </c>
      <c r="U4" s="39">
        <f t="shared" si="0"/>
        <v>46162</v>
      </c>
      <c r="V4" s="39">
        <f t="shared" si="0"/>
        <v>46163</v>
      </c>
      <c r="W4" s="39">
        <f t="shared" si="0"/>
        <v>46164</v>
      </c>
      <c r="X4" s="39">
        <f t="shared" si="0"/>
        <v>46165</v>
      </c>
      <c r="Y4" s="39">
        <f t="shared" si="0"/>
        <v>46166</v>
      </c>
      <c r="Z4" s="39">
        <f t="shared" si="0"/>
        <v>46167</v>
      </c>
      <c r="AA4" s="39">
        <f t="shared" si="0"/>
        <v>46168</v>
      </c>
      <c r="AB4" s="39">
        <f t="shared" si="0"/>
        <v>46169</v>
      </c>
      <c r="AC4" s="39">
        <f t="shared" si="0"/>
        <v>46170</v>
      </c>
      <c r="AD4" s="39">
        <f t="shared" si="0"/>
        <v>46171</v>
      </c>
      <c r="AE4" s="39">
        <f t="shared" si="0"/>
        <v>46172</v>
      </c>
      <c r="AF4" s="39">
        <f t="shared" si="0"/>
        <v>46173</v>
      </c>
      <c r="AG4" s="85"/>
      <c r="AH4" s="71"/>
      <c r="AI4" s="83"/>
      <c r="AJ4" s="84"/>
      <c r="AK4" s="78"/>
      <c r="AL4" s="19"/>
      <c r="AM4" s="76"/>
      <c r="AN4" s="76"/>
      <c r="AO4" s="2"/>
      <c r="AP4" s="2"/>
    </row>
    <row r="5" spans="1:42" s="3" customFormat="1" ht="24.75" customHeight="1" x14ac:dyDescent="0.55000000000000004">
      <c r="A5" s="9" t="s">
        <v>13</v>
      </c>
      <c r="B5" s="22" t="s">
        <v>109</v>
      </c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8">
        <f t="shared" ref="AG5:AG35" si="1">SUM(AH5:AK5)</f>
        <v>0</v>
      </c>
      <c r="AH5" s="8">
        <f t="shared" ref="AH5:AH35" si="2">COUNTIF(B5:AF5,"V")+COUNTIF(B5:AF5,"V1")/2+COUNTIF(B5:AF5,"V2")/2</f>
        <v>0</v>
      </c>
      <c r="AI5" s="8">
        <f t="shared" ref="AI5:AI35" si="3">COUNTIF(B5:AF5,"S")+COUNTIF(B5:AF5,"S1")/2+COUNTIF(B5:AF5,"S2")/2</f>
        <v>0</v>
      </c>
      <c r="AJ5" s="8">
        <f t="shared" ref="AJ5:AJ35" si="4">COUNTIF(B5:AF5,"M")</f>
        <v>0</v>
      </c>
      <c r="AK5" s="8">
        <f t="shared" ref="AK5:AK35" si="5">COUNTIF(B5:AF5,"U")</f>
        <v>0</v>
      </c>
      <c r="AL5" s="23"/>
      <c r="AM5" s="32" t="s">
        <v>14</v>
      </c>
      <c r="AN5" s="25" t="s">
        <v>102</v>
      </c>
      <c r="AO5" s="2"/>
      <c r="AP5" s="2"/>
    </row>
    <row r="6" spans="1:42" s="3" customFormat="1" ht="25.15" customHeight="1" x14ac:dyDescent="0.55000000000000004">
      <c r="A6" s="10" t="s">
        <v>34</v>
      </c>
      <c r="B6" s="22" t="s">
        <v>109</v>
      </c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8">
        <f t="shared" si="1"/>
        <v>0</v>
      </c>
      <c r="AH6" s="8">
        <f t="shared" si="2"/>
        <v>0</v>
      </c>
      <c r="AI6" s="8">
        <f t="shared" si="3"/>
        <v>0</v>
      </c>
      <c r="AJ6" s="8">
        <f t="shared" si="4"/>
        <v>0</v>
      </c>
      <c r="AK6" s="8">
        <f t="shared" si="5"/>
        <v>0</v>
      </c>
      <c r="AL6" s="23"/>
      <c r="AM6" s="33" t="s">
        <v>103</v>
      </c>
      <c r="AN6" s="25" t="s">
        <v>104</v>
      </c>
      <c r="AO6" s="2"/>
      <c r="AP6" s="2"/>
    </row>
    <row r="7" spans="1:42" s="3" customFormat="1" ht="25.15" customHeight="1" x14ac:dyDescent="0.55000000000000004">
      <c r="A7" s="10" t="s">
        <v>16</v>
      </c>
      <c r="B7" s="22" t="s">
        <v>109</v>
      </c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8">
        <f t="shared" si="1"/>
        <v>0</v>
      </c>
      <c r="AH7" s="8">
        <f t="shared" si="2"/>
        <v>0</v>
      </c>
      <c r="AI7" s="8">
        <f t="shared" si="3"/>
        <v>0</v>
      </c>
      <c r="AJ7" s="8">
        <f t="shared" si="4"/>
        <v>0</v>
      </c>
      <c r="AK7" s="8">
        <f t="shared" si="5"/>
        <v>0</v>
      </c>
      <c r="AL7" s="23"/>
      <c r="AM7" s="34" t="s">
        <v>22</v>
      </c>
      <c r="AN7" s="25" t="s">
        <v>105</v>
      </c>
      <c r="AO7" s="2"/>
      <c r="AP7" s="2"/>
    </row>
    <row r="8" spans="1:42" s="3" customFormat="1" ht="25.15" customHeight="1" x14ac:dyDescent="0.55000000000000004">
      <c r="A8" s="10" t="s">
        <v>37</v>
      </c>
      <c r="B8" s="22" t="s">
        <v>109</v>
      </c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8">
        <f t="shared" si="1"/>
        <v>0</v>
      </c>
      <c r="AH8" s="8">
        <f t="shared" si="2"/>
        <v>0</v>
      </c>
      <c r="AI8" s="8">
        <f t="shared" si="3"/>
        <v>0</v>
      </c>
      <c r="AJ8" s="8">
        <f t="shared" si="4"/>
        <v>0</v>
      </c>
      <c r="AK8" s="8">
        <f t="shared" si="5"/>
        <v>0</v>
      </c>
      <c r="AL8" s="23"/>
      <c r="AM8" s="35" t="s">
        <v>106</v>
      </c>
      <c r="AN8" s="25" t="s">
        <v>107</v>
      </c>
      <c r="AO8" s="2"/>
      <c r="AP8" s="2"/>
    </row>
    <row r="9" spans="1:42" s="3" customFormat="1" ht="25.15" customHeight="1" x14ac:dyDescent="0.55000000000000004">
      <c r="A9" s="10" t="s">
        <v>33</v>
      </c>
      <c r="B9" s="22" t="s">
        <v>109</v>
      </c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2"/>
      <c r="AG9" s="8">
        <f t="shared" si="1"/>
        <v>0</v>
      </c>
      <c r="AH9" s="8">
        <f t="shared" si="2"/>
        <v>0</v>
      </c>
      <c r="AI9" s="8">
        <f t="shared" si="3"/>
        <v>0</v>
      </c>
      <c r="AJ9" s="8">
        <f t="shared" si="4"/>
        <v>0</v>
      </c>
      <c r="AK9" s="8">
        <f t="shared" si="5"/>
        <v>0</v>
      </c>
      <c r="AL9" s="23"/>
      <c r="AM9" s="29" t="s">
        <v>108</v>
      </c>
      <c r="AN9" s="25" t="s">
        <v>109</v>
      </c>
      <c r="AO9" s="2"/>
      <c r="AP9" s="2"/>
    </row>
    <row r="10" spans="1:42" s="3" customFormat="1" ht="25.15" customHeight="1" x14ac:dyDescent="0.55000000000000004">
      <c r="A10" s="10" t="s">
        <v>41</v>
      </c>
      <c r="B10" s="22" t="s">
        <v>109</v>
      </c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8">
        <f t="shared" si="1"/>
        <v>0</v>
      </c>
      <c r="AH10" s="8">
        <f t="shared" si="2"/>
        <v>0</v>
      </c>
      <c r="AI10" s="8">
        <f t="shared" si="3"/>
        <v>0</v>
      </c>
      <c r="AJ10" s="8">
        <f t="shared" si="4"/>
        <v>0</v>
      </c>
      <c r="AK10" s="8">
        <f t="shared" si="5"/>
        <v>0</v>
      </c>
      <c r="AL10" s="23"/>
      <c r="AM10" s="30" t="s">
        <v>99</v>
      </c>
      <c r="AN10" s="25" t="s">
        <v>110</v>
      </c>
      <c r="AO10" s="2"/>
      <c r="AP10" s="2"/>
    </row>
    <row r="11" spans="1:42" s="3" customFormat="1" ht="25.15" customHeight="1" x14ac:dyDescent="0.55000000000000004">
      <c r="A11" s="10" t="s">
        <v>39</v>
      </c>
      <c r="B11" s="22" t="s">
        <v>109</v>
      </c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8">
        <f t="shared" si="1"/>
        <v>0</v>
      </c>
      <c r="AH11" s="8">
        <f t="shared" si="2"/>
        <v>0</v>
      </c>
      <c r="AI11" s="8">
        <f t="shared" si="3"/>
        <v>0</v>
      </c>
      <c r="AJ11" s="8">
        <f t="shared" si="4"/>
        <v>0</v>
      </c>
      <c r="AK11" s="8">
        <f t="shared" si="5"/>
        <v>0</v>
      </c>
      <c r="AL11" s="23"/>
      <c r="AM11" s="11"/>
      <c r="AN11" s="40"/>
      <c r="AO11" s="2"/>
      <c r="AP11" s="2"/>
    </row>
    <row r="12" spans="1:42" s="3" customFormat="1" ht="25.15" customHeight="1" x14ac:dyDescent="0.55000000000000004">
      <c r="A12" s="10" t="s">
        <v>42</v>
      </c>
      <c r="B12" s="22" t="s">
        <v>109</v>
      </c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8">
        <f t="shared" si="1"/>
        <v>0</v>
      </c>
      <c r="AH12" s="8">
        <f t="shared" si="2"/>
        <v>0</v>
      </c>
      <c r="AI12" s="8">
        <f t="shared" si="3"/>
        <v>0</v>
      </c>
      <c r="AJ12" s="8">
        <f t="shared" si="4"/>
        <v>0</v>
      </c>
      <c r="AK12" s="8">
        <f t="shared" si="5"/>
        <v>0</v>
      </c>
      <c r="AL12" s="23"/>
      <c r="AM12" s="11"/>
      <c r="AN12" s="40"/>
      <c r="AO12" s="2"/>
      <c r="AP12" s="2"/>
    </row>
    <row r="13" spans="1:42" s="3" customFormat="1" ht="25.15" customHeight="1" x14ac:dyDescent="0.55000000000000004">
      <c r="A13" s="10" t="s">
        <v>31</v>
      </c>
      <c r="B13" s="22" t="s">
        <v>109</v>
      </c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8">
        <f t="shared" si="1"/>
        <v>0</v>
      </c>
      <c r="AH13" s="8">
        <f t="shared" si="2"/>
        <v>0</v>
      </c>
      <c r="AI13" s="8">
        <f t="shared" si="3"/>
        <v>0</v>
      </c>
      <c r="AJ13" s="8">
        <f t="shared" si="4"/>
        <v>0</v>
      </c>
      <c r="AK13" s="8">
        <f t="shared" si="5"/>
        <v>0</v>
      </c>
      <c r="AL13" s="23"/>
      <c r="AM13" s="2"/>
      <c r="AN13" s="2"/>
      <c r="AO13" s="2"/>
      <c r="AP13" s="2"/>
    </row>
    <row r="14" spans="1:42" s="3" customFormat="1" ht="25.15" customHeight="1" x14ac:dyDescent="0.55000000000000004">
      <c r="A14" s="10" t="s">
        <v>36</v>
      </c>
      <c r="B14" s="22" t="s">
        <v>109</v>
      </c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8">
        <f t="shared" si="1"/>
        <v>0</v>
      </c>
      <c r="AH14" s="8">
        <f t="shared" si="2"/>
        <v>0</v>
      </c>
      <c r="AI14" s="8">
        <f t="shared" si="3"/>
        <v>0</v>
      </c>
      <c r="AJ14" s="8">
        <f t="shared" si="4"/>
        <v>0</v>
      </c>
      <c r="AK14" s="8">
        <f t="shared" si="5"/>
        <v>0</v>
      </c>
      <c r="AL14" s="23"/>
      <c r="AM14" s="2"/>
      <c r="AN14" s="2"/>
      <c r="AO14" s="2"/>
      <c r="AP14" s="2"/>
    </row>
    <row r="15" spans="1:42" s="3" customFormat="1" ht="25.15" customHeight="1" x14ac:dyDescent="0.55000000000000004">
      <c r="A15" s="10" t="s">
        <v>32</v>
      </c>
      <c r="B15" s="22" t="s">
        <v>109</v>
      </c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8">
        <f t="shared" si="1"/>
        <v>0</v>
      </c>
      <c r="AH15" s="8">
        <f t="shared" si="2"/>
        <v>0</v>
      </c>
      <c r="AI15" s="8">
        <f t="shared" si="3"/>
        <v>0</v>
      </c>
      <c r="AJ15" s="8">
        <f t="shared" si="4"/>
        <v>0</v>
      </c>
      <c r="AK15" s="8">
        <f t="shared" si="5"/>
        <v>0</v>
      </c>
      <c r="AL15" s="2"/>
      <c r="AM15" s="2"/>
      <c r="AN15" s="2"/>
      <c r="AO15" s="2"/>
      <c r="AP15" s="2"/>
    </row>
    <row r="16" spans="1:42" ht="23.5" customHeight="1" x14ac:dyDescent="0.55000000000000004">
      <c r="A16" s="10" t="s">
        <v>28</v>
      </c>
      <c r="B16" s="22" t="s">
        <v>109</v>
      </c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8">
        <f t="shared" si="1"/>
        <v>0</v>
      </c>
      <c r="AH16" s="8">
        <f t="shared" si="2"/>
        <v>0</v>
      </c>
      <c r="AI16" s="8">
        <f t="shared" si="3"/>
        <v>0</v>
      </c>
      <c r="AJ16" s="8">
        <f t="shared" si="4"/>
        <v>0</v>
      </c>
      <c r="AK16" s="8">
        <f t="shared" si="5"/>
        <v>0</v>
      </c>
      <c r="AO16" s="2"/>
      <c r="AP16" s="2"/>
    </row>
    <row r="17" spans="1:37" ht="23.5" customHeight="1" x14ac:dyDescent="0.55000000000000004">
      <c r="A17" s="10" t="s">
        <v>111</v>
      </c>
      <c r="B17" s="22" t="s">
        <v>109</v>
      </c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8">
        <f t="shared" si="1"/>
        <v>0</v>
      </c>
      <c r="AH17" s="8">
        <f t="shared" si="2"/>
        <v>0</v>
      </c>
      <c r="AI17" s="8">
        <f t="shared" si="3"/>
        <v>0</v>
      </c>
      <c r="AJ17" s="8">
        <f t="shared" si="4"/>
        <v>0</v>
      </c>
      <c r="AK17" s="8">
        <f t="shared" si="5"/>
        <v>0</v>
      </c>
    </row>
    <row r="18" spans="1:37" ht="23.5" customHeight="1" x14ac:dyDescent="0.55000000000000004">
      <c r="A18" s="10" t="s">
        <v>21</v>
      </c>
      <c r="B18" s="22" t="s">
        <v>109</v>
      </c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8">
        <f t="shared" si="1"/>
        <v>0</v>
      </c>
      <c r="AH18" s="8">
        <f t="shared" si="2"/>
        <v>0</v>
      </c>
      <c r="AI18" s="8">
        <f t="shared" si="3"/>
        <v>0</v>
      </c>
      <c r="AJ18" s="8">
        <f t="shared" si="4"/>
        <v>0</v>
      </c>
      <c r="AK18" s="8">
        <f t="shared" si="5"/>
        <v>0</v>
      </c>
    </row>
    <row r="19" spans="1:37" ht="23.5" customHeight="1" x14ac:dyDescent="0.55000000000000004">
      <c r="A19" s="10" t="s">
        <v>35</v>
      </c>
      <c r="B19" s="22" t="s">
        <v>109</v>
      </c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8">
        <f t="shared" si="1"/>
        <v>0</v>
      </c>
      <c r="AH19" s="8">
        <f t="shared" si="2"/>
        <v>0</v>
      </c>
      <c r="AI19" s="8">
        <f t="shared" si="3"/>
        <v>0</v>
      </c>
      <c r="AJ19" s="8">
        <f t="shared" si="4"/>
        <v>0</v>
      </c>
      <c r="AK19" s="8">
        <f t="shared" si="5"/>
        <v>0</v>
      </c>
    </row>
    <row r="20" spans="1:37" ht="23.5" customHeight="1" x14ac:dyDescent="0.55000000000000004">
      <c r="A20" s="10" t="s">
        <v>43</v>
      </c>
      <c r="B20" s="22" t="s">
        <v>109</v>
      </c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8">
        <f t="shared" si="1"/>
        <v>0</v>
      </c>
      <c r="AH20" s="8">
        <f t="shared" si="2"/>
        <v>0</v>
      </c>
      <c r="AI20" s="8">
        <f t="shared" si="3"/>
        <v>0</v>
      </c>
      <c r="AJ20" s="8">
        <f t="shared" si="4"/>
        <v>0</v>
      </c>
      <c r="AK20" s="8">
        <f t="shared" si="5"/>
        <v>0</v>
      </c>
    </row>
    <row r="21" spans="1:37" ht="23.5" customHeight="1" x14ac:dyDescent="0.55000000000000004">
      <c r="A21" s="10" t="s">
        <v>112</v>
      </c>
      <c r="B21" s="22" t="s">
        <v>109</v>
      </c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8">
        <f t="shared" si="1"/>
        <v>0</v>
      </c>
      <c r="AH21" s="8">
        <f t="shared" si="2"/>
        <v>0</v>
      </c>
      <c r="AI21" s="8">
        <f t="shared" si="3"/>
        <v>0</v>
      </c>
      <c r="AJ21" s="8">
        <f t="shared" si="4"/>
        <v>0</v>
      </c>
      <c r="AK21" s="8">
        <f t="shared" si="5"/>
        <v>0</v>
      </c>
    </row>
    <row r="22" spans="1:37" ht="23.5" customHeight="1" x14ac:dyDescent="0.55000000000000004">
      <c r="A22" s="10" t="s">
        <v>26</v>
      </c>
      <c r="B22" s="22" t="s">
        <v>109</v>
      </c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8">
        <f t="shared" si="1"/>
        <v>0</v>
      </c>
      <c r="AH22" s="8">
        <f t="shared" si="2"/>
        <v>0</v>
      </c>
      <c r="AI22" s="8">
        <f t="shared" si="3"/>
        <v>0</v>
      </c>
      <c r="AJ22" s="8">
        <f t="shared" si="4"/>
        <v>0</v>
      </c>
      <c r="AK22" s="8">
        <f t="shared" si="5"/>
        <v>0</v>
      </c>
    </row>
    <row r="23" spans="1:37" ht="23.5" customHeight="1" x14ac:dyDescent="0.55000000000000004">
      <c r="A23" s="10" t="s">
        <v>27</v>
      </c>
      <c r="B23" s="22" t="s">
        <v>109</v>
      </c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8">
        <f t="shared" si="1"/>
        <v>0</v>
      </c>
      <c r="AH23" s="8">
        <f t="shared" si="2"/>
        <v>0</v>
      </c>
      <c r="AI23" s="8">
        <f t="shared" si="3"/>
        <v>0</v>
      </c>
      <c r="AJ23" s="8">
        <f t="shared" si="4"/>
        <v>0</v>
      </c>
      <c r="AK23" s="8">
        <f t="shared" si="5"/>
        <v>0</v>
      </c>
    </row>
    <row r="24" spans="1:37" ht="23.5" customHeight="1" x14ac:dyDescent="0.55000000000000004">
      <c r="A24" s="10" t="s">
        <v>20</v>
      </c>
      <c r="B24" s="22" t="s">
        <v>109</v>
      </c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8">
        <f t="shared" si="1"/>
        <v>0</v>
      </c>
      <c r="AH24" s="8">
        <f t="shared" si="2"/>
        <v>0</v>
      </c>
      <c r="AI24" s="8">
        <f t="shared" si="3"/>
        <v>0</v>
      </c>
      <c r="AJ24" s="8">
        <f t="shared" si="4"/>
        <v>0</v>
      </c>
      <c r="AK24" s="8">
        <f t="shared" si="5"/>
        <v>0</v>
      </c>
    </row>
    <row r="25" spans="1:37" ht="23.5" customHeight="1" x14ac:dyDescent="0.55000000000000004">
      <c r="A25" s="10" t="s">
        <v>38</v>
      </c>
      <c r="B25" s="22" t="s">
        <v>109</v>
      </c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8">
        <f t="shared" si="1"/>
        <v>0</v>
      </c>
      <c r="AH25" s="8">
        <f t="shared" si="2"/>
        <v>0</v>
      </c>
      <c r="AI25" s="8">
        <f t="shared" si="3"/>
        <v>0</v>
      </c>
      <c r="AJ25" s="8">
        <f t="shared" si="4"/>
        <v>0</v>
      </c>
      <c r="AK25" s="8">
        <f t="shared" si="5"/>
        <v>0</v>
      </c>
    </row>
    <row r="26" spans="1:37" ht="23.5" customHeight="1" x14ac:dyDescent="0.55000000000000004">
      <c r="A26" s="10" t="s">
        <v>25</v>
      </c>
      <c r="B26" s="22" t="s">
        <v>109</v>
      </c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8">
        <f t="shared" si="1"/>
        <v>0</v>
      </c>
      <c r="AH26" s="8">
        <f t="shared" si="2"/>
        <v>0</v>
      </c>
      <c r="AI26" s="8">
        <f t="shared" si="3"/>
        <v>0</v>
      </c>
      <c r="AJ26" s="8">
        <f t="shared" si="4"/>
        <v>0</v>
      </c>
      <c r="AK26" s="8">
        <f t="shared" si="5"/>
        <v>0</v>
      </c>
    </row>
    <row r="27" spans="1:37" ht="23.5" customHeight="1" x14ac:dyDescent="0.55000000000000004">
      <c r="A27" s="10" t="s">
        <v>40</v>
      </c>
      <c r="B27" s="22" t="s">
        <v>109</v>
      </c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8">
        <f t="shared" si="1"/>
        <v>0</v>
      </c>
      <c r="AH27" s="8">
        <f t="shared" si="2"/>
        <v>0</v>
      </c>
      <c r="AI27" s="8">
        <f t="shared" si="3"/>
        <v>0</v>
      </c>
      <c r="AJ27" s="8">
        <f t="shared" si="4"/>
        <v>0</v>
      </c>
      <c r="AK27" s="8">
        <f t="shared" si="5"/>
        <v>0</v>
      </c>
    </row>
    <row r="28" spans="1:37" ht="23.5" customHeight="1" x14ac:dyDescent="0.55000000000000004">
      <c r="A28" s="10" t="s">
        <v>24</v>
      </c>
      <c r="B28" s="22" t="s">
        <v>109</v>
      </c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8">
        <f t="shared" si="1"/>
        <v>0</v>
      </c>
      <c r="AH28" s="8">
        <f t="shared" si="2"/>
        <v>0</v>
      </c>
      <c r="AI28" s="8">
        <f t="shared" si="3"/>
        <v>0</v>
      </c>
      <c r="AJ28" s="8">
        <f t="shared" si="4"/>
        <v>0</v>
      </c>
      <c r="AK28" s="8">
        <f t="shared" si="5"/>
        <v>0</v>
      </c>
    </row>
    <row r="29" spans="1:37" ht="23.5" customHeight="1" x14ac:dyDescent="0.55000000000000004">
      <c r="A29" s="10" t="s">
        <v>23</v>
      </c>
      <c r="B29" s="22" t="s">
        <v>109</v>
      </c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8">
        <f t="shared" si="1"/>
        <v>0</v>
      </c>
      <c r="AH29" s="8">
        <f t="shared" si="2"/>
        <v>0</v>
      </c>
      <c r="AI29" s="8">
        <f t="shared" si="3"/>
        <v>0</v>
      </c>
      <c r="AJ29" s="8">
        <f t="shared" si="4"/>
        <v>0</v>
      </c>
      <c r="AK29" s="8">
        <f t="shared" si="5"/>
        <v>0</v>
      </c>
    </row>
    <row r="30" spans="1:37" ht="23.5" customHeight="1" x14ac:dyDescent="0.55000000000000004">
      <c r="A30" s="10" t="s">
        <v>50</v>
      </c>
      <c r="B30" s="22" t="s">
        <v>109</v>
      </c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8">
        <f t="shared" si="1"/>
        <v>0</v>
      </c>
      <c r="AH30" s="8">
        <f t="shared" si="2"/>
        <v>0</v>
      </c>
      <c r="AI30" s="8">
        <f t="shared" si="3"/>
        <v>0</v>
      </c>
      <c r="AJ30" s="8">
        <f t="shared" si="4"/>
        <v>0</v>
      </c>
      <c r="AK30" s="8">
        <f t="shared" si="5"/>
        <v>0</v>
      </c>
    </row>
    <row r="31" spans="1:37" ht="23.5" customHeight="1" x14ac:dyDescent="0.55000000000000004">
      <c r="A31" s="10" t="s">
        <v>45</v>
      </c>
      <c r="B31" s="22" t="s">
        <v>109</v>
      </c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8">
        <f t="shared" si="1"/>
        <v>0</v>
      </c>
      <c r="AH31" s="8">
        <f t="shared" si="2"/>
        <v>0</v>
      </c>
      <c r="AI31" s="8">
        <f t="shared" si="3"/>
        <v>0</v>
      </c>
      <c r="AJ31" s="8">
        <f t="shared" si="4"/>
        <v>0</v>
      </c>
      <c r="AK31" s="8">
        <f t="shared" si="5"/>
        <v>0</v>
      </c>
    </row>
    <row r="32" spans="1:37" ht="23.5" customHeight="1" x14ac:dyDescent="0.55000000000000004">
      <c r="A32" s="10" t="s">
        <v>113</v>
      </c>
      <c r="B32" s="22" t="s">
        <v>109</v>
      </c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/>
      <c r="AF32" s="22"/>
      <c r="AG32" s="8">
        <f t="shared" si="1"/>
        <v>0</v>
      </c>
      <c r="AH32" s="8">
        <f t="shared" si="2"/>
        <v>0</v>
      </c>
      <c r="AI32" s="8">
        <f t="shared" si="3"/>
        <v>0</v>
      </c>
      <c r="AJ32" s="8">
        <f t="shared" si="4"/>
        <v>0</v>
      </c>
      <c r="AK32" s="8">
        <f t="shared" si="5"/>
        <v>0</v>
      </c>
    </row>
    <row r="33" spans="1:37" ht="23.5" customHeight="1" x14ac:dyDescent="0.55000000000000004">
      <c r="A33" s="10" t="s">
        <v>46</v>
      </c>
      <c r="B33" s="22" t="s">
        <v>109</v>
      </c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8">
        <f t="shared" si="1"/>
        <v>0</v>
      </c>
      <c r="AH33" s="8">
        <f t="shared" si="2"/>
        <v>0</v>
      </c>
      <c r="AI33" s="8">
        <f t="shared" si="3"/>
        <v>0</v>
      </c>
      <c r="AJ33" s="8">
        <f t="shared" si="4"/>
        <v>0</v>
      </c>
      <c r="AK33" s="8">
        <f t="shared" si="5"/>
        <v>0</v>
      </c>
    </row>
    <row r="34" spans="1:37" ht="23.5" customHeight="1" x14ac:dyDescent="0.55000000000000004">
      <c r="A34" s="10" t="s">
        <v>53</v>
      </c>
      <c r="B34" s="22" t="s">
        <v>109</v>
      </c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22"/>
      <c r="AG34" s="8">
        <f t="shared" si="1"/>
        <v>0</v>
      </c>
      <c r="AH34" s="8">
        <f t="shared" si="2"/>
        <v>0</v>
      </c>
      <c r="AI34" s="8">
        <f t="shared" si="3"/>
        <v>0</v>
      </c>
      <c r="AJ34" s="8">
        <f t="shared" si="4"/>
        <v>0</v>
      </c>
      <c r="AK34" s="8">
        <f t="shared" si="5"/>
        <v>0</v>
      </c>
    </row>
    <row r="35" spans="1:37" ht="23.5" customHeight="1" x14ac:dyDescent="0.55000000000000004">
      <c r="A35" s="10" t="s">
        <v>114</v>
      </c>
      <c r="B35" s="22" t="s">
        <v>109</v>
      </c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  <c r="AG35" s="8">
        <f t="shared" si="1"/>
        <v>0</v>
      </c>
      <c r="AH35" s="8">
        <f t="shared" si="2"/>
        <v>0</v>
      </c>
      <c r="AI35" s="8">
        <f t="shared" si="3"/>
        <v>0</v>
      </c>
      <c r="AJ35" s="8">
        <f t="shared" si="4"/>
        <v>0</v>
      </c>
      <c r="AK35" s="8">
        <f t="shared" si="5"/>
        <v>0</v>
      </c>
    </row>
  </sheetData>
  <mergeCells count="9">
    <mergeCell ref="AM3:AM4"/>
    <mergeCell ref="AN3:AN4"/>
    <mergeCell ref="A1:AK2"/>
    <mergeCell ref="A3:A4"/>
    <mergeCell ref="AG3:AG4"/>
    <mergeCell ref="AH3:AH4"/>
    <mergeCell ref="AI3:AI4"/>
    <mergeCell ref="AJ3:AJ4"/>
    <mergeCell ref="AK3:AK4"/>
  </mergeCells>
  <conditionalFormatting sqref="B5:AF35">
    <cfRule type="cellIs" dxfId="40" priority="2" operator="equal">
      <formula>"U"</formula>
    </cfRule>
    <cfRule type="cellIs" dxfId="39" priority="3" operator="equal">
      <formula>"M"</formula>
    </cfRule>
    <cfRule type="beginsWith" dxfId="38" priority="4" operator="beginsWith" text="S">
      <formula>LEFT(B5,1)="S"</formula>
    </cfRule>
    <cfRule type="beginsWith" dxfId="37" priority="5" operator="beginsWith" text="V">
      <formula>LEFT(B5,1)="V"</formula>
    </cfRule>
  </conditionalFormatting>
  <conditionalFormatting sqref="AG5:AK35">
    <cfRule type="cellIs" dxfId="36" priority="1" operator="equal">
      <formula>0</formula>
    </cfRule>
  </conditionalFormatting>
  <dataValidations count="1">
    <dataValidation type="list" allowBlank="1" showInputMessage="1" showErrorMessage="1" sqref="B5:AF35" xr:uid="{00000000-0002-0000-0700-000000000000}">
      <formula1>$AN$5:$AN$12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0FE09-BF34-40FC-AEE1-D871C95E21C5}">
  <sheetPr codeName="Sheet8"/>
  <dimension ref="A1:AO37"/>
  <sheetViews>
    <sheetView zoomScale="55" zoomScaleNormal="55" workbookViewId="0">
      <selection sqref="A1:AJ2 A1:AJ37"/>
    </sheetView>
  </sheetViews>
  <sheetFormatPr defaultRowHeight="14.5" x14ac:dyDescent="0.35"/>
  <cols>
    <col min="1" max="1" width="27.7265625" customWidth="1"/>
    <col min="2" max="2" width="5.26953125" bestFit="1" customWidth="1"/>
    <col min="3" max="31" width="5.7265625" customWidth="1"/>
    <col min="32" max="32" width="9.1796875" customWidth="1"/>
    <col min="33" max="36" width="11.26953125" customWidth="1"/>
    <col min="37" max="37" width="9.1796875" customWidth="1"/>
    <col min="38" max="38" width="29.26953125" bestFit="1" customWidth="1"/>
  </cols>
  <sheetData>
    <row r="1" spans="1:41" s="3" customFormat="1" ht="25.15" customHeight="1" x14ac:dyDescent="0.35">
      <c r="A1" s="67" t="s">
        <v>122</v>
      </c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2"/>
      <c r="AL1" s="2"/>
      <c r="AM1" s="2"/>
      <c r="AN1" s="2"/>
      <c r="AO1" s="2"/>
    </row>
    <row r="2" spans="1:41" s="3" customFormat="1" ht="25.15" customHeight="1" x14ac:dyDescent="0.35">
      <c r="A2" s="68"/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  <c r="AA2" s="68"/>
      <c r="AB2" s="68"/>
      <c r="AC2" s="68"/>
      <c r="AD2" s="68"/>
      <c r="AE2" s="68"/>
      <c r="AF2" s="68"/>
      <c r="AG2" s="68"/>
      <c r="AH2" s="68"/>
      <c r="AI2" s="68"/>
      <c r="AJ2" s="68"/>
      <c r="AK2" s="2"/>
      <c r="AL2" s="2"/>
      <c r="AM2" s="2"/>
      <c r="AN2" s="2"/>
      <c r="AO2" s="2"/>
    </row>
    <row r="3" spans="1:41" s="3" customFormat="1" ht="25.15" customHeight="1" x14ac:dyDescent="0.35">
      <c r="A3" s="77" t="s">
        <v>119</v>
      </c>
      <c r="B3" s="38" t="str">
        <f>IF(B4="","",INDEX({"Sun";"Mon";"Tue";"Wen";"Thu";"Fri";"Sat"},WEEKDAY(B4,1)))</f>
        <v>Mon</v>
      </c>
      <c r="C3" s="38" t="str">
        <f>IF(C4="","",INDEX({"Sun";"Mon";"Tue";"Wen";"Thu";"Fri";"Sat"},WEEKDAY(C4,1)))</f>
        <v>Tue</v>
      </c>
      <c r="D3" s="38" t="str">
        <f>IF(D4="","",INDEX({"Sun";"Mon";"Tue";"Wen";"Thu";"Fri";"Sat"},WEEKDAY(D4,1)))</f>
        <v>Wen</v>
      </c>
      <c r="E3" s="38" t="str">
        <f>IF(E4="","",INDEX({"Sun";"Mon";"Tue";"Wen";"Thu";"Fri";"Sat"},WEEKDAY(E4,1)))</f>
        <v>Thu</v>
      </c>
      <c r="F3" s="38" t="str">
        <f>IF(F4="","",INDEX({"Sun";"Mon";"Tue";"Wen";"Thu";"Fri";"Sat"},WEEKDAY(F4,1)))</f>
        <v>Fri</v>
      </c>
      <c r="G3" s="38" t="str">
        <f>IF(G4="","",INDEX({"Sun";"Mon";"Tue";"Wen";"Thu";"Fri";"Sat"},WEEKDAY(G4,1)))</f>
        <v>Sat</v>
      </c>
      <c r="H3" s="38" t="str">
        <f>IF(H4="","",INDEX({"Sun";"Mon";"Tue";"Wen";"Thu";"Fri";"Sat"},WEEKDAY(H4,1)))</f>
        <v>Sun</v>
      </c>
      <c r="I3" s="38" t="str">
        <f>IF(I4="","",INDEX({"Sun";"Mon";"Tue";"Wen";"Thu";"Fri";"Sat"},WEEKDAY(I4,1)))</f>
        <v>Mon</v>
      </c>
      <c r="J3" s="38" t="str">
        <f>IF(J4="","",INDEX({"Sun";"Mon";"Tue";"Wen";"Thu";"Fri";"Sat"},WEEKDAY(J4,1)))</f>
        <v>Tue</v>
      </c>
      <c r="K3" s="38" t="str">
        <f>IF(K4="","",INDEX({"Sun";"Mon";"Tue";"Wen";"Thu";"Fri";"Sat"},WEEKDAY(K4,1)))</f>
        <v>Wen</v>
      </c>
      <c r="L3" s="38" t="str">
        <f>IF(L4="","",INDEX({"Sun";"Mon";"Tue";"Wen";"Thu";"Fri";"Sat"},WEEKDAY(L4,1)))</f>
        <v>Thu</v>
      </c>
      <c r="M3" s="38" t="str">
        <f>IF(M4="","",INDEX({"Sun";"Mon";"Tue";"Wen";"Thu";"Fri";"Sat"},WEEKDAY(M4,1)))</f>
        <v>Fri</v>
      </c>
      <c r="N3" s="38" t="str">
        <f>IF(N4="","",INDEX({"Sun";"Mon";"Tue";"Wen";"Thu";"Fri";"Sat"},WEEKDAY(N4,1)))</f>
        <v>Sat</v>
      </c>
      <c r="O3" s="38" t="str">
        <f>IF(O4="","",INDEX({"Sun";"Mon";"Tue";"Wen";"Thu";"Fri";"Sat"},WEEKDAY(O4,1)))</f>
        <v>Sun</v>
      </c>
      <c r="P3" s="38" t="str">
        <f>IF(P4="","",INDEX({"Sun";"Mon";"Tue";"Wen";"Thu";"Fri";"Sat"},WEEKDAY(P4,1)))</f>
        <v>Mon</v>
      </c>
      <c r="Q3" s="38" t="str">
        <f>IF(Q4="","",INDEX({"Sun";"Mon";"Tue";"Wen";"Thu";"Fri";"Sat"},WEEKDAY(Q4,1)))</f>
        <v>Tue</v>
      </c>
      <c r="R3" s="38" t="str">
        <f>IF(R4="","",INDEX({"Sun";"Mon";"Tue";"Wen";"Thu";"Fri";"Sat"},WEEKDAY(R4,1)))</f>
        <v>Wen</v>
      </c>
      <c r="S3" s="38" t="str">
        <f>IF(S4="","",INDEX({"Sun";"Mon";"Tue";"Wen";"Thu";"Fri";"Sat"},WEEKDAY(S4,1)))</f>
        <v>Thu</v>
      </c>
      <c r="T3" s="38" t="str">
        <f>IF(T4="","",INDEX({"Sun";"Mon";"Tue";"Wen";"Thu";"Fri";"Sat"},WEEKDAY(T4,1)))</f>
        <v>Fri</v>
      </c>
      <c r="U3" s="38" t="str">
        <f>IF(U4="","",INDEX({"Sun";"Mon";"Tue";"Wen";"Thu";"Fri";"Sat"},WEEKDAY(U4,1)))</f>
        <v>Sat</v>
      </c>
      <c r="V3" s="38" t="str">
        <f>IF(V4="","",INDEX({"Sun";"Mon";"Tue";"Wen";"Thu";"Fri";"Sat"},WEEKDAY(V4,1)))</f>
        <v>Sun</v>
      </c>
      <c r="W3" s="38" t="str">
        <f>IF(W4="","",INDEX({"Sun";"Mon";"Tue";"Wen";"Thu";"Fri";"Sat"},WEEKDAY(W4,1)))</f>
        <v>Mon</v>
      </c>
      <c r="X3" s="38" t="str">
        <f>IF(X4="","",INDEX({"Sun";"Mon";"Tue";"Wen";"Thu";"Fri";"Sat"},WEEKDAY(X4,1)))</f>
        <v>Tue</v>
      </c>
      <c r="Y3" s="38" t="str">
        <f>IF(Y4="","",INDEX({"Sun";"Mon";"Tue";"Wen";"Thu";"Fri";"Sat"},WEEKDAY(Y4,1)))</f>
        <v>Wen</v>
      </c>
      <c r="Z3" s="38" t="str">
        <f>IF(Z4="","",INDEX({"Sun";"Mon";"Tue";"Wen";"Thu";"Fri";"Sat"},WEEKDAY(Z4,1)))</f>
        <v>Thu</v>
      </c>
      <c r="AA3" s="38" t="str">
        <f>IF(AA4="","",INDEX({"Sun";"Mon";"Tue";"Wen";"Thu";"Fri";"Sat"},WEEKDAY(AA4,1)))</f>
        <v>Fri</v>
      </c>
      <c r="AB3" s="38" t="str">
        <f>IF(AB4="","",INDEX({"Sun";"Mon";"Tue";"Wen";"Thu";"Fri";"Sat"},WEEKDAY(AB4,1)))</f>
        <v>Sat</v>
      </c>
      <c r="AC3" s="38" t="str">
        <f>IF(AC4="","",INDEX({"Sun";"Mon";"Tue";"Wen";"Thu";"Fri";"Sat"},WEEKDAY(AC4,1)))</f>
        <v>Sun</v>
      </c>
      <c r="AD3" s="38" t="str">
        <f>IF(AD4="","",INDEX({"Sun";"Mon";"Tue";"Wen";"Thu";"Fri";"Sat"},WEEKDAY(AD4,1)))</f>
        <v>Mon</v>
      </c>
      <c r="AE3" s="38" t="str">
        <f>IF(AE4="","",INDEX({"Sun";"Mon";"Tue";"Wen";"Thu";"Fri";"Sat"},WEEKDAY(AE4,1)))</f>
        <v>Tue</v>
      </c>
      <c r="AF3" s="82" t="s">
        <v>95</v>
      </c>
      <c r="AG3" s="71" t="s">
        <v>96</v>
      </c>
      <c r="AH3" s="83" t="s">
        <v>116</v>
      </c>
      <c r="AI3" s="84" t="s">
        <v>98</v>
      </c>
      <c r="AJ3" s="78" t="s">
        <v>99</v>
      </c>
      <c r="AK3" s="19"/>
      <c r="AL3" s="75" t="s">
        <v>117</v>
      </c>
      <c r="AM3" s="75" t="s">
        <v>101</v>
      </c>
      <c r="AN3" s="2"/>
      <c r="AO3" s="2"/>
    </row>
    <row r="4" spans="1:41" s="3" customFormat="1" ht="25.15" customHeight="1" x14ac:dyDescent="0.35">
      <c r="A4" s="77"/>
      <c r="B4" s="39">
        <f>DATE(Year!$B$2,6,1)</f>
        <v>46174</v>
      </c>
      <c r="C4" s="39">
        <f t="shared" ref="C4:AE4" si="0">B4+1</f>
        <v>46175</v>
      </c>
      <c r="D4" s="39">
        <f t="shared" si="0"/>
        <v>46176</v>
      </c>
      <c r="E4" s="39">
        <f t="shared" si="0"/>
        <v>46177</v>
      </c>
      <c r="F4" s="39">
        <f t="shared" si="0"/>
        <v>46178</v>
      </c>
      <c r="G4" s="39">
        <f t="shared" si="0"/>
        <v>46179</v>
      </c>
      <c r="H4" s="39">
        <f t="shared" si="0"/>
        <v>46180</v>
      </c>
      <c r="I4" s="39">
        <f t="shared" si="0"/>
        <v>46181</v>
      </c>
      <c r="J4" s="39">
        <f t="shared" si="0"/>
        <v>46182</v>
      </c>
      <c r="K4" s="39">
        <f t="shared" si="0"/>
        <v>46183</v>
      </c>
      <c r="L4" s="39">
        <f t="shared" si="0"/>
        <v>46184</v>
      </c>
      <c r="M4" s="39">
        <f t="shared" si="0"/>
        <v>46185</v>
      </c>
      <c r="N4" s="39">
        <f t="shared" si="0"/>
        <v>46186</v>
      </c>
      <c r="O4" s="39">
        <f t="shared" si="0"/>
        <v>46187</v>
      </c>
      <c r="P4" s="39">
        <f t="shared" si="0"/>
        <v>46188</v>
      </c>
      <c r="Q4" s="39">
        <f t="shared" si="0"/>
        <v>46189</v>
      </c>
      <c r="R4" s="39">
        <f t="shared" si="0"/>
        <v>46190</v>
      </c>
      <c r="S4" s="39">
        <f t="shared" si="0"/>
        <v>46191</v>
      </c>
      <c r="T4" s="39">
        <f t="shared" si="0"/>
        <v>46192</v>
      </c>
      <c r="U4" s="39">
        <f t="shared" si="0"/>
        <v>46193</v>
      </c>
      <c r="V4" s="39">
        <f t="shared" si="0"/>
        <v>46194</v>
      </c>
      <c r="W4" s="39">
        <f t="shared" si="0"/>
        <v>46195</v>
      </c>
      <c r="X4" s="39">
        <f t="shared" si="0"/>
        <v>46196</v>
      </c>
      <c r="Y4" s="39">
        <f t="shared" si="0"/>
        <v>46197</v>
      </c>
      <c r="Z4" s="39">
        <f t="shared" si="0"/>
        <v>46198</v>
      </c>
      <c r="AA4" s="39">
        <f t="shared" si="0"/>
        <v>46199</v>
      </c>
      <c r="AB4" s="39">
        <f t="shared" si="0"/>
        <v>46200</v>
      </c>
      <c r="AC4" s="39">
        <f t="shared" si="0"/>
        <v>46201</v>
      </c>
      <c r="AD4" s="39">
        <f t="shared" si="0"/>
        <v>46202</v>
      </c>
      <c r="AE4" s="39">
        <f t="shared" si="0"/>
        <v>46203</v>
      </c>
      <c r="AF4" s="82"/>
      <c r="AG4" s="71"/>
      <c r="AH4" s="83"/>
      <c r="AI4" s="84"/>
      <c r="AJ4" s="78"/>
      <c r="AK4" s="19"/>
      <c r="AL4" s="76"/>
      <c r="AM4" s="76"/>
      <c r="AN4" s="2"/>
      <c r="AO4" s="2"/>
    </row>
    <row r="5" spans="1:41" s="3" customFormat="1" ht="24.75" customHeight="1" x14ac:dyDescent="0.55000000000000004">
      <c r="A5" s="9" t="s">
        <v>13</v>
      </c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8">
        <f t="shared" ref="AF5:AF35" si="1">SUM(AG5:AJ5)</f>
        <v>0</v>
      </c>
      <c r="AG5" s="8">
        <f t="shared" ref="AG5:AG35" si="2">COUNTIF(B5:AE5,"V")+COUNTIF(B5:AE5,"V1")/2+COUNTIF(B5:AE5,"V2")/2</f>
        <v>0</v>
      </c>
      <c r="AH5" s="8">
        <f t="shared" ref="AH5:AH35" si="3">COUNTIF(B5:AE5,"S")+COUNTIF(B5:AE5,"S1")/2+COUNTIF(B5:AE5,"S2")/2</f>
        <v>0</v>
      </c>
      <c r="AI5" s="8">
        <f t="shared" ref="AI5:AI35" si="4">COUNTIF(B5:AE5,"M")</f>
        <v>0</v>
      </c>
      <c r="AJ5" s="8">
        <f t="shared" ref="AJ5:AJ35" si="5">COUNTIF(B5:AE5,"U")</f>
        <v>0</v>
      </c>
      <c r="AK5" s="23"/>
      <c r="AL5" s="32" t="s">
        <v>14</v>
      </c>
      <c r="AM5" s="25" t="s">
        <v>102</v>
      </c>
      <c r="AN5" s="2"/>
      <c r="AO5" s="2"/>
    </row>
    <row r="6" spans="1:41" s="3" customFormat="1" ht="25.15" customHeight="1" x14ac:dyDescent="0.55000000000000004">
      <c r="A6" s="10" t="s">
        <v>34</v>
      </c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8">
        <f t="shared" si="1"/>
        <v>0</v>
      </c>
      <c r="AG6" s="8">
        <f t="shared" si="2"/>
        <v>0</v>
      </c>
      <c r="AH6" s="8">
        <f t="shared" si="3"/>
        <v>0</v>
      </c>
      <c r="AI6" s="8">
        <f t="shared" si="4"/>
        <v>0</v>
      </c>
      <c r="AJ6" s="8">
        <f t="shared" si="5"/>
        <v>0</v>
      </c>
      <c r="AK6" s="23"/>
      <c r="AL6" s="33" t="s">
        <v>103</v>
      </c>
      <c r="AM6" s="25" t="s">
        <v>104</v>
      </c>
      <c r="AN6" s="2"/>
      <c r="AO6" s="2"/>
    </row>
    <row r="7" spans="1:41" s="3" customFormat="1" ht="25.15" customHeight="1" x14ac:dyDescent="0.55000000000000004">
      <c r="A7" s="10" t="s">
        <v>16</v>
      </c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8">
        <f t="shared" si="1"/>
        <v>0</v>
      </c>
      <c r="AG7" s="8">
        <f t="shared" si="2"/>
        <v>0</v>
      </c>
      <c r="AH7" s="8">
        <f t="shared" si="3"/>
        <v>0</v>
      </c>
      <c r="AI7" s="8">
        <f t="shared" si="4"/>
        <v>0</v>
      </c>
      <c r="AJ7" s="8">
        <f t="shared" si="5"/>
        <v>0</v>
      </c>
      <c r="AK7" s="23"/>
      <c r="AL7" s="34" t="s">
        <v>22</v>
      </c>
      <c r="AM7" s="25" t="s">
        <v>105</v>
      </c>
      <c r="AN7" s="2"/>
      <c r="AO7" s="2"/>
    </row>
    <row r="8" spans="1:41" s="3" customFormat="1" ht="25.15" customHeight="1" x14ac:dyDescent="0.55000000000000004">
      <c r="A8" s="10" t="s">
        <v>37</v>
      </c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8">
        <f t="shared" si="1"/>
        <v>0</v>
      </c>
      <c r="AG8" s="8">
        <f t="shared" si="2"/>
        <v>0</v>
      </c>
      <c r="AH8" s="8">
        <f t="shared" si="3"/>
        <v>0</v>
      </c>
      <c r="AI8" s="8">
        <f t="shared" si="4"/>
        <v>0</v>
      </c>
      <c r="AJ8" s="8">
        <f t="shared" si="5"/>
        <v>0</v>
      </c>
      <c r="AK8" s="23"/>
      <c r="AL8" s="35" t="s">
        <v>106</v>
      </c>
      <c r="AM8" s="25" t="s">
        <v>107</v>
      </c>
      <c r="AN8" s="2"/>
      <c r="AO8" s="2"/>
    </row>
    <row r="9" spans="1:41" s="3" customFormat="1" ht="25.15" customHeight="1" x14ac:dyDescent="0.55000000000000004">
      <c r="A9" s="10" t="s">
        <v>33</v>
      </c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8">
        <f t="shared" si="1"/>
        <v>0</v>
      </c>
      <c r="AG9" s="8">
        <f t="shared" si="2"/>
        <v>0</v>
      </c>
      <c r="AH9" s="8">
        <f t="shared" si="3"/>
        <v>0</v>
      </c>
      <c r="AI9" s="8">
        <f t="shared" si="4"/>
        <v>0</v>
      </c>
      <c r="AJ9" s="8">
        <f t="shared" si="5"/>
        <v>0</v>
      </c>
      <c r="AK9" s="23"/>
      <c r="AL9" s="29" t="s">
        <v>108</v>
      </c>
      <c r="AM9" s="25" t="s">
        <v>109</v>
      </c>
      <c r="AN9" s="2"/>
      <c r="AO9" s="2"/>
    </row>
    <row r="10" spans="1:41" s="3" customFormat="1" ht="25.15" customHeight="1" x14ac:dyDescent="0.55000000000000004">
      <c r="A10" s="10" t="s">
        <v>41</v>
      </c>
      <c r="B10" s="22"/>
      <c r="C10" s="22" t="s">
        <v>109</v>
      </c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8">
        <f t="shared" si="1"/>
        <v>0</v>
      </c>
      <c r="AG10" s="8">
        <f t="shared" si="2"/>
        <v>0</v>
      </c>
      <c r="AH10" s="8">
        <f t="shared" si="3"/>
        <v>0</v>
      </c>
      <c r="AI10" s="8">
        <f t="shared" si="4"/>
        <v>0</v>
      </c>
      <c r="AJ10" s="8">
        <f t="shared" si="5"/>
        <v>0</v>
      </c>
      <c r="AK10" s="23"/>
      <c r="AL10" s="30" t="s">
        <v>99</v>
      </c>
      <c r="AM10" s="25" t="s">
        <v>110</v>
      </c>
      <c r="AN10" s="2"/>
      <c r="AO10" s="2"/>
    </row>
    <row r="11" spans="1:41" s="3" customFormat="1" ht="25.15" customHeight="1" x14ac:dyDescent="0.55000000000000004">
      <c r="A11" s="10" t="s">
        <v>39</v>
      </c>
      <c r="B11" s="22"/>
      <c r="C11" s="22" t="s">
        <v>109</v>
      </c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8">
        <f t="shared" si="1"/>
        <v>0</v>
      </c>
      <c r="AG11" s="8">
        <f t="shared" si="2"/>
        <v>0</v>
      </c>
      <c r="AH11" s="8">
        <f t="shared" si="3"/>
        <v>0</v>
      </c>
      <c r="AI11" s="8">
        <f t="shared" si="4"/>
        <v>0</v>
      </c>
      <c r="AJ11" s="8">
        <f t="shared" si="5"/>
        <v>0</v>
      </c>
      <c r="AK11" s="23"/>
      <c r="AL11" s="11"/>
      <c r="AM11" s="40"/>
      <c r="AN11" s="2"/>
      <c r="AO11" s="2"/>
    </row>
    <row r="12" spans="1:41" s="3" customFormat="1" ht="25.15" customHeight="1" x14ac:dyDescent="0.55000000000000004">
      <c r="A12" s="10" t="s">
        <v>42</v>
      </c>
      <c r="B12" s="22"/>
      <c r="C12" s="22" t="s">
        <v>109</v>
      </c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8">
        <f t="shared" si="1"/>
        <v>0</v>
      </c>
      <c r="AG12" s="8">
        <f t="shared" si="2"/>
        <v>0</v>
      </c>
      <c r="AH12" s="8">
        <f t="shared" si="3"/>
        <v>0</v>
      </c>
      <c r="AI12" s="8">
        <f t="shared" si="4"/>
        <v>0</v>
      </c>
      <c r="AJ12" s="8">
        <f t="shared" si="5"/>
        <v>0</v>
      </c>
      <c r="AK12" s="23"/>
      <c r="AL12" s="11"/>
      <c r="AM12" s="40"/>
      <c r="AN12" s="2"/>
      <c r="AO12" s="2"/>
    </row>
    <row r="13" spans="1:41" s="3" customFormat="1" ht="25.15" customHeight="1" x14ac:dyDescent="0.55000000000000004">
      <c r="A13" s="10" t="s">
        <v>31</v>
      </c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8">
        <f t="shared" si="1"/>
        <v>0</v>
      </c>
      <c r="AG13" s="8">
        <f t="shared" si="2"/>
        <v>0</v>
      </c>
      <c r="AH13" s="8">
        <f t="shared" si="3"/>
        <v>0</v>
      </c>
      <c r="AI13" s="8">
        <f t="shared" si="4"/>
        <v>0</v>
      </c>
      <c r="AJ13" s="8">
        <f t="shared" si="5"/>
        <v>0</v>
      </c>
      <c r="AK13" s="23"/>
      <c r="AL13" s="2"/>
      <c r="AM13" s="2"/>
      <c r="AN13" s="2"/>
      <c r="AO13" s="2"/>
    </row>
    <row r="14" spans="1:41" s="3" customFormat="1" ht="25.15" customHeight="1" x14ac:dyDescent="0.55000000000000004">
      <c r="A14" s="10" t="s">
        <v>36</v>
      </c>
      <c r="B14" s="22"/>
      <c r="C14" s="22" t="s">
        <v>109</v>
      </c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8">
        <f t="shared" si="1"/>
        <v>0</v>
      </c>
      <c r="AG14" s="8">
        <f t="shared" si="2"/>
        <v>0</v>
      </c>
      <c r="AH14" s="8">
        <f t="shared" si="3"/>
        <v>0</v>
      </c>
      <c r="AI14" s="8">
        <f t="shared" si="4"/>
        <v>0</v>
      </c>
      <c r="AJ14" s="8">
        <f t="shared" si="5"/>
        <v>0</v>
      </c>
      <c r="AK14" s="23"/>
      <c r="AL14" s="2"/>
      <c r="AM14" s="2"/>
      <c r="AN14" s="2"/>
      <c r="AO14" s="2"/>
    </row>
    <row r="15" spans="1:41" s="3" customFormat="1" ht="25.15" customHeight="1" x14ac:dyDescent="0.55000000000000004">
      <c r="A15" s="10" t="s">
        <v>32</v>
      </c>
      <c r="B15" s="22"/>
      <c r="C15" s="22" t="s">
        <v>109</v>
      </c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8">
        <f t="shared" si="1"/>
        <v>0</v>
      </c>
      <c r="AG15" s="8">
        <f t="shared" si="2"/>
        <v>0</v>
      </c>
      <c r="AH15" s="8">
        <f t="shared" si="3"/>
        <v>0</v>
      </c>
      <c r="AI15" s="8">
        <f t="shared" si="4"/>
        <v>0</v>
      </c>
      <c r="AJ15" s="8">
        <f t="shared" si="5"/>
        <v>0</v>
      </c>
      <c r="AK15" s="2"/>
      <c r="AL15" s="2"/>
      <c r="AM15" s="2"/>
      <c r="AN15" s="2"/>
      <c r="AO15" s="2"/>
    </row>
    <row r="16" spans="1:41" ht="23.5" customHeight="1" x14ac:dyDescent="0.55000000000000004">
      <c r="A16" s="10" t="s">
        <v>28</v>
      </c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8">
        <f t="shared" si="1"/>
        <v>0</v>
      </c>
      <c r="AG16" s="8">
        <f t="shared" si="2"/>
        <v>0</v>
      </c>
      <c r="AH16" s="8">
        <f t="shared" si="3"/>
        <v>0</v>
      </c>
      <c r="AI16" s="8">
        <f t="shared" si="4"/>
        <v>0</v>
      </c>
      <c r="AJ16" s="8">
        <f t="shared" si="5"/>
        <v>0</v>
      </c>
      <c r="AN16" s="2"/>
      <c r="AO16" s="2"/>
    </row>
    <row r="17" spans="1:36" ht="23.5" customHeight="1" x14ac:dyDescent="0.55000000000000004">
      <c r="A17" s="10" t="s">
        <v>111</v>
      </c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8">
        <f t="shared" si="1"/>
        <v>0</v>
      </c>
      <c r="AG17" s="8">
        <f t="shared" si="2"/>
        <v>0</v>
      </c>
      <c r="AH17" s="8">
        <f t="shared" si="3"/>
        <v>0</v>
      </c>
      <c r="AI17" s="8">
        <f t="shared" si="4"/>
        <v>0</v>
      </c>
      <c r="AJ17" s="8">
        <f t="shared" si="5"/>
        <v>0</v>
      </c>
    </row>
    <row r="18" spans="1:36" ht="23.5" customHeight="1" x14ac:dyDescent="0.55000000000000004">
      <c r="A18" s="10" t="s">
        <v>21</v>
      </c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8">
        <f t="shared" si="1"/>
        <v>0</v>
      </c>
      <c r="AG18" s="8">
        <f t="shared" si="2"/>
        <v>0</v>
      </c>
      <c r="AH18" s="8">
        <f t="shared" si="3"/>
        <v>0</v>
      </c>
      <c r="AI18" s="8">
        <f t="shared" si="4"/>
        <v>0</v>
      </c>
      <c r="AJ18" s="8">
        <f t="shared" si="5"/>
        <v>0</v>
      </c>
    </row>
    <row r="19" spans="1:36" ht="23.5" customHeight="1" x14ac:dyDescent="0.55000000000000004">
      <c r="A19" s="10" t="s">
        <v>35</v>
      </c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8">
        <f t="shared" si="1"/>
        <v>0</v>
      </c>
      <c r="AG19" s="8">
        <f t="shared" si="2"/>
        <v>0</v>
      </c>
      <c r="AH19" s="8">
        <f t="shared" si="3"/>
        <v>0</v>
      </c>
      <c r="AI19" s="8">
        <f t="shared" si="4"/>
        <v>0</v>
      </c>
      <c r="AJ19" s="8">
        <f t="shared" si="5"/>
        <v>0</v>
      </c>
    </row>
    <row r="20" spans="1:36" ht="23.5" customHeight="1" x14ac:dyDescent="0.55000000000000004">
      <c r="A20" s="10" t="s">
        <v>43</v>
      </c>
      <c r="B20" s="22"/>
      <c r="C20" s="22" t="s">
        <v>109</v>
      </c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8">
        <f t="shared" si="1"/>
        <v>0</v>
      </c>
      <c r="AG20" s="8">
        <f t="shared" si="2"/>
        <v>0</v>
      </c>
      <c r="AH20" s="8">
        <f t="shared" si="3"/>
        <v>0</v>
      </c>
      <c r="AI20" s="8">
        <f t="shared" si="4"/>
        <v>0</v>
      </c>
      <c r="AJ20" s="8">
        <f t="shared" si="5"/>
        <v>0</v>
      </c>
    </row>
    <row r="21" spans="1:36" ht="23.5" customHeight="1" x14ac:dyDescent="0.55000000000000004">
      <c r="A21" s="10" t="s">
        <v>112</v>
      </c>
      <c r="B21" s="22"/>
      <c r="C21" s="22" t="s">
        <v>109</v>
      </c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8">
        <f t="shared" si="1"/>
        <v>0</v>
      </c>
      <c r="AG21" s="8">
        <f t="shared" si="2"/>
        <v>0</v>
      </c>
      <c r="AH21" s="8">
        <f t="shared" si="3"/>
        <v>0</v>
      </c>
      <c r="AI21" s="8">
        <f t="shared" si="4"/>
        <v>0</v>
      </c>
      <c r="AJ21" s="8">
        <f t="shared" si="5"/>
        <v>0</v>
      </c>
    </row>
    <row r="22" spans="1:36" ht="23.5" customHeight="1" x14ac:dyDescent="0.55000000000000004">
      <c r="A22" s="10" t="s">
        <v>26</v>
      </c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8">
        <f t="shared" si="1"/>
        <v>0</v>
      </c>
      <c r="AG22" s="8">
        <f t="shared" si="2"/>
        <v>0</v>
      </c>
      <c r="AH22" s="8">
        <f t="shared" si="3"/>
        <v>0</v>
      </c>
      <c r="AI22" s="8">
        <f t="shared" si="4"/>
        <v>0</v>
      </c>
      <c r="AJ22" s="8">
        <f t="shared" si="5"/>
        <v>0</v>
      </c>
    </row>
    <row r="23" spans="1:36" ht="23.5" customHeight="1" x14ac:dyDescent="0.55000000000000004">
      <c r="A23" s="10" t="s">
        <v>27</v>
      </c>
      <c r="B23" s="22"/>
      <c r="C23" s="22" t="s">
        <v>109</v>
      </c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8">
        <f t="shared" si="1"/>
        <v>0</v>
      </c>
      <c r="AG23" s="8">
        <f t="shared" si="2"/>
        <v>0</v>
      </c>
      <c r="AH23" s="8">
        <f t="shared" si="3"/>
        <v>0</v>
      </c>
      <c r="AI23" s="8">
        <f t="shared" si="4"/>
        <v>0</v>
      </c>
      <c r="AJ23" s="8">
        <f t="shared" si="5"/>
        <v>0</v>
      </c>
    </row>
    <row r="24" spans="1:36" ht="23.5" customHeight="1" x14ac:dyDescent="0.55000000000000004">
      <c r="A24" s="10" t="s">
        <v>20</v>
      </c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8">
        <f t="shared" si="1"/>
        <v>0</v>
      </c>
      <c r="AG24" s="8">
        <f t="shared" si="2"/>
        <v>0</v>
      </c>
      <c r="AH24" s="8">
        <f t="shared" si="3"/>
        <v>0</v>
      </c>
      <c r="AI24" s="8">
        <f t="shared" si="4"/>
        <v>0</v>
      </c>
      <c r="AJ24" s="8">
        <f t="shared" si="5"/>
        <v>0</v>
      </c>
    </row>
    <row r="25" spans="1:36" ht="23.5" customHeight="1" x14ac:dyDescent="0.55000000000000004">
      <c r="A25" s="10" t="s">
        <v>38</v>
      </c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8">
        <f t="shared" si="1"/>
        <v>0</v>
      </c>
      <c r="AG25" s="8">
        <f t="shared" si="2"/>
        <v>0</v>
      </c>
      <c r="AH25" s="8">
        <f t="shared" si="3"/>
        <v>0</v>
      </c>
      <c r="AI25" s="8">
        <f t="shared" si="4"/>
        <v>0</v>
      </c>
      <c r="AJ25" s="8">
        <f t="shared" si="5"/>
        <v>0</v>
      </c>
    </row>
    <row r="26" spans="1:36" ht="23.5" customHeight="1" x14ac:dyDescent="0.55000000000000004">
      <c r="A26" s="10" t="s">
        <v>25</v>
      </c>
      <c r="B26" s="22"/>
      <c r="C26" s="22" t="s">
        <v>109</v>
      </c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8">
        <f t="shared" si="1"/>
        <v>0</v>
      </c>
      <c r="AG26" s="8">
        <f t="shared" si="2"/>
        <v>0</v>
      </c>
      <c r="AH26" s="8">
        <f t="shared" si="3"/>
        <v>0</v>
      </c>
      <c r="AI26" s="8">
        <f t="shared" si="4"/>
        <v>0</v>
      </c>
      <c r="AJ26" s="8">
        <f t="shared" si="5"/>
        <v>0</v>
      </c>
    </row>
    <row r="27" spans="1:36" ht="23.5" customHeight="1" x14ac:dyDescent="0.55000000000000004">
      <c r="A27" s="10" t="s">
        <v>40</v>
      </c>
      <c r="B27" s="22"/>
      <c r="C27" s="22" t="s">
        <v>109</v>
      </c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8">
        <f t="shared" si="1"/>
        <v>0</v>
      </c>
      <c r="AG27" s="8">
        <f t="shared" si="2"/>
        <v>0</v>
      </c>
      <c r="AH27" s="8">
        <f t="shared" si="3"/>
        <v>0</v>
      </c>
      <c r="AI27" s="8">
        <f t="shared" si="4"/>
        <v>0</v>
      </c>
      <c r="AJ27" s="8">
        <f t="shared" si="5"/>
        <v>0</v>
      </c>
    </row>
    <row r="28" spans="1:36" ht="23.5" customHeight="1" x14ac:dyDescent="0.55000000000000004">
      <c r="A28" s="10" t="s">
        <v>24</v>
      </c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8">
        <f t="shared" si="1"/>
        <v>0</v>
      </c>
      <c r="AG28" s="8">
        <f t="shared" si="2"/>
        <v>0</v>
      </c>
      <c r="AH28" s="8">
        <f t="shared" si="3"/>
        <v>0</v>
      </c>
      <c r="AI28" s="8">
        <f t="shared" si="4"/>
        <v>0</v>
      </c>
      <c r="AJ28" s="8">
        <f t="shared" si="5"/>
        <v>0</v>
      </c>
    </row>
    <row r="29" spans="1:36" ht="23.5" customHeight="1" x14ac:dyDescent="0.55000000000000004">
      <c r="A29" s="10" t="s">
        <v>23</v>
      </c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8">
        <f t="shared" si="1"/>
        <v>0</v>
      </c>
      <c r="AG29" s="8">
        <f t="shared" si="2"/>
        <v>0</v>
      </c>
      <c r="AH29" s="8">
        <f t="shared" si="3"/>
        <v>0</v>
      </c>
      <c r="AI29" s="8">
        <f t="shared" si="4"/>
        <v>0</v>
      </c>
      <c r="AJ29" s="8">
        <f t="shared" si="5"/>
        <v>0</v>
      </c>
    </row>
    <row r="30" spans="1:36" ht="23.5" customHeight="1" x14ac:dyDescent="0.55000000000000004">
      <c r="A30" s="10" t="s">
        <v>50</v>
      </c>
      <c r="B30" s="22"/>
      <c r="C30" s="22" t="s">
        <v>109</v>
      </c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8">
        <f t="shared" si="1"/>
        <v>0</v>
      </c>
      <c r="AG30" s="8">
        <f t="shared" si="2"/>
        <v>0</v>
      </c>
      <c r="AH30" s="8">
        <f t="shared" si="3"/>
        <v>0</v>
      </c>
      <c r="AI30" s="8">
        <f t="shared" si="4"/>
        <v>0</v>
      </c>
      <c r="AJ30" s="8">
        <f t="shared" si="5"/>
        <v>0</v>
      </c>
    </row>
    <row r="31" spans="1:36" ht="23.5" customHeight="1" x14ac:dyDescent="0.55000000000000004">
      <c r="A31" s="10" t="s">
        <v>45</v>
      </c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8">
        <f t="shared" si="1"/>
        <v>0</v>
      </c>
      <c r="AG31" s="8">
        <f t="shared" si="2"/>
        <v>0</v>
      </c>
      <c r="AH31" s="8">
        <f t="shared" si="3"/>
        <v>0</v>
      </c>
      <c r="AI31" s="8">
        <f t="shared" si="4"/>
        <v>0</v>
      </c>
      <c r="AJ31" s="8">
        <f t="shared" si="5"/>
        <v>0</v>
      </c>
    </row>
    <row r="32" spans="1:36" ht="23.5" customHeight="1" x14ac:dyDescent="0.55000000000000004">
      <c r="A32" s="10" t="s">
        <v>113</v>
      </c>
      <c r="B32" s="22"/>
      <c r="C32" s="22" t="s">
        <v>109</v>
      </c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/>
      <c r="AF32" s="8">
        <f t="shared" si="1"/>
        <v>0</v>
      </c>
      <c r="AG32" s="8">
        <f t="shared" si="2"/>
        <v>0</v>
      </c>
      <c r="AH32" s="8">
        <f t="shared" si="3"/>
        <v>0</v>
      </c>
      <c r="AI32" s="8">
        <f t="shared" si="4"/>
        <v>0</v>
      </c>
      <c r="AJ32" s="8">
        <f t="shared" si="5"/>
        <v>0</v>
      </c>
    </row>
    <row r="33" spans="1:36" ht="23.5" customHeight="1" x14ac:dyDescent="0.55000000000000004">
      <c r="A33" s="10" t="s">
        <v>46</v>
      </c>
      <c r="B33" s="22"/>
      <c r="C33" s="22" t="s">
        <v>109</v>
      </c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8">
        <f t="shared" si="1"/>
        <v>0</v>
      </c>
      <c r="AG33" s="8">
        <f t="shared" si="2"/>
        <v>0</v>
      </c>
      <c r="AH33" s="8">
        <f t="shared" si="3"/>
        <v>0</v>
      </c>
      <c r="AI33" s="8">
        <f t="shared" si="4"/>
        <v>0</v>
      </c>
      <c r="AJ33" s="8">
        <f t="shared" si="5"/>
        <v>0</v>
      </c>
    </row>
    <row r="34" spans="1:36" ht="23.5" customHeight="1" x14ac:dyDescent="0.55000000000000004">
      <c r="A34" s="10" t="s">
        <v>53</v>
      </c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8">
        <f t="shared" si="1"/>
        <v>0</v>
      </c>
      <c r="AG34" s="8">
        <f t="shared" si="2"/>
        <v>0</v>
      </c>
      <c r="AH34" s="8">
        <f t="shared" si="3"/>
        <v>0</v>
      </c>
      <c r="AI34" s="8">
        <f t="shared" si="4"/>
        <v>0</v>
      </c>
      <c r="AJ34" s="8">
        <f t="shared" si="5"/>
        <v>0</v>
      </c>
    </row>
    <row r="35" spans="1:36" ht="23.5" customHeight="1" x14ac:dyDescent="0.55000000000000004">
      <c r="A35" s="10" t="s">
        <v>114</v>
      </c>
      <c r="B35" s="22"/>
      <c r="C35" s="22" t="s">
        <v>109</v>
      </c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8">
        <f t="shared" si="1"/>
        <v>0</v>
      </c>
      <c r="AG35" s="8">
        <f t="shared" si="2"/>
        <v>0</v>
      </c>
      <c r="AH35" s="8">
        <f t="shared" si="3"/>
        <v>0</v>
      </c>
      <c r="AI35" s="8">
        <f t="shared" si="4"/>
        <v>0</v>
      </c>
      <c r="AJ35" s="8">
        <f t="shared" si="5"/>
        <v>0</v>
      </c>
    </row>
    <row r="36" spans="1:36" x14ac:dyDescent="0.35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5"/>
      <c r="AG36" s="15"/>
      <c r="AH36" s="15"/>
      <c r="AI36" s="15"/>
      <c r="AJ36" s="15"/>
    </row>
    <row r="37" spans="1:36" x14ac:dyDescent="0.35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5"/>
      <c r="AG37" s="15"/>
      <c r="AH37" s="15"/>
      <c r="AI37" s="15"/>
      <c r="AJ37" s="15"/>
    </row>
  </sheetData>
  <mergeCells count="9">
    <mergeCell ref="AL3:AL4"/>
    <mergeCell ref="AM3:AM4"/>
    <mergeCell ref="A1:AJ2"/>
    <mergeCell ref="A3:A4"/>
    <mergeCell ref="AF3:AF4"/>
    <mergeCell ref="AG3:AG4"/>
    <mergeCell ref="AH3:AH4"/>
    <mergeCell ref="AI3:AI4"/>
    <mergeCell ref="AJ3:AJ4"/>
  </mergeCells>
  <conditionalFormatting sqref="B5:AE35">
    <cfRule type="cellIs" dxfId="35" priority="2" operator="equal">
      <formula>"U"</formula>
    </cfRule>
    <cfRule type="cellIs" dxfId="34" priority="3" operator="equal">
      <formula>"M"</formula>
    </cfRule>
    <cfRule type="beginsWith" dxfId="33" priority="4" operator="beginsWith" text="S">
      <formula>LEFT(B5,1)="S"</formula>
    </cfRule>
    <cfRule type="beginsWith" dxfId="32" priority="5" operator="beginsWith" text="V">
      <formula>LEFT(B5,1)="V"</formula>
    </cfRule>
  </conditionalFormatting>
  <conditionalFormatting sqref="AF5:AJ35">
    <cfRule type="cellIs" dxfId="31" priority="1" operator="equal">
      <formula>0</formula>
    </cfRule>
  </conditionalFormatting>
  <dataValidations count="1">
    <dataValidation type="list" allowBlank="1" showInputMessage="1" showErrorMessage="1" sqref="B5:AE35" xr:uid="{00000000-0002-0000-0800-000000000000}">
      <formula1>$AM$5:$AM$12</formula1>
    </dataValidation>
  </dataValidation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BAD698-21D3-437F-9E8B-E41817084236}">
  <sheetPr codeName="Sheet9"/>
  <dimension ref="A1:AP35"/>
  <sheetViews>
    <sheetView topLeftCell="A19" zoomScale="40" zoomScaleNormal="40" workbookViewId="0">
      <selection activeCell="E5" sqref="E5"/>
    </sheetView>
  </sheetViews>
  <sheetFormatPr defaultRowHeight="14.5" x14ac:dyDescent="0.35"/>
  <cols>
    <col min="1" max="1" width="30.54296875" customWidth="1"/>
    <col min="2" max="2" width="5.26953125" bestFit="1" customWidth="1"/>
    <col min="3" max="32" width="5.7265625" customWidth="1"/>
    <col min="33" max="33" width="14.54296875" customWidth="1"/>
    <col min="34" max="37" width="11.26953125" customWidth="1"/>
    <col min="38" max="38" width="9.1796875" customWidth="1"/>
    <col min="39" max="39" width="29.26953125" bestFit="1" customWidth="1"/>
  </cols>
  <sheetData>
    <row r="1" spans="1:42" s="3" customFormat="1" ht="25.15" customHeight="1" x14ac:dyDescent="0.35">
      <c r="A1" s="86" t="s">
        <v>123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2"/>
      <c r="AM1" s="2"/>
      <c r="AN1" s="2"/>
      <c r="AO1" s="2"/>
      <c r="AP1" s="2"/>
    </row>
    <row r="2" spans="1:42" s="3" customFormat="1" ht="25.15" customHeight="1" x14ac:dyDescent="0.35">
      <c r="A2" s="87"/>
      <c r="B2" s="87"/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87"/>
      <c r="AJ2" s="87"/>
      <c r="AK2" s="87"/>
      <c r="AL2" s="2"/>
      <c r="AM2" s="2"/>
      <c r="AN2" s="2"/>
      <c r="AO2" s="2"/>
      <c r="AP2" s="2"/>
    </row>
    <row r="3" spans="1:42" s="3" customFormat="1" ht="25.15" customHeight="1" x14ac:dyDescent="0.35">
      <c r="A3" s="88" t="s">
        <v>119</v>
      </c>
      <c r="B3" s="42" t="str">
        <f>IF(B4="","",INDEX({"Sun";"Mon";"Tue";"Wen";"Thu";"Fri";"Sat"},WEEKDAY(B4,1)))</f>
        <v>Wen</v>
      </c>
      <c r="C3" s="42" t="str">
        <f>IF(C4="","",INDEX({"Sun";"Mon";"Tue";"Wen";"Thu";"Fri";"Sat"},WEEKDAY(C4,1)))</f>
        <v>Thu</v>
      </c>
      <c r="D3" s="42" t="str">
        <f>IF(D4="","",INDEX({"Sun";"Mon";"Tue";"Wen";"Thu";"Fri";"Sat"},WEEKDAY(D4,1)))</f>
        <v>Fri</v>
      </c>
      <c r="E3" s="42" t="str">
        <f>IF(E4="","",INDEX({"Sun";"Mon";"Tue";"Wen";"Thu";"Fri";"Sat"},WEEKDAY(E4,1)))</f>
        <v>Sat</v>
      </c>
      <c r="F3" s="42" t="str">
        <f>IF(F4="","",INDEX({"Sun";"Mon";"Tue";"Wen";"Thu";"Fri";"Sat"},WEEKDAY(F4,1)))</f>
        <v>Sun</v>
      </c>
      <c r="G3" s="42" t="str">
        <f>IF(G4="","",INDEX({"Sun";"Mon";"Tue";"Wen";"Thu";"Fri";"Sat"},WEEKDAY(G4,1)))</f>
        <v>Mon</v>
      </c>
      <c r="H3" s="42" t="str">
        <f>IF(H4="","",INDEX({"Sun";"Mon";"Tue";"Wen";"Thu";"Fri";"Sat"},WEEKDAY(H4,1)))</f>
        <v>Tue</v>
      </c>
      <c r="I3" s="42" t="str">
        <f>IF(I4="","",INDEX({"Sun";"Mon";"Tue";"Wen";"Thu";"Fri";"Sat"},WEEKDAY(I4,1)))</f>
        <v>Wen</v>
      </c>
      <c r="J3" s="42" t="str">
        <f>IF(J4="","",INDEX({"Sun";"Mon";"Tue";"Wen";"Thu";"Fri";"Sat"},WEEKDAY(J4,1)))</f>
        <v>Thu</v>
      </c>
      <c r="K3" s="42" t="str">
        <f>IF(K4="","",INDEX({"Sun";"Mon";"Tue";"Wen";"Thu";"Fri";"Sat"},WEEKDAY(K4,1)))</f>
        <v>Fri</v>
      </c>
      <c r="L3" s="42" t="str">
        <f>IF(L4="","",INDEX({"Sun";"Mon";"Tue";"Wen";"Thu";"Fri";"Sat"},WEEKDAY(L4,1)))</f>
        <v>Sat</v>
      </c>
      <c r="M3" s="42" t="str">
        <f>IF(M4="","",INDEX({"Sun";"Mon";"Tue";"Wen";"Thu";"Fri";"Sat"},WEEKDAY(M4,1)))</f>
        <v>Sun</v>
      </c>
      <c r="N3" s="42" t="str">
        <f>IF(N4="","",INDEX({"Sun";"Mon";"Tue";"Wen";"Thu";"Fri";"Sat"},WEEKDAY(N4,1)))</f>
        <v>Mon</v>
      </c>
      <c r="O3" s="42" t="str">
        <f>IF(O4="","",INDEX({"Sun";"Mon";"Tue";"Wen";"Thu";"Fri";"Sat"},WEEKDAY(O4,1)))</f>
        <v>Tue</v>
      </c>
      <c r="P3" s="42" t="str">
        <f>IF(P4="","",INDEX({"Sun";"Mon";"Tue";"Wen";"Thu";"Fri";"Sat"},WEEKDAY(P4,1)))</f>
        <v>Wen</v>
      </c>
      <c r="Q3" s="42" t="str">
        <f>IF(Q4="","",INDEX({"Sun";"Mon";"Tue";"Wen";"Thu";"Fri";"Sat"},WEEKDAY(Q4,1)))</f>
        <v>Thu</v>
      </c>
      <c r="R3" s="42" t="str">
        <f>IF(R4="","",INDEX({"Sun";"Mon";"Tue";"Wen";"Thu";"Fri";"Sat"},WEEKDAY(R4,1)))</f>
        <v>Fri</v>
      </c>
      <c r="S3" s="42" t="str">
        <f>IF(S4="","",INDEX({"Sun";"Mon";"Tue";"Wen";"Thu";"Fri";"Sat"},WEEKDAY(S4,1)))</f>
        <v>Sat</v>
      </c>
      <c r="T3" s="42" t="str">
        <f>IF(T4="","",INDEX({"Sun";"Mon";"Tue";"Wen";"Thu";"Fri";"Sat"},WEEKDAY(T4,1)))</f>
        <v>Sun</v>
      </c>
      <c r="U3" s="42" t="str">
        <f>IF(U4="","",INDEX({"Sun";"Mon";"Tue";"Wen";"Thu";"Fri";"Sat"},WEEKDAY(U4,1)))</f>
        <v>Mon</v>
      </c>
      <c r="V3" s="42" t="str">
        <f>IF(V4="","",INDEX({"Sun";"Mon";"Tue";"Wen";"Thu";"Fri";"Sat"},WEEKDAY(V4,1)))</f>
        <v>Tue</v>
      </c>
      <c r="W3" s="42" t="str">
        <f>IF(W4="","",INDEX({"Sun";"Mon";"Tue";"Wen";"Thu";"Fri";"Sat"},WEEKDAY(W4,1)))</f>
        <v>Wen</v>
      </c>
      <c r="X3" s="42" t="str">
        <f>IF(X4="","",INDEX({"Sun";"Mon";"Tue";"Wen";"Thu";"Fri";"Sat"},WEEKDAY(X4,1)))</f>
        <v>Thu</v>
      </c>
      <c r="Y3" s="42" t="str">
        <f>IF(Y4="","",INDEX({"Sun";"Mon";"Tue";"Wen";"Thu";"Fri";"Sat"},WEEKDAY(Y4,1)))</f>
        <v>Fri</v>
      </c>
      <c r="Z3" s="42" t="str">
        <f>IF(Z4="","",INDEX({"Sun";"Mon";"Tue";"Wen";"Thu";"Fri";"Sat"},WEEKDAY(Z4,1)))</f>
        <v>Sat</v>
      </c>
      <c r="AA3" s="42" t="str">
        <f>IF(AA4="","",INDEX({"Sun";"Mon";"Tue";"Wen";"Thu";"Fri";"Sat"},WEEKDAY(AA4,1)))</f>
        <v>Sun</v>
      </c>
      <c r="AB3" s="42" t="str">
        <f>IF(AB4="","",INDEX({"Sun";"Mon";"Tue";"Wen";"Thu";"Fri";"Sat"},WEEKDAY(AB4,1)))</f>
        <v>Mon</v>
      </c>
      <c r="AC3" s="42" t="str">
        <f>IF(AC4="","",INDEX({"Sun";"Mon";"Tue";"Wen";"Thu";"Fri";"Sat"},WEEKDAY(AC4,1)))</f>
        <v>Tue</v>
      </c>
      <c r="AD3" s="42" t="str">
        <f>IF(AD4="","",INDEX({"Sun";"Mon";"Tue";"Wen";"Thu";"Fri";"Sat"},WEEKDAY(AD4,1)))</f>
        <v>Wen</v>
      </c>
      <c r="AE3" s="42" t="str">
        <f>IF(AE4="","",INDEX({"Sun";"Mon";"Tue";"Wen";"Thu";"Fri";"Sat"},WEEKDAY(AE4,1)))</f>
        <v>Thu</v>
      </c>
      <c r="AF3" s="42" t="str">
        <f>IF(AF4="","",INDEX({"Sun";"Mon";"Tue";"Wen";"Thu";"Fri";"Sat"},WEEKDAY(AF4,1)))</f>
        <v>Fri</v>
      </c>
      <c r="AG3" s="89" t="s">
        <v>95</v>
      </c>
      <c r="AH3" s="90" t="s">
        <v>96</v>
      </c>
      <c r="AI3" s="91" t="s">
        <v>116</v>
      </c>
      <c r="AJ3" s="92" t="s">
        <v>98</v>
      </c>
      <c r="AK3" s="93" t="s">
        <v>99</v>
      </c>
      <c r="AL3" s="19"/>
      <c r="AM3" s="75" t="s">
        <v>117</v>
      </c>
      <c r="AN3" s="75" t="s">
        <v>101</v>
      </c>
      <c r="AO3" s="2"/>
      <c r="AP3" s="2"/>
    </row>
    <row r="4" spans="1:42" s="3" customFormat="1" ht="25.15" customHeight="1" x14ac:dyDescent="0.35">
      <c r="A4" s="88"/>
      <c r="B4" s="43">
        <f>DATE(Year!$B$2,7,1)</f>
        <v>46204</v>
      </c>
      <c r="C4" s="44">
        <f t="shared" ref="C4:AF4" si="0">B4+1</f>
        <v>46205</v>
      </c>
      <c r="D4" s="44">
        <f t="shared" si="0"/>
        <v>46206</v>
      </c>
      <c r="E4" s="44">
        <f t="shared" si="0"/>
        <v>46207</v>
      </c>
      <c r="F4" s="44">
        <f t="shared" si="0"/>
        <v>46208</v>
      </c>
      <c r="G4" s="44">
        <f t="shared" si="0"/>
        <v>46209</v>
      </c>
      <c r="H4" s="44">
        <f t="shared" si="0"/>
        <v>46210</v>
      </c>
      <c r="I4" s="44">
        <f t="shared" si="0"/>
        <v>46211</v>
      </c>
      <c r="J4" s="44">
        <f t="shared" si="0"/>
        <v>46212</v>
      </c>
      <c r="K4" s="44">
        <f t="shared" si="0"/>
        <v>46213</v>
      </c>
      <c r="L4" s="44">
        <f t="shared" si="0"/>
        <v>46214</v>
      </c>
      <c r="M4" s="44">
        <f t="shared" si="0"/>
        <v>46215</v>
      </c>
      <c r="N4" s="44">
        <f t="shared" si="0"/>
        <v>46216</v>
      </c>
      <c r="O4" s="44">
        <f t="shared" si="0"/>
        <v>46217</v>
      </c>
      <c r="P4" s="44">
        <f t="shared" si="0"/>
        <v>46218</v>
      </c>
      <c r="Q4" s="44">
        <f t="shared" si="0"/>
        <v>46219</v>
      </c>
      <c r="R4" s="44">
        <f t="shared" si="0"/>
        <v>46220</v>
      </c>
      <c r="S4" s="44">
        <f t="shared" si="0"/>
        <v>46221</v>
      </c>
      <c r="T4" s="44">
        <f t="shared" si="0"/>
        <v>46222</v>
      </c>
      <c r="U4" s="44">
        <f t="shared" si="0"/>
        <v>46223</v>
      </c>
      <c r="V4" s="44">
        <f t="shared" si="0"/>
        <v>46224</v>
      </c>
      <c r="W4" s="44">
        <f t="shared" si="0"/>
        <v>46225</v>
      </c>
      <c r="X4" s="44">
        <f t="shared" si="0"/>
        <v>46226</v>
      </c>
      <c r="Y4" s="44">
        <f t="shared" si="0"/>
        <v>46227</v>
      </c>
      <c r="Z4" s="44">
        <f t="shared" si="0"/>
        <v>46228</v>
      </c>
      <c r="AA4" s="44">
        <f t="shared" si="0"/>
        <v>46229</v>
      </c>
      <c r="AB4" s="44">
        <f t="shared" si="0"/>
        <v>46230</v>
      </c>
      <c r="AC4" s="44">
        <f t="shared" si="0"/>
        <v>46231</v>
      </c>
      <c r="AD4" s="44">
        <f t="shared" si="0"/>
        <v>46232</v>
      </c>
      <c r="AE4" s="44">
        <f t="shared" si="0"/>
        <v>46233</v>
      </c>
      <c r="AF4" s="44">
        <f t="shared" si="0"/>
        <v>46234</v>
      </c>
      <c r="AG4" s="89"/>
      <c r="AH4" s="90"/>
      <c r="AI4" s="91"/>
      <c r="AJ4" s="92"/>
      <c r="AK4" s="94"/>
      <c r="AL4" s="19"/>
      <c r="AM4" s="76"/>
      <c r="AN4" s="76"/>
      <c r="AO4" s="2"/>
      <c r="AP4" s="2"/>
    </row>
    <row r="5" spans="1:42" s="3" customFormat="1" ht="24.75" customHeight="1" x14ac:dyDescent="0.55000000000000004">
      <c r="A5" s="9" t="s">
        <v>13</v>
      </c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8">
        <f t="shared" ref="AG5:AG35" si="1">SUM(AH5:AK5)</f>
        <v>0</v>
      </c>
      <c r="AH5" s="8">
        <f t="shared" ref="AH5:AH35" si="2">COUNTIF(B5:AF5,"V")+COUNTIF(B5:AF5,"V1")/2+COUNTIF(B5:AF5,"V2")/2</f>
        <v>0</v>
      </c>
      <c r="AI5" s="8">
        <f t="shared" ref="AI5:AI35" si="3">COUNTIF(B5:AF5,"S")+COUNTIF(B5:AF5,"S1")/2+COUNTIF(B5:AF5,"S2")/2</f>
        <v>0</v>
      </c>
      <c r="AJ5" s="8">
        <f t="shared" ref="AJ5:AJ35" si="4">COUNTIF(B5:AF5,"M")</f>
        <v>0</v>
      </c>
      <c r="AK5" s="8">
        <f t="shared" ref="AK5:AK35" si="5">COUNTIF(B5:AF5,"U")</f>
        <v>0</v>
      </c>
      <c r="AL5" s="23"/>
      <c r="AM5" s="32" t="s">
        <v>14</v>
      </c>
      <c r="AN5" s="25" t="s">
        <v>102</v>
      </c>
      <c r="AO5" s="2"/>
      <c r="AP5" s="2"/>
    </row>
    <row r="6" spans="1:42" s="3" customFormat="1" ht="25.15" customHeight="1" x14ac:dyDescent="0.55000000000000004">
      <c r="A6" s="10" t="s">
        <v>34</v>
      </c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8">
        <f t="shared" si="1"/>
        <v>0</v>
      </c>
      <c r="AH6" s="8">
        <f t="shared" si="2"/>
        <v>0</v>
      </c>
      <c r="AI6" s="8">
        <f t="shared" si="3"/>
        <v>0</v>
      </c>
      <c r="AJ6" s="8">
        <f t="shared" si="4"/>
        <v>0</v>
      </c>
      <c r="AK6" s="8">
        <f t="shared" si="5"/>
        <v>0</v>
      </c>
      <c r="AL6" s="23"/>
      <c r="AM6" s="33" t="s">
        <v>103</v>
      </c>
      <c r="AN6" s="25" t="s">
        <v>104</v>
      </c>
      <c r="AO6" s="2"/>
      <c r="AP6" s="2"/>
    </row>
    <row r="7" spans="1:42" s="3" customFormat="1" ht="25.15" customHeight="1" x14ac:dyDescent="0.55000000000000004">
      <c r="A7" s="10" t="s">
        <v>16</v>
      </c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8">
        <f t="shared" si="1"/>
        <v>0</v>
      </c>
      <c r="AH7" s="8">
        <f t="shared" si="2"/>
        <v>0</v>
      </c>
      <c r="AI7" s="8">
        <f t="shared" si="3"/>
        <v>0</v>
      </c>
      <c r="AJ7" s="8">
        <f t="shared" si="4"/>
        <v>0</v>
      </c>
      <c r="AK7" s="8">
        <f t="shared" si="5"/>
        <v>0</v>
      </c>
      <c r="AL7" s="23"/>
      <c r="AM7" s="34" t="s">
        <v>22</v>
      </c>
      <c r="AN7" s="25" t="s">
        <v>105</v>
      </c>
      <c r="AO7" s="2"/>
      <c r="AP7" s="2"/>
    </row>
    <row r="8" spans="1:42" s="3" customFormat="1" ht="25.15" customHeight="1" x14ac:dyDescent="0.55000000000000004">
      <c r="A8" s="10" t="s">
        <v>37</v>
      </c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8">
        <f t="shared" si="1"/>
        <v>0</v>
      </c>
      <c r="AH8" s="8">
        <f t="shared" si="2"/>
        <v>0</v>
      </c>
      <c r="AI8" s="8">
        <f t="shared" si="3"/>
        <v>0</v>
      </c>
      <c r="AJ8" s="8">
        <f t="shared" si="4"/>
        <v>0</v>
      </c>
      <c r="AK8" s="8">
        <f t="shared" si="5"/>
        <v>0</v>
      </c>
      <c r="AL8" s="23"/>
      <c r="AM8" s="35" t="s">
        <v>106</v>
      </c>
      <c r="AN8" s="25" t="s">
        <v>107</v>
      </c>
      <c r="AO8" s="2"/>
      <c r="AP8" s="2"/>
    </row>
    <row r="9" spans="1:42" s="3" customFormat="1" ht="25.15" customHeight="1" x14ac:dyDescent="0.55000000000000004">
      <c r="A9" s="10" t="s">
        <v>33</v>
      </c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2"/>
      <c r="AG9" s="8">
        <f t="shared" si="1"/>
        <v>0</v>
      </c>
      <c r="AH9" s="8">
        <f t="shared" si="2"/>
        <v>0</v>
      </c>
      <c r="AI9" s="8">
        <f t="shared" si="3"/>
        <v>0</v>
      </c>
      <c r="AJ9" s="8">
        <f t="shared" si="4"/>
        <v>0</v>
      </c>
      <c r="AK9" s="8">
        <f t="shared" si="5"/>
        <v>0</v>
      </c>
      <c r="AL9" s="23"/>
      <c r="AM9" s="29" t="s">
        <v>108</v>
      </c>
      <c r="AN9" s="25" t="s">
        <v>109</v>
      </c>
      <c r="AO9" s="2"/>
      <c r="AP9" s="2"/>
    </row>
    <row r="10" spans="1:42" s="3" customFormat="1" ht="25.15" customHeight="1" x14ac:dyDescent="0.55000000000000004">
      <c r="A10" s="10" t="s">
        <v>41</v>
      </c>
      <c r="B10" s="22"/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8">
        <f t="shared" si="1"/>
        <v>0</v>
      </c>
      <c r="AH10" s="8">
        <f t="shared" si="2"/>
        <v>0</v>
      </c>
      <c r="AI10" s="8">
        <f t="shared" si="3"/>
        <v>0</v>
      </c>
      <c r="AJ10" s="8">
        <f t="shared" si="4"/>
        <v>0</v>
      </c>
      <c r="AK10" s="8">
        <f t="shared" si="5"/>
        <v>0</v>
      </c>
      <c r="AL10" s="23"/>
      <c r="AM10" s="30" t="s">
        <v>99</v>
      </c>
      <c r="AN10" s="25" t="s">
        <v>110</v>
      </c>
      <c r="AO10" s="2"/>
      <c r="AP10" s="2"/>
    </row>
    <row r="11" spans="1:42" s="3" customFormat="1" ht="25.15" customHeight="1" x14ac:dyDescent="0.55000000000000004">
      <c r="A11" s="10" t="s">
        <v>39</v>
      </c>
      <c r="B11" s="22"/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8">
        <f t="shared" si="1"/>
        <v>0</v>
      </c>
      <c r="AH11" s="8">
        <f t="shared" si="2"/>
        <v>0</v>
      </c>
      <c r="AI11" s="8">
        <f t="shared" si="3"/>
        <v>0</v>
      </c>
      <c r="AJ11" s="8">
        <f t="shared" si="4"/>
        <v>0</v>
      </c>
      <c r="AK11" s="8">
        <f t="shared" si="5"/>
        <v>0</v>
      </c>
      <c r="AL11" s="23"/>
      <c r="AM11" s="11"/>
      <c r="AN11" s="40"/>
      <c r="AO11" s="2"/>
      <c r="AP11" s="2"/>
    </row>
    <row r="12" spans="1:42" s="3" customFormat="1" ht="25.15" customHeight="1" x14ac:dyDescent="0.55000000000000004">
      <c r="A12" s="10" t="s">
        <v>42</v>
      </c>
      <c r="B12" s="22"/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8">
        <f t="shared" si="1"/>
        <v>0</v>
      </c>
      <c r="AH12" s="8">
        <f t="shared" si="2"/>
        <v>0</v>
      </c>
      <c r="AI12" s="8">
        <f t="shared" si="3"/>
        <v>0</v>
      </c>
      <c r="AJ12" s="8">
        <f t="shared" si="4"/>
        <v>0</v>
      </c>
      <c r="AK12" s="8">
        <f t="shared" si="5"/>
        <v>0</v>
      </c>
      <c r="AL12" s="23"/>
      <c r="AM12" s="11"/>
      <c r="AN12" s="40"/>
      <c r="AO12" s="2"/>
      <c r="AP12" s="2"/>
    </row>
    <row r="13" spans="1:42" s="3" customFormat="1" ht="25.15" customHeight="1" x14ac:dyDescent="0.55000000000000004">
      <c r="A13" s="10" t="s">
        <v>31</v>
      </c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8">
        <f t="shared" si="1"/>
        <v>0</v>
      </c>
      <c r="AH13" s="8">
        <f t="shared" si="2"/>
        <v>0</v>
      </c>
      <c r="AI13" s="8">
        <f t="shared" si="3"/>
        <v>0</v>
      </c>
      <c r="AJ13" s="8">
        <f t="shared" si="4"/>
        <v>0</v>
      </c>
      <c r="AK13" s="8">
        <f t="shared" si="5"/>
        <v>0</v>
      </c>
      <c r="AL13" s="23"/>
      <c r="AM13" s="2"/>
      <c r="AN13" s="2"/>
      <c r="AO13" s="2"/>
      <c r="AP13" s="2"/>
    </row>
    <row r="14" spans="1:42" s="3" customFormat="1" ht="25.15" customHeight="1" x14ac:dyDescent="0.55000000000000004">
      <c r="A14" s="10" t="s">
        <v>36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8">
        <f t="shared" si="1"/>
        <v>0</v>
      </c>
      <c r="AH14" s="8">
        <f t="shared" si="2"/>
        <v>0</v>
      </c>
      <c r="AI14" s="8">
        <f t="shared" si="3"/>
        <v>0</v>
      </c>
      <c r="AJ14" s="8">
        <f t="shared" si="4"/>
        <v>0</v>
      </c>
      <c r="AK14" s="8">
        <f t="shared" si="5"/>
        <v>0</v>
      </c>
      <c r="AL14" s="23"/>
      <c r="AM14" s="2"/>
      <c r="AN14" s="2"/>
      <c r="AO14" s="2"/>
      <c r="AP14" s="2"/>
    </row>
    <row r="15" spans="1:42" s="3" customFormat="1" ht="25.15" customHeight="1" x14ac:dyDescent="0.55000000000000004">
      <c r="A15" s="10" t="s">
        <v>32</v>
      </c>
      <c r="B15" s="22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8">
        <f t="shared" si="1"/>
        <v>0</v>
      </c>
      <c r="AH15" s="8">
        <f t="shared" si="2"/>
        <v>0</v>
      </c>
      <c r="AI15" s="8">
        <f t="shared" si="3"/>
        <v>0</v>
      </c>
      <c r="AJ15" s="8">
        <f t="shared" si="4"/>
        <v>0</v>
      </c>
      <c r="AK15" s="8">
        <f t="shared" si="5"/>
        <v>0</v>
      </c>
      <c r="AL15" s="2"/>
      <c r="AM15" s="2"/>
      <c r="AN15" s="2"/>
      <c r="AO15" s="2"/>
      <c r="AP15" s="2"/>
    </row>
    <row r="16" spans="1:42" ht="23.5" customHeight="1" x14ac:dyDescent="0.55000000000000004">
      <c r="A16" s="10" t="s">
        <v>28</v>
      </c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8">
        <f t="shared" si="1"/>
        <v>0</v>
      </c>
      <c r="AH16" s="8">
        <f t="shared" si="2"/>
        <v>0</v>
      </c>
      <c r="AI16" s="8">
        <f t="shared" si="3"/>
        <v>0</v>
      </c>
      <c r="AJ16" s="8">
        <f t="shared" si="4"/>
        <v>0</v>
      </c>
      <c r="AK16" s="8">
        <f t="shared" si="5"/>
        <v>0</v>
      </c>
      <c r="AO16" s="2"/>
      <c r="AP16" s="2"/>
    </row>
    <row r="17" spans="1:37" ht="23.5" customHeight="1" x14ac:dyDescent="0.55000000000000004">
      <c r="A17" s="10" t="s">
        <v>111</v>
      </c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8">
        <f t="shared" si="1"/>
        <v>0</v>
      </c>
      <c r="AH17" s="8">
        <f t="shared" si="2"/>
        <v>0</v>
      </c>
      <c r="AI17" s="8">
        <f t="shared" si="3"/>
        <v>0</v>
      </c>
      <c r="AJ17" s="8">
        <f t="shared" si="4"/>
        <v>0</v>
      </c>
      <c r="AK17" s="8">
        <f t="shared" si="5"/>
        <v>0</v>
      </c>
    </row>
    <row r="18" spans="1:37" ht="23.5" customHeight="1" x14ac:dyDescent="0.55000000000000004">
      <c r="A18" s="10" t="s">
        <v>21</v>
      </c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8">
        <f t="shared" si="1"/>
        <v>0</v>
      </c>
      <c r="AH18" s="8">
        <f t="shared" si="2"/>
        <v>0</v>
      </c>
      <c r="AI18" s="8">
        <f t="shared" si="3"/>
        <v>0</v>
      </c>
      <c r="AJ18" s="8">
        <f t="shared" si="4"/>
        <v>0</v>
      </c>
      <c r="AK18" s="8">
        <f t="shared" si="5"/>
        <v>0</v>
      </c>
    </row>
    <row r="19" spans="1:37" ht="23.5" customHeight="1" x14ac:dyDescent="0.55000000000000004">
      <c r="A19" s="10" t="s">
        <v>35</v>
      </c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8">
        <f t="shared" si="1"/>
        <v>0</v>
      </c>
      <c r="AH19" s="8">
        <f t="shared" si="2"/>
        <v>0</v>
      </c>
      <c r="AI19" s="8">
        <f t="shared" si="3"/>
        <v>0</v>
      </c>
      <c r="AJ19" s="8">
        <f t="shared" si="4"/>
        <v>0</v>
      </c>
      <c r="AK19" s="8">
        <f t="shared" si="5"/>
        <v>0</v>
      </c>
    </row>
    <row r="20" spans="1:37" ht="23.5" customHeight="1" x14ac:dyDescent="0.55000000000000004">
      <c r="A20" s="10" t="s">
        <v>43</v>
      </c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8">
        <f t="shared" si="1"/>
        <v>0</v>
      </c>
      <c r="AH20" s="8">
        <f t="shared" si="2"/>
        <v>0</v>
      </c>
      <c r="AI20" s="8">
        <f t="shared" si="3"/>
        <v>0</v>
      </c>
      <c r="AJ20" s="8">
        <f t="shared" si="4"/>
        <v>0</v>
      </c>
      <c r="AK20" s="8">
        <f t="shared" si="5"/>
        <v>0</v>
      </c>
    </row>
    <row r="21" spans="1:37" ht="23.5" customHeight="1" x14ac:dyDescent="0.55000000000000004">
      <c r="A21" s="10" t="s">
        <v>112</v>
      </c>
      <c r="B21" s="22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8">
        <f t="shared" si="1"/>
        <v>0</v>
      </c>
      <c r="AH21" s="8">
        <f t="shared" si="2"/>
        <v>0</v>
      </c>
      <c r="AI21" s="8">
        <f t="shared" si="3"/>
        <v>0</v>
      </c>
      <c r="AJ21" s="8">
        <f t="shared" si="4"/>
        <v>0</v>
      </c>
      <c r="AK21" s="8">
        <f t="shared" si="5"/>
        <v>0</v>
      </c>
    </row>
    <row r="22" spans="1:37" ht="23.5" customHeight="1" x14ac:dyDescent="0.55000000000000004">
      <c r="A22" s="10" t="s">
        <v>26</v>
      </c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8">
        <f t="shared" si="1"/>
        <v>0</v>
      </c>
      <c r="AH22" s="8">
        <f t="shared" si="2"/>
        <v>0</v>
      </c>
      <c r="AI22" s="8">
        <f t="shared" si="3"/>
        <v>0</v>
      </c>
      <c r="AJ22" s="8">
        <f t="shared" si="4"/>
        <v>0</v>
      </c>
      <c r="AK22" s="8">
        <f t="shared" si="5"/>
        <v>0</v>
      </c>
    </row>
    <row r="23" spans="1:37" ht="23.5" customHeight="1" x14ac:dyDescent="0.55000000000000004">
      <c r="A23" s="10" t="s">
        <v>27</v>
      </c>
      <c r="B23" s="22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8">
        <f t="shared" si="1"/>
        <v>0</v>
      </c>
      <c r="AH23" s="8">
        <f t="shared" si="2"/>
        <v>0</v>
      </c>
      <c r="AI23" s="8">
        <f t="shared" si="3"/>
        <v>0</v>
      </c>
      <c r="AJ23" s="8">
        <f t="shared" si="4"/>
        <v>0</v>
      </c>
      <c r="AK23" s="8">
        <f t="shared" si="5"/>
        <v>0</v>
      </c>
    </row>
    <row r="24" spans="1:37" ht="23.5" customHeight="1" x14ac:dyDescent="0.55000000000000004">
      <c r="A24" s="10" t="s">
        <v>20</v>
      </c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8">
        <f t="shared" si="1"/>
        <v>0</v>
      </c>
      <c r="AH24" s="8">
        <f t="shared" si="2"/>
        <v>0</v>
      </c>
      <c r="AI24" s="8">
        <f t="shared" si="3"/>
        <v>0</v>
      </c>
      <c r="AJ24" s="8">
        <f t="shared" si="4"/>
        <v>0</v>
      </c>
      <c r="AK24" s="8">
        <f t="shared" si="5"/>
        <v>0</v>
      </c>
    </row>
    <row r="25" spans="1:37" ht="23.5" customHeight="1" x14ac:dyDescent="0.55000000000000004">
      <c r="A25" s="10" t="s">
        <v>38</v>
      </c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8">
        <f t="shared" si="1"/>
        <v>0</v>
      </c>
      <c r="AH25" s="8">
        <f t="shared" si="2"/>
        <v>0</v>
      </c>
      <c r="AI25" s="8">
        <f t="shared" si="3"/>
        <v>0</v>
      </c>
      <c r="AJ25" s="8">
        <f t="shared" si="4"/>
        <v>0</v>
      </c>
      <c r="AK25" s="8">
        <f t="shared" si="5"/>
        <v>0</v>
      </c>
    </row>
    <row r="26" spans="1:37" ht="23.5" customHeight="1" x14ac:dyDescent="0.55000000000000004">
      <c r="A26" s="10" t="s">
        <v>25</v>
      </c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8">
        <f t="shared" si="1"/>
        <v>0</v>
      </c>
      <c r="AH26" s="8">
        <f t="shared" si="2"/>
        <v>0</v>
      </c>
      <c r="AI26" s="8">
        <f t="shared" si="3"/>
        <v>0</v>
      </c>
      <c r="AJ26" s="8">
        <f t="shared" si="4"/>
        <v>0</v>
      </c>
      <c r="AK26" s="8">
        <f t="shared" si="5"/>
        <v>0</v>
      </c>
    </row>
    <row r="27" spans="1:37" ht="23.5" customHeight="1" x14ac:dyDescent="0.55000000000000004">
      <c r="A27" s="10" t="s">
        <v>40</v>
      </c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8">
        <f t="shared" si="1"/>
        <v>0</v>
      </c>
      <c r="AH27" s="8">
        <f t="shared" si="2"/>
        <v>0</v>
      </c>
      <c r="AI27" s="8">
        <f t="shared" si="3"/>
        <v>0</v>
      </c>
      <c r="AJ27" s="8">
        <f t="shared" si="4"/>
        <v>0</v>
      </c>
      <c r="AK27" s="8">
        <f t="shared" si="5"/>
        <v>0</v>
      </c>
    </row>
    <row r="28" spans="1:37" ht="23.5" customHeight="1" x14ac:dyDescent="0.55000000000000004">
      <c r="A28" s="10" t="s">
        <v>24</v>
      </c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8">
        <f t="shared" si="1"/>
        <v>0</v>
      </c>
      <c r="AH28" s="8">
        <f t="shared" si="2"/>
        <v>0</v>
      </c>
      <c r="AI28" s="8">
        <f t="shared" si="3"/>
        <v>0</v>
      </c>
      <c r="AJ28" s="8">
        <f t="shared" si="4"/>
        <v>0</v>
      </c>
      <c r="AK28" s="8">
        <f t="shared" si="5"/>
        <v>0</v>
      </c>
    </row>
    <row r="29" spans="1:37" ht="23.5" customHeight="1" x14ac:dyDescent="0.55000000000000004">
      <c r="A29" s="10" t="s">
        <v>23</v>
      </c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8">
        <f t="shared" si="1"/>
        <v>0</v>
      </c>
      <c r="AH29" s="8">
        <f t="shared" si="2"/>
        <v>0</v>
      </c>
      <c r="AI29" s="8">
        <f t="shared" si="3"/>
        <v>0</v>
      </c>
      <c r="AJ29" s="8">
        <f t="shared" si="4"/>
        <v>0</v>
      </c>
      <c r="AK29" s="8">
        <f t="shared" si="5"/>
        <v>0</v>
      </c>
    </row>
    <row r="30" spans="1:37" ht="23.5" customHeight="1" x14ac:dyDescent="0.55000000000000004">
      <c r="A30" s="10" t="s">
        <v>50</v>
      </c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8">
        <f t="shared" si="1"/>
        <v>0</v>
      </c>
      <c r="AH30" s="8">
        <f t="shared" si="2"/>
        <v>0</v>
      </c>
      <c r="AI30" s="8">
        <f t="shared" si="3"/>
        <v>0</v>
      </c>
      <c r="AJ30" s="8">
        <f t="shared" si="4"/>
        <v>0</v>
      </c>
      <c r="AK30" s="8">
        <f t="shared" si="5"/>
        <v>0</v>
      </c>
    </row>
    <row r="31" spans="1:37" ht="23.5" customHeight="1" x14ac:dyDescent="0.55000000000000004">
      <c r="A31" s="10" t="s">
        <v>45</v>
      </c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8">
        <f t="shared" si="1"/>
        <v>0</v>
      </c>
      <c r="AH31" s="8">
        <f t="shared" si="2"/>
        <v>0</v>
      </c>
      <c r="AI31" s="8">
        <f t="shared" si="3"/>
        <v>0</v>
      </c>
      <c r="AJ31" s="8">
        <f t="shared" si="4"/>
        <v>0</v>
      </c>
      <c r="AK31" s="8">
        <f t="shared" si="5"/>
        <v>0</v>
      </c>
    </row>
    <row r="32" spans="1:37" ht="23.5" customHeight="1" x14ac:dyDescent="0.55000000000000004">
      <c r="A32" s="10" t="s">
        <v>113</v>
      </c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/>
      <c r="AF32" s="22"/>
      <c r="AG32" s="8">
        <f t="shared" si="1"/>
        <v>0</v>
      </c>
      <c r="AH32" s="8">
        <f t="shared" si="2"/>
        <v>0</v>
      </c>
      <c r="AI32" s="8">
        <f t="shared" si="3"/>
        <v>0</v>
      </c>
      <c r="AJ32" s="8">
        <f t="shared" si="4"/>
        <v>0</v>
      </c>
      <c r="AK32" s="8">
        <f t="shared" si="5"/>
        <v>0</v>
      </c>
    </row>
    <row r="33" spans="1:37" ht="23.5" customHeight="1" x14ac:dyDescent="0.55000000000000004">
      <c r="A33" s="10" t="s">
        <v>46</v>
      </c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8">
        <f t="shared" si="1"/>
        <v>0</v>
      </c>
      <c r="AH33" s="8">
        <f t="shared" si="2"/>
        <v>0</v>
      </c>
      <c r="AI33" s="8">
        <f t="shared" si="3"/>
        <v>0</v>
      </c>
      <c r="AJ33" s="8">
        <f t="shared" si="4"/>
        <v>0</v>
      </c>
      <c r="AK33" s="8">
        <f t="shared" si="5"/>
        <v>0</v>
      </c>
    </row>
    <row r="34" spans="1:37" ht="23.5" customHeight="1" x14ac:dyDescent="0.55000000000000004">
      <c r="A34" s="10" t="s">
        <v>53</v>
      </c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22"/>
      <c r="AG34" s="8">
        <f t="shared" si="1"/>
        <v>0</v>
      </c>
      <c r="AH34" s="8">
        <f t="shared" si="2"/>
        <v>0</v>
      </c>
      <c r="AI34" s="8">
        <f t="shared" si="3"/>
        <v>0</v>
      </c>
      <c r="AJ34" s="8">
        <f t="shared" si="4"/>
        <v>0</v>
      </c>
      <c r="AK34" s="8">
        <f t="shared" si="5"/>
        <v>0</v>
      </c>
    </row>
    <row r="35" spans="1:37" ht="23.5" customHeight="1" x14ac:dyDescent="0.55000000000000004">
      <c r="A35" s="10" t="s">
        <v>114</v>
      </c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  <c r="AG35" s="8">
        <f t="shared" si="1"/>
        <v>0</v>
      </c>
      <c r="AH35" s="8">
        <f t="shared" si="2"/>
        <v>0</v>
      </c>
      <c r="AI35" s="8">
        <f t="shared" si="3"/>
        <v>0</v>
      </c>
      <c r="AJ35" s="8">
        <f t="shared" si="4"/>
        <v>0</v>
      </c>
      <c r="AK35" s="8">
        <f t="shared" si="5"/>
        <v>0</v>
      </c>
    </row>
  </sheetData>
  <mergeCells count="9">
    <mergeCell ref="AM3:AM4"/>
    <mergeCell ref="AN3:AN4"/>
    <mergeCell ref="A1:AK2"/>
    <mergeCell ref="A3:A4"/>
    <mergeCell ref="AG3:AG4"/>
    <mergeCell ref="AH3:AH4"/>
    <mergeCell ref="AI3:AI4"/>
    <mergeCell ref="AJ3:AJ4"/>
    <mergeCell ref="AK3:AK4"/>
  </mergeCells>
  <conditionalFormatting sqref="B5:AF35">
    <cfRule type="cellIs" dxfId="30" priority="2" operator="equal">
      <formula>"U"</formula>
    </cfRule>
    <cfRule type="cellIs" dxfId="29" priority="3" operator="equal">
      <formula>"M"</formula>
    </cfRule>
    <cfRule type="beginsWith" dxfId="28" priority="4" operator="beginsWith" text="S">
      <formula>LEFT(B5,1)="S"</formula>
    </cfRule>
    <cfRule type="beginsWith" dxfId="27" priority="5" operator="beginsWith" text="V">
      <formula>LEFT(B5,1)="V"</formula>
    </cfRule>
  </conditionalFormatting>
  <conditionalFormatting sqref="AG5:AK35">
    <cfRule type="cellIs" dxfId="26" priority="1" operator="equal">
      <formula>0</formula>
    </cfRule>
  </conditionalFormatting>
  <dataValidations count="1">
    <dataValidation type="list" allowBlank="1" showInputMessage="1" showErrorMessage="1" sqref="B5:AF35" xr:uid="{00000000-0002-0000-0900-000000000000}">
      <formula1>$AN$5:$AN$12</formula1>
    </dataValidation>
  </dataValidation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B86AB9-35DB-439F-BC93-EB4AD94E3BD5}">
  <sheetPr codeName="Sheet10"/>
  <dimension ref="A1:AP35"/>
  <sheetViews>
    <sheetView topLeftCell="A7" zoomScale="40" zoomScaleNormal="40" workbookViewId="0">
      <selection activeCell="AJ12" sqref="AJ12"/>
    </sheetView>
  </sheetViews>
  <sheetFormatPr defaultRowHeight="14.5" x14ac:dyDescent="0.35"/>
  <cols>
    <col min="1" max="1" width="33.7265625" customWidth="1"/>
    <col min="2" max="2" width="5.26953125" bestFit="1" customWidth="1"/>
    <col min="3" max="32" width="5.7265625" customWidth="1"/>
    <col min="33" max="33" width="9.1796875" customWidth="1"/>
    <col min="34" max="37" width="11.26953125" customWidth="1"/>
    <col min="38" max="38" width="9.1796875" customWidth="1"/>
    <col min="39" max="39" width="29.26953125" bestFit="1" customWidth="1"/>
  </cols>
  <sheetData>
    <row r="1" spans="1:42" s="3" customFormat="1" ht="25.15" customHeight="1" x14ac:dyDescent="0.35">
      <c r="A1" s="67" t="s">
        <v>124</v>
      </c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2"/>
      <c r="AM1" s="2"/>
      <c r="AN1" s="2"/>
      <c r="AO1" s="2"/>
      <c r="AP1" s="2"/>
    </row>
    <row r="2" spans="1:42" s="3" customFormat="1" ht="25.15" customHeight="1" x14ac:dyDescent="0.35">
      <c r="A2" s="68"/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  <c r="AA2" s="68"/>
      <c r="AB2" s="68"/>
      <c r="AC2" s="68"/>
      <c r="AD2" s="68"/>
      <c r="AE2" s="68"/>
      <c r="AF2" s="68"/>
      <c r="AG2" s="68"/>
      <c r="AH2" s="68"/>
      <c r="AI2" s="68"/>
      <c r="AJ2" s="68"/>
      <c r="AK2" s="68"/>
      <c r="AL2" s="2"/>
      <c r="AM2" s="2"/>
      <c r="AN2" s="2"/>
      <c r="AO2" s="2"/>
      <c r="AP2" s="2"/>
    </row>
    <row r="3" spans="1:42" s="3" customFormat="1" ht="25.15" customHeight="1" x14ac:dyDescent="0.35">
      <c r="A3" s="77" t="s">
        <v>119</v>
      </c>
      <c r="B3" s="38" t="str">
        <f>IF(B4="","",INDEX({"Sun";"Mon";"Tue";"Wen";"Thu";"Fri";"Sat"},WEEKDAY(B4,1)))</f>
        <v>Sat</v>
      </c>
      <c r="C3" s="38" t="str">
        <f>IF(C4="","",INDEX({"Sun";"Mon";"Tue";"Wen";"Thu";"Fri";"Sat"},WEEKDAY(C4,1)))</f>
        <v>Sun</v>
      </c>
      <c r="D3" s="38" t="str">
        <f>IF(D4="","",INDEX({"Sun";"Mon";"Tue";"Wen";"Thu";"Fri";"Sat"},WEEKDAY(D4,1)))</f>
        <v>Mon</v>
      </c>
      <c r="E3" s="38" t="str">
        <f>IF(E4="","",INDEX({"Sun";"Mon";"Tue";"Wen";"Thu";"Fri";"Sat"},WEEKDAY(E4,1)))</f>
        <v>Tue</v>
      </c>
      <c r="F3" s="38" t="str">
        <f>IF(F4="","",INDEX({"Sun";"Mon";"Tue";"Wen";"Thu";"Fri";"Sat"},WEEKDAY(F4,1)))</f>
        <v>Wen</v>
      </c>
      <c r="G3" s="38" t="str">
        <f>IF(G4="","",INDEX({"Sun";"Mon";"Tue";"Wen";"Thu";"Fri";"Sat"},WEEKDAY(G4,1)))</f>
        <v>Thu</v>
      </c>
      <c r="H3" s="38" t="str">
        <f>IF(H4="","",INDEX({"Sun";"Mon";"Tue";"Wen";"Thu";"Fri";"Sat"},WEEKDAY(H4,1)))</f>
        <v>Fri</v>
      </c>
      <c r="I3" s="38" t="str">
        <f>IF(I4="","",INDEX({"Sun";"Mon";"Tue";"Wen";"Thu";"Fri";"Sat"},WEEKDAY(I4,1)))</f>
        <v>Sat</v>
      </c>
      <c r="J3" s="38" t="str">
        <f>IF(J4="","",INDEX({"Sun";"Mon";"Tue";"Wen";"Thu";"Fri";"Sat"},WEEKDAY(J4,1)))</f>
        <v>Sun</v>
      </c>
      <c r="K3" s="38" t="str">
        <f>IF(K4="","",INDEX({"Sun";"Mon";"Tue";"Wen";"Thu";"Fri";"Sat"},WEEKDAY(K4,1)))</f>
        <v>Mon</v>
      </c>
      <c r="L3" s="38" t="str">
        <f>IF(L4="","",INDEX({"Sun";"Mon";"Tue";"Wen";"Thu";"Fri";"Sat"},WEEKDAY(L4,1)))</f>
        <v>Tue</v>
      </c>
      <c r="M3" s="38" t="str">
        <f>IF(M4="","",INDEX({"Sun";"Mon";"Tue";"Wen";"Thu";"Fri";"Sat"},WEEKDAY(M4,1)))</f>
        <v>Wen</v>
      </c>
      <c r="N3" s="38" t="str">
        <f>IF(N4="","",INDEX({"Sun";"Mon";"Tue";"Wen";"Thu";"Fri";"Sat"},WEEKDAY(N4,1)))</f>
        <v>Thu</v>
      </c>
      <c r="O3" s="38" t="str">
        <f>IF(O4="","",INDEX({"Sun";"Mon";"Tue";"Wen";"Thu";"Fri";"Sat"},WEEKDAY(O4,1)))</f>
        <v>Fri</v>
      </c>
      <c r="P3" s="38" t="str">
        <f>IF(P4="","",INDEX({"Sun";"Mon";"Tue";"Wen";"Thu";"Fri";"Sat"},WEEKDAY(P4,1)))</f>
        <v>Sat</v>
      </c>
      <c r="Q3" s="38" t="str">
        <f>IF(Q4="","",INDEX({"Sun";"Mon";"Tue";"Wen";"Thu";"Fri";"Sat"},WEEKDAY(Q4,1)))</f>
        <v>Sun</v>
      </c>
      <c r="R3" s="38" t="str">
        <f>IF(R4="","",INDEX({"Sun";"Mon";"Tue";"Wen";"Thu";"Fri";"Sat"},WEEKDAY(R4,1)))</f>
        <v>Mon</v>
      </c>
      <c r="S3" s="38" t="str">
        <f>IF(S4="","",INDEX({"Sun";"Mon";"Tue";"Wen";"Thu";"Fri";"Sat"},WEEKDAY(S4,1)))</f>
        <v>Tue</v>
      </c>
      <c r="T3" s="38" t="str">
        <f>IF(T4="","",INDEX({"Sun";"Mon";"Tue";"Wen";"Thu";"Fri";"Sat"},WEEKDAY(T4,1)))</f>
        <v>Wen</v>
      </c>
      <c r="U3" s="38" t="str">
        <f>IF(U4="","",INDEX({"Sun";"Mon";"Tue";"Wen";"Thu";"Fri";"Sat"},WEEKDAY(U4,1)))</f>
        <v>Thu</v>
      </c>
      <c r="V3" s="38" t="str">
        <f>IF(V4="","",INDEX({"Sun";"Mon";"Tue";"Wen";"Thu";"Fri";"Sat"},WEEKDAY(V4,1)))</f>
        <v>Fri</v>
      </c>
      <c r="W3" s="38" t="str">
        <f>IF(W4="","",INDEX({"Sun";"Mon";"Tue";"Wen";"Thu";"Fri";"Sat"},WEEKDAY(W4,1)))</f>
        <v>Sat</v>
      </c>
      <c r="X3" s="38" t="str">
        <f>IF(X4="","",INDEX({"Sun";"Mon";"Tue";"Wen";"Thu";"Fri";"Sat"},WEEKDAY(X4,1)))</f>
        <v>Sun</v>
      </c>
      <c r="Y3" s="38" t="str">
        <f>IF(Y4="","",INDEX({"Sun";"Mon";"Tue";"Wen";"Thu";"Fri";"Sat"},WEEKDAY(Y4,1)))</f>
        <v>Mon</v>
      </c>
      <c r="Z3" s="38" t="str">
        <f>IF(Z4="","",INDEX({"Sun";"Mon";"Tue";"Wen";"Thu";"Fri";"Sat"},WEEKDAY(Z4,1)))</f>
        <v>Tue</v>
      </c>
      <c r="AA3" s="38" t="str">
        <f>IF(AA4="","",INDEX({"Sun";"Mon";"Tue";"Wen";"Thu";"Fri";"Sat"},WEEKDAY(AA4,1)))</f>
        <v>Wen</v>
      </c>
      <c r="AB3" s="38" t="str">
        <f>IF(AB4="","",INDEX({"Sun";"Mon";"Tue";"Wen";"Thu";"Fri";"Sat"},WEEKDAY(AB4,1)))</f>
        <v>Thu</v>
      </c>
      <c r="AC3" s="38" t="str">
        <f>IF(AC4="","",INDEX({"Sun";"Mon";"Tue";"Wen";"Thu";"Fri";"Sat"},WEEKDAY(AC4,1)))</f>
        <v>Fri</v>
      </c>
      <c r="AD3" s="38" t="str">
        <f>IF(AD4="","",INDEX({"Sun";"Mon";"Tue";"Wen";"Thu";"Fri";"Sat"},WEEKDAY(AD4,1)))</f>
        <v>Sat</v>
      </c>
      <c r="AE3" s="38" t="str">
        <f>IF(AE4="","",INDEX({"Sun";"Mon";"Tue";"Wen";"Thu";"Fri";"Sat"},WEEKDAY(AE4,1)))</f>
        <v>Sun</v>
      </c>
      <c r="AF3" s="38" t="str">
        <f>IF(AF4="","",INDEX({"Sun";"Mon";"Tue";"Wen";"Thu";"Fri";"Sat"},WEEKDAY(AF4,1)))</f>
        <v>Mon</v>
      </c>
      <c r="AG3" s="85" t="s">
        <v>95</v>
      </c>
      <c r="AH3" s="71" t="s">
        <v>96</v>
      </c>
      <c r="AI3" s="83" t="s">
        <v>116</v>
      </c>
      <c r="AJ3" s="84" t="s">
        <v>98</v>
      </c>
      <c r="AK3" s="78" t="s">
        <v>99</v>
      </c>
      <c r="AL3" s="19"/>
      <c r="AM3" s="75" t="s">
        <v>117</v>
      </c>
      <c r="AN3" s="75" t="s">
        <v>101</v>
      </c>
      <c r="AO3" s="2"/>
      <c r="AP3" s="2"/>
    </row>
    <row r="4" spans="1:42" s="3" customFormat="1" ht="25.15" customHeight="1" x14ac:dyDescent="0.35">
      <c r="A4" s="77"/>
      <c r="B4" s="39">
        <f>DATE(Year!$B$2,8,1)</f>
        <v>46235</v>
      </c>
      <c r="C4" s="39">
        <f t="shared" ref="C4:AF4" si="0">B4+1</f>
        <v>46236</v>
      </c>
      <c r="D4" s="39">
        <f t="shared" si="0"/>
        <v>46237</v>
      </c>
      <c r="E4" s="39">
        <f t="shared" si="0"/>
        <v>46238</v>
      </c>
      <c r="F4" s="39">
        <f t="shared" si="0"/>
        <v>46239</v>
      </c>
      <c r="G4" s="39">
        <f t="shared" si="0"/>
        <v>46240</v>
      </c>
      <c r="H4" s="39">
        <f t="shared" si="0"/>
        <v>46241</v>
      </c>
      <c r="I4" s="39">
        <f t="shared" si="0"/>
        <v>46242</v>
      </c>
      <c r="J4" s="39">
        <f t="shared" si="0"/>
        <v>46243</v>
      </c>
      <c r="K4" s="39">
        <f t="shared" si="0"/>
        <v>46244</v>
      </c>
      <c r="L4" s="39">
        <f t="shared" si="0"/>
        <v>46245</v>
      </c>
      <c r="M4" s="39">
        <f t="shared" si="0"/>
        <v>46246</v>
      </c>
      <c r="N4" s="39">
        <f t="shared" si="0"/>
        <v>46247</v>
      </c>
      <c r="O4" s="39">
        <f t="shared" si="0"/>
        <v>46248</v>
      </c>
      <c r="P4" s="39">
        <f t="shared" si="0"/>
        <v>46249</v>
      </c>
      <c r="Q4" s="39">
        <f t="shared" si="0"/>
        <v>46250</v>
      </c>
      <c r="R4" s="39">
        <f t="shared" si="0"/>
        <v>46251</v>
      </c>
      <c r="S4" s="39">
        <f t="shared" si="0"/>
        <v>46252</v>
      </c>
      <c r="T4" s="39">
        <f t="shared" si="0"/>
        <v>46253</v>
      </c>
      <c r="U4" s="39">
        <f t="shared" si="0"/>
        <v>46254</v>
      </c>
      <c r="V4" s="39">
        <f t="shared" si="0"/>
        <v>46255</v>
      </c>
      <c r="W4" s="39">
        <f t="shared" si="0"/>
        <v>46256</v>
      </c>
      <c r="X4" s="39">
        <f t="shared" si="0"/>
        <v>46257</v>
      </c>
      <c r="Y4" s="39">
        <f t="shared" si="0"/>
        <v>46258</v>
      </c>
      <c r="Z4" s="39">
        <f t="shared" si="0"/>
        <v>46259</v>
      </c>
      <c r="AA4" s="39">
        <f t="shared" si="0"/>
        <v>46260</v>
      </c>
      <c r="AB4" s="39">
        <f t="shared" si="0"/>
        <v>46261</v>
      </c>
      <c r="AC4" s="39">
        <f t="shared" si="0"/>
        <v>46262</v>
      </c>
      <c r="AD4" s="39">
        <f t="shared" si="0"/>
        <v>46263</v>
      </c>
      <c r="AE4" s="39">
        <f t="shared" si="0"/>
        <v>46264</v>
      </c>
      <c r="AF4" s="39">
        <f t="shared" si="0"/>
        <v>46265</v>
      </c>
      <c r="AG4" s="85"/>
      <c r="AH4" s="71"/>
      <c r="AI4" s="83"/>
      <c r="AJ4" s="84"/>
      <c r="AK4" s="78"/>
      <c r="AL4" s="19"/>
      <c r="AM4" s="76"/>
      <c r="AN4" s="76"/>
      <c r="AO4" s="2"/>
      <c r="AP4" s="2"/>
    </row>
    <row r="5" spans="1:42" s="3" customFormat="1" ht="24.75" customHeight="1" x14ac:dyDescent="0.55000000000000004">
      <c r="A5" s="9" t="s">
        <v>13</v>
      </c>
      <c r="B5" s="13"/>
      <c r="C5" s="13"/>
      <c r="D5" s="22"/>
      <c r="E5" s="22"/>
      <c r="F5" s="22"/>
      <c r="G5" s="22"/>
      <c r="H5" s="22"/>
      <c r="I5" s="13"/>
      <c r="J5" s="13"/>
      <c r="K5" s="22"/>
      <c r="L5" s="22"/>
      <c r="M5" s="22"/>
      <c r="N5" s="22"/>
      <c r="O5" s="22"/>
      <c r="P5" s="13"/>
      <c r="Q5" s="13"/>
      <c r="R5" s="22"/>
      <c r="S5" s="22"/>
      <c r="T5" s="22"/>
      <c r="U5" s="22"/>
      <c r="V5" s="22"/>
      <c r="W5" s="13"/>
      <c r="X5" s="13"/>
      <c r="Y5" s="22"/>
      <c r="Z5" s="22"/>
      <c r="AA5" s="22"/>
      <c r="AB5" s="22"/>
      <c r="AC5" s="22"/>
      <c r="AD5" s="13"/>
      <c r="AE5" s="13"/>
      <c r="AF5" s="22"/>
      <c r="AG5" s="8">
        <f t="shared" ref="AG5:AG35" si="1">SUM(AH5:AK5)</f>
        <v>0</v>
      </c>
      <c r="AH5" s="8">
        <f t="shared" ref="AH5:AH35" si="2">COUNTIF(B5:AF5,"V")+COUNTIF(B5:AF5,"V1")/2+COUNTIF(B5:AF5,"V2")/2</f>
        <v>0</v>
      </c>
      <c r="AI5" s="8">
        <f t="shared" ref="AI5:AI35" si="3">COUNTIF(B5:AF5,"S")+COUNTIF(B5:AF5,"S1")/2+COUNTIF(B5:AF5,"S2")/2</f>
        <v>0</v>
      </c>
      <c r="AJ5" s="8">
        <f t="shared" ref="AJ5:AJ35" si="4">COUNTIF(B5:AF5,"M")</f>
        <v>0</v>
      </c>
      <c r="AK5" s="8">
        <f t="shared" ref="AK5:AK35" si="5">COUNTIF(B5:AF5,"U")</f>
        <v>0</v>
      </c>
      <c r="AL5" s="23"/>
      <c r="AM5" s="32" t="s">
        <v>14</v>
      </c>
      <c r="AN5" s="25" t="s">
        <v>102</v>
      </c>
      <c r="AO5" s="2"/>
      <c r="AP5" s="2"/>
    </row>
    <row r="6" spans="1:42" s="3" customFormat="1" ht="25.15" customHeight="1" x14ac:dyDescent="0.55000000000000004">
      <c r="A6" s="10" t="s">
        <v>34</v>
      </c>
      <c r="B6" s="13"/>
      <c r="C6" s="13"/>
      <c r="D6" s="22"/>
      <c r="E6" s="22"/>
      <c r="F6" s="22"/>
      <c r="G6" s="22"/>
      <c r="H6" s="22"/>
      <c r="I6" s="13"/>
      <c r="J6" s="13"/>
      <c r="K6" s="22"/>
      <c r="L6" s="22"/>
      <c r="M6" s="22"/>
      <c r="N6" s="22"/>
      <c r="O6" s="22"/>
      <c r="P6" s="13"/>
      <c r="Q6" s="13"/>
      <c r="R6" s="22"/>
      <c r="S6" s="22"/>
      <c r="T6" s="22"/>
      <c r="U6" s="22"/>
      <c r="V6" s="22"/>
      <c r="W6" s="13"/>
      <c r="X6" s="13"/>
      <c r="Y6" s="22"/>
      <c r="Z6" s="22"/>
      <c r="AA6" s="22"/>
      <c r="AB6" s="22"/>
      <c r="AC6" s="22"/>
      <c r="AD6" s="13"/>
      <c r="AE6" s="13"/>
      <c r="AF6" s="22"/>
      <c r="AG6" s="8">
        <f t="shared" si="1"/>
        <v>0</v>
      </c>
      <c r="AH6" s="8">
        <f t="shared" si="2"/>
        <v>0</v>
      </c>
      <c r="AI6" s="8">
        <f t="shared" si="3"/>
        <v>0</v>
      </c>
      <c r="AJ6" s="8">
        <f t="shared" si="4"/>
        <v>0</v>
      </c>
      <c r="AK6" s="8">
        <f t="shared" si="5"/>
        <v>0</v>
      </c>
      <c r="AL6" s="23"/>
      <c r="AM6" s="33" t="s">
        <v>103</v>
      </c>
      <c r="AN6" s="25" t="s">
        <v>104</v>
      </c>
      <c r="AO6" s="2"/>
      <c r="AP6" s="2"/>
    </row>
    <row r="7" spans="1:42" s="3" customFormat="1" ht="25.15" customHeight="1" x14ac:dyDescent="0.55000000000000004">
      <c r="A7" s="10" t="s">
        <v>16</v>
      </c>
      <c r="B7" s="13"/>
      <c r="C7" s="13"/>
      <c r="D7" s="22"/>
      <c r="E7" s="22"/>
      <c r="F7" s="22"/>
      <c r="G7" s="22"/>
      <c r="H7" s="22"/>
      <c r="I7" s="13"/>
      <c r="J7" s="13"/>
      <c r="K7" s="22"/>
      <c r="L7" s="22"/>
      <c r="M7" s="22"/>
      <c r="N7" s="22"/>
      <c r="O7" s="22"/>
      <c r="P7" s="13"/>
      <c r="Q7" s="13"/>
      <c r="R7" s="22"/>
      <c r="S7" s="22"/>
      <c r="T7" s="22"/>
      <c r="U7" s="22"/>
      <c r="V7" s="22"/>
      <c r="W7" s="13"/>
      <c r="X7" s="13"/>
      <c r="Y7" s="22"/>
      <c r="Z7" s="22"/>
      <c r="AA7" s="22"/>
      <c r="AB7" s="22"/>
      <c r="AC7" s="22"/>
      <c r="AD7" s="13"/>
      <c r="AE7" s="13"/>
      <c r="AF7" s="22"/>
      <c r="AG7" s="8">
        <f t="shared" si="1"/>
        <v>0</v>
      </c>
      <c r="AH7" s="8">
        <f t="shared" si="2"/>
        <v>0</v>
      </c>
      <c r="AI7" s="8">
        <f t="shared" si="3"/>
        <v>0</v>
      </c>
      <c r="AJ7" s="8">
        <f t="shared" si="4"/>
        <v>0</v>
      </c>
      <c r="AK7" s="8">
        <f t="shared" si="5"/>
        <v>0</v>
      </c>
      <c r="AL7" s="23"/>
      <c r="AM7" s="34" t="s">
        <v>22</v>
      </c>
      <c r="AN7" s="25" t="s">
        <v>105</v>
      </c>
      <c r="AO7" s="2"/>
      <c r="AP7" s="2"/>
    </row>
    <row r="8" spans="1:42" s="3" customFormat="1" ht="25.15" customHeight="1" x14ac:dyDescent="0.55000000000000004">
      <c r="A8" s="10" t="s">
        <v>37</v>
      </c>
      <c r="B8" s="13"/>
      <c r="C8" s="13"/>
      <c r="D8" s="22"/>
      <c r="E8" s="22"/>
      <c r="F8" s="22"/>
      <c r="G8" s="22"/>
      <c r="H8" s="22"/>
      <c r="I8" s="13"/>
      <c r="J8" s="13"/>
      <c r="K8" s="22"/>
      <c r="L8" s="22"/>
      <c r="M8" s="22"/>
      <c r="N8" s="22"/>
      <c r="O8" s="22"/>
      <c r="P8" s="13"/>
      <c r="Q8" s="13"/>
      <c r="R8" s="22"/>
      <c r="S8" s="22"/>
      <c r="T8" s="22"/>
      <c r="U8" s="22"/>
      <c r="V8" s="22"/>
      <c r="W8" s="13"/>
      <c r="X8" s="13"/>
      <c r="Y8" s="22"/>
      <c r="Z8" s="22"/>
      <c r="AA8" s="22"/>
      <c r="AB8" s="22"/>
      <c r="AC8" s="22"/>
      <c r="AD8" s="13"/>
      <c r="AE8" s="13"/>
      <c r="AF8" s="22"/>
      <c r="AG8" s="8">
        <f t="shared" si="1"/>
        <v>0</v>
      </c>
      <c r="AH8" s="8">
        <f t="shared" si="2"/>
        <v>0</v>
      </c>
      <c r="AI8" s="8">
        <f t="shared" si="3"/>
        <v>0</v>
      </c>
      <c r="AJ8" s="8">
        <f t="shared" si="4"/>
        <v>0</v>
      </c>
      <c r="AK8" s="8">
        <f t="shared" si="5"/>
        <v>0</v>
      </c>
      <c r="AL8" s="23"/>
      <c r="AM8" s="35" t="s">
        <v>106</v>
      </c>
      <c r="AN8" s="25" t="s">
        <v>107</v>
      </c>
      <c r="AO8" s="2"/>
      <c r="AP8" s="2"/>
    </row>
    <row r="9" spans="1:42" s="3" customFormat="1" ht="25.15" customHeight="1" x14ac:dyDescent="0.55000000000000004">
      <c r="A9" s="10" t="s">
        <v>33</v>
      </c>
      <c r="B9" s="13"/>
      <c r="C9" s="13"/>
      <c r="D9" s="22"/>
      <c r="E9" s="22"/>
      <c r="F9" s="22"/>
      <c r="G9" s="22"/>
      <c r="H9" s="22"/>
      <c r="I9" s="13"/>
      <c r="J9" s="13"/>
      <c r="K9" s="22"/>
      <c r="L9" s="22"/>
      <c r="M9" s="22"/>
      <c r="N9" s="22"/>
      <c r="O9" s="22"/>
      <c r="P9" s="13"/>
      <c r="Q9" s="13"/>
      <c r="R9" s="22"/>
      <c r="S9" s="22"/>
      <c r="T9" s="22"/>
      <c r="U9" s="22"/>
      <c r="V9" s="22"/>
      <c r="W9" s="13"/>
      <c r="X9" s="13"/>
      <c r="Y9" s="22"/>
      <c r="Z9" s="22"/>
      <c r="AA9" s="22"/>
      <c r="AB9" s="22"/>
      <c r="AC9" s="22"/>
      <c r="AD9" s="13"/>
      <c r="AE9" s="13"/>
      <c r="AF9" s="22"/>
      <c r="AG9" s="8">
        <f t="shared" si="1"/>
        <v>0</v>
      </c>
      <c r="AH9" s="8">
        <f t="shared" si="2"/>
        <v>0</v>
      </c>
      <c r="AI9" s="8">
        <f t="shared" si="3"/>
        <v>0</v>
      </c>
      <c r="AJ9" s="8">
        <f t="shared" si="4"/>
        <v>0</v>
      </c>
      <c r="AK9" s="8">
        <f t="shared" si="5"/>
        <v>0</v>
      </c>
      <c r="AL9" s="23"/>
      <c r="AM9" s="29" t="s">
        <v>108</v>
      </c>
      <c r="AN9" s="25" t="s">
        <v>109</v>
      </c>
      <c r="AO9" s="2"/>
      <c r="AP9" s="2"/>
    </row>
    <row r="10" spans="1:42" s="3" customFormat="1" ht="25.15" customHeight="1" x14ac:dyDescent="0.55000000000000004">
      <c r="A10" s="10" t="s">
        <v>41</v>
      </c>
      <c r="B10" s="13"/>
      <c r="C10" s="13"/>
      <c r="D10" s="22"/>
      <c r="E10" s="22"/>
      <c r="F10" s="22"/>
      <c r="G10" s="22"/>
      <c r="H10" s="22"/>
      <c r="I10" s="13"/>
      <c r="J10" s="13"/>
      <c r="K10" s="22"/>
      <c r="L10" s="22"/>
      <c r="M10" s="22"/>
      <c r="N10" s="22"/>
      <c r="O10" s="22"/>
      <c r="P10" s="13"/>
      <c r="Q10" s="13"/>
      <c r="R10" s="22"/>
      <c r="S10" s="22"/>
      <c r="T10" s="22"/>
      <c r="U10" s="22"/>
      <c r="V10" s="22"/>
      <c r="W10" s="13"/>
      <c r="X10" s="13"/>
      <c r="Y10" s="22"/>
      <c r="Z10" s="22"/>
      <c r="AA10" s="22"/>
      <c r="AB10" s="22"/>
      <c r="AC10" s="22"/>
      <c r="AD10" s="13"/>
      <c r="AE10" s="13"/>
      <c r="AF10" s="22"/>
      <c r="AG10" s="8">
        <f t="shared" si="1"/>
        <v>0</v>
      </c>
      <c r="AH10" s="8">
        <f t="shared" si="2"/>
        <v>0</v>
      </c>
      <c r="AI10" s="8">
        <f t="shared" si="3"/>
        <v>0</v>
      </c>
      <c r="AJ10" s="8">
        <f t="shared" si="4"/>
        <v>0</v>
      </c>
      <c r="AK10" s="8">
        <f t="shared" si="5"/>
        <v>0</v>
      </c>
      <c r="AL10" s="23"/>
      <c r="AM10" s="30" t="s">
        <v>99</v>
      </c>
      <c r="AN10" s="25" t="s">
        <v>110</v>
      </c>
      <c r="AO10" s="2"/>
      <c r="AP10" s="2"/>
    </row>
    <row r="11" spans="1:42" s="3" customFormat="1" ht="25.15" customHeight="1" x14ac:dyDescent="0.55000000000000004">
      <c r="A11" s="10" t="s">
        <v>39</v>
      </c>
      <c r="B11" s="13"/>
      <c r="C11" s="13"/>
      <c r="D11" s="22"/>
      <c r="E11" s="22"/>
      <c r="F11" s="22"/>
      <c r="G11" s="22"/>
      <c r="H11" s="22"/>
      <c r="I11" s="13"/>
      <c r="J11" s="13"/>
      <c r="K11" s="22"/>
      <c r="L11" s="22"/>
      <c r="M11" s="22"/>
      <c r="N11" s="22"/>
      <c r="O11" s="22"/>
      <c r="P11" s="13"/>
      <c r="Q11" s="13"/>
      <c r="R11" s="22"/>
      <c r="S11" s="22"/>
      <c r="T11" s="22"/>
      <c r="U11" s="22"/>
      <c r="V11" s="22"/>
      <c r="W11" s="13"/>
      <c r="X11" s="13"/>
      <c r="Y11" s="22"/>
      <c r="Z11" s="22"/>
      <c r="AA11" s="22"/>
      <c r="AB11" s="22"/>
      <c r="AC11" s="22"/>
      <c r="AD11" s="13"/>
      <c r="AE11" s="13"/>
      <c r="AF11" s="22"/>
      <c r="AG11" s="8">
        <f t="shared" si="1"/>
        <v>0</v>
      </c>
      <c r="AH11" s="8">
        <f t="shared" si="2"/>
        <v>0</v>
      </c>
      <c r="AI11" s="8">
        <f t="shared" si="3"/>
        <v>0</v>
      </c>
      <c r="AJ11" s="8">
        <f t="shared" si="4"/>
        <v>0</v>
      </c>
      <c r="AK11" s="8">
        <f t="shared" si="5"/>
        <v>0</v>
      </c>
      <c r="AL11" s="23"/>
      <c r="AM11" s="11"/>
      <c r="AN11" s="40"/>
      <c r="AO11" s="2"/>
      <c r="AP11" s="2"/>
    </row>
    <row r="12" spans="1:42" s="3" customFormat="1" ht="25.15" customHeight="1" x14ac:dyDescent="0.55000000000000004">
      <c r="A12" s="10" t="s">
        <v>42</v>
      </c>
      <c r="B12" s="13"/>
      <c r="C12" s="13"/>
      <c r="D12" s="22"/>
      <c r="E12" s="22"/>
      <c r="F12" s="22"/>
      <c r="G12" s="22"/>
      <c r="H12" s="22"/>
      <c r="I12" s="13"/>
      <c r="J12" s="13"/>
      <c r="K12" s="22"/>
      <c r="L12" s="22"/>
      <c r="M12" s="22"/>
      <c r="N12" s="22"/>
      <c r="O12" s="22"/>
      <c r="P12" s="13"/>
      <c r="Q12" s="13"/>
      <c r="R12" s="22"/>
      <c r="S12" s="22"/>
      <c r="T12" s="22"/>
      <c r="U12" s="22"/>
      <c r="V12" s="22"/>
      <c r="W12" s="13"/>
      <c r="X12" s="13"/>
      <c r="Y12" s="22"/>
      <c r="Z12" s="22"/>
      <c r="AA12" s="22"/>
      <c r="AB12" s="22"/>
      <c r="AC12" s="22"/>
      <c r="AD12" s="13"/>
      <c r="AE12" s="13"/>
      <c r="AF12" s="22"/>
      <c r="AG12" s="8">
        <f t="shared" si="1"/>
        <v>0</v>
      </c>
      <c r="AH12" s="8">
        <f t="shared" si="2"/>
        <v>0</v>
      </c>
      <c r="AI12" s="8">
        <f t="shared" si="3"/>
        <v>0</v>
      </c>
      <c r="AJ12" s="8">
        <f t="shared" si="4"/>
        <v>0</v>
      </c>
      <c r="AK12" s="8">
        <f t="shared" si="5"/>
        <v>0</v>
      </c>
      <c r="AL12" s="23"/>
      <c r="AM12" s="11"/>
      <c r="AN12" s="40"/>
      <c r="AO12" s="2"/>
      <c r="AP12" s="2"/>
    </row>
    <row r="13" spans="1:42" s="3" customFormat="1" ht="25.15" customHeight="1" x14ac:dyDescent="0.55000000000000004">
      <c r="A13" s="10" t="s">
        <v>31</v>
      </c>
      <c r="B13" s="13"/>
      <c r="C13" s="13"/>
      <c r="D13" s="22"/>
      <c r="E13" s="22"/>
      <c r="F13" s="22"/>
      <c r="G13" s="22"/>
      <c r="H13" s="22"/>
      <c r="I13" s="13"/>
      <c r="J13" s="13"/>
      <c r="K13" s="22"/>
      <c r="L13" s="22"/>
      <c r="M13" s="22"/>
      <c r="N13" s="22"/>
      <c r="O13" s="22"/>
      <c r="P13" s="13"/>
      <c r="Q13" s="13"/>
      <c r="R13" s="22"/>
      <c r="S13" s="22"/>
      <c r="T13" s="22"/>
      <c r="U13" s="22"/>
      <c r="V13" s="22"/>
      <c r="W13" s="13"/>
      <c r="X13" s="13"/>
      <c r="Y13" s="22"/>
      <c r="Z13" s="22"/>
      <c r="AA13" s="22"/>
      <c r="AB13" s="22"/>
      <c r="AC13" s="22"/>
      <c r="AD13" s="13"/>
      <c r="AE13" s="13"/>
      <c r="AF13" s="22"/>
      <c r="AG13" s="8">
        <f t="shared" si="1"/>
        <v>0</v>
      </c>
      <c r="AH13" s="8">
        <f t="shared" si="2"/>
        <v>0</v>
      </c>
      <c r="AI13" s="8">
        <f t="shared" si="3"/>
        <v>0</v>
      </c>
      <c r="AJ13" s="8">
        <f t="shared" si="4"/>
        <v>0</v>
      </c>
      <c r="AK13" s="8">
        <f t="shared" si="5"/>
        <v>0</v>
      </c>
      <c r="AL13" s="23"/>
      <c r="AM13" s="2"/>
      <c r="AN13" s="2"/>
      <c r="AO13" s="2"/>
      <c r="AP13" s="2"/>
    </row>
    <row r="14" spans="1:42" s="3" customFormat="1" ht="25.15" customHeight="1" x14ac:dyDescent="0.55000000000000004">
      <c r="A14" s="10" t="s">
        <v>36</v>
      </c>
      <c r="B14" s="13"/>
      <c r="C14" s="13"/>
      <c r="D14" s="22"/>
      <c r="E14" s="22"/>
      <c r="F14" s="22"/>
      <c r="G14" s="22"/>
      <c r="H14" s="22"/>
      <c r="I14" s="13"/>
      <c r="J14" s="13"/>
      <c r="K14" s="22"/>
      <c r="L14" s="22"/>
      <c r="M14" s="22"/>
      <c r="N14" s="22"/>
      <c r="O14" s="22"/>
      <c r="P14" s="13"/>
      <c r="Q14" s="13"/>
      <c r="R14" s="22"/>
      <c r="S14" s="22"/>
      <c r="T14" s="22"/>
      <c r="U14" s="22"/>
      <c r="V14" s="22"/>
      <c r="W14" s="13"/>
      <c r="X14" s="13"/>
      <c r="Y14" s="22"/>
      <c r="Z14" s="22"/>
      <c r="AA14" s="22"/>
      <c r="AB14" s="22"/>
      <c r="AC14" s="22"/>
      <c r="AD14" s="13"/>
      <c r="AE14" s="13"/>
      <c r="AF14" s="22"/>
      <c r="AG14" s="8">
        <f t="shared" si="1"/>
        <v>0</v>
      </c>
      <c r="AH14" s="8">
        <f t="shared" si="2"/>
        <v>0</v>
      </c>
      <c r="AI14" s="8">
        <f t="shared" si="3"/>
        <v>0</v>
      </c>
      <c r="AJ14" s="8">
        <f t="shared" si="4"/>
        <v>0</v>
      </c>
      <c r="AK14" s="8">
        <f t="shared" si="5"/>
        <v>0</v>
      </c>
      <c r="AL14" s="23"/>
      <c r="AM14" s="2"/>
      <c r="AN14" s="2"/>
      <c r="AO14" s="2"/>
      <c r="AP14" s="2"/>
    </row>
    <row r="15" spans="1:42" s="3" customFormat="1" ht="25.15" customHeight="1" x14ac:dyDescent="0.55000000000000004">
      <c r="A15" s="10" t="s">
        <v>32</v>
      </c>
      <c r="B15" s="13"/>
      <c r="C15" s="13"/>
      <c r="D15" s="22"/>
      <c r="E15" s="22"/>
      <c r="F15" s="22"/>
      <c r="G15" s="22"/>
      <c r="H15" s="22"/>
      <c r="I15" s="13"/>
      <c r="J15" s="13"/>
      <c r="K15" s="22"/>
      <c r="L15" s="22"/>
      <c r="M15" s="22"/>
      <c r="N15" s="22"/>
      <c r="O15" s="22"/>
      <c r="P15" s="13"/>
      <c r="Q15" s="13"/>
      <c r="R15" s="22"/>
      <c r="S15" s="22"/>
      <c r="T15" s="22"/>
      <c r="U15" s="22"/>
      <c r="V15" s="22"/>
      <c r="W15" s="13"/>
      <c r="X15" s="13"/>
      <c r="Y15" s="22"/>
      <c r="Z15" s="22"/>
      <c r="AA15" s="22"/>
      <c r="AB15" s="22"/>
      <c r="AC15" s="22"/>
      <c r="AD15" s="13"/>
      <c r="AE15" s="13"/>
      <c r="AF15" s="22"/>
      <c r="AG15" s="8">
        <f t="shared" si="1"/>
        <v>0</v>
      </c>
      <c r="AH15" s="8">
        <f t="shared" si="2"/>
        <v>0</v>
      </c>
      <c r="AI15" s="8">
        <f t="shared" si="3"/>
        <v>0</v>
      </c>
      <c r="AJ15" s="8">
        <f t="shared" si="4"/>
        <v>0</v>
      </c>
      <c r="AK15" s="8">
        <f t="shared" si="5"/>
        <v>0</v>
      </c>
      <c r="AL15" s="2"/>
      <c r="AM15" s="2"/>
      <c r="AN15" s="2"/>
      <c r="AO15" s="2"/>
      <c r="AP15" s="2"/>
    </row>
    <row r="16" spans="1:42" ht="23.5" customHeight="1" x14ac:dyDescent="0.55000000000000004">
      <c r="A16" s="10" t="s">
        <v>28</v>
      </c>
      <c r="B16" s="13"/>
      <c r="C16" s="13"/>
      <c r="D16" s="22"/>
      <c r="E16" s="22"/>
      <c r="F16" s="22"/>
      <c r="G16" s="22"/>
      <c r="H16" s="22"/>
      <c r="I16" s="13"/>
      <c r="J16" s="13"/>
      <c r="K16" s="22"/>
      <c r="L16" s="22"/>
      <c r="M16" s="22"/>
      <c r="N16" s="22"/>
      <c r="O16" s="22"/>
      <c r="P16" s="13"/>
      <c r="Q16" s="13"/>
      <c r="R16" s="22"/>
      <c r="S16" s="22"/>
      <c r="T16" s="22"/>
      <c r="U16" s="22"/>
      <c r="V16" s="22"/>
      <c r="W16" s="13"/>
      <c r="X16" s="13"/>
      <c r="Y16" s="22"/>
      <c r="Z16" s="22"/>
      <c r="AA16" s="22"/>
      <c r="AB16" s="22"/>
      <c r="AC16" s="22" t="s">
        <v>109</v>
      </c>
      <c r="AD16" s="13"/>
      <c r="AE16" s="13"/>
      <c r="AF16" s="22"/>
      <c r="AG16" s="8">
        <f t="shared" si="1"/>
        <v>0</v>
      </c>
      <c r="AH16" s="8">
        <f t="shared" si="2"/>
        <v>0</v>
      </c>
      <c r="AI16" s="8">
        <f t="shared" si="3"/>
        <v>0</v>
      </c>
      <c r="AJ16" s="8">
        <f t="shared" si="4"/>
        <v>0</v>
      </c>
      <c r="AK16" s="8">
        <f t="shared" si="5"/>
        <v>0</v>
      </c>
      <c r="AO16" s="2"/>
      <c r="AP16" s="2"/>
    </row>
    <row r="17" spans="1:37" ht="23.5" customHeight="1" x14ac:dyDescent="0.55000000000000004">
      <c r="A17" s="10" t="s">
        <v>111</v>
      </c>
      <c r="B17" s="13"/>
      <c r="C17" s="13"/>
      <c r="D17" s="22"/>
      <c r="E17" s="22"/>
      <c r="F17" s="22"/>
      <c r="G17" s="22"/>
      <c r="H17" s="22"/>
      <c r="I17" s="13"/>
      <c r="J17" s="13"/>
      <c r="K17" s="22"/>
      <c r="L17" s="22"/>
      <c r="M17" s="22"/>
      <c r="N17" s="22"/>
      <c r="O17" s="22"/>
      <c r="P17" s="13"/>
      <c r="Q17" s="13"/>
      <c r="R17" s="22"/>
      <c r="S17" s="22"/>
      <c r="T17" s="22"/>
      <c r="U17" s="22"/>
      <c r="V17" s="22"/>
      <c r="W17" s="13"/>
      <c r="X17" s="13"/>
      <c r="Y17" s="22"/>
      <c r="Z17" s="22"/>
      <c r="AA17" s="22"/>
      <c r="AB17" s="22"/>
      <c r="AC17" s="22"/>
      <c r="AD17" s="13"/>
      <c r="AE17" s="13"/>
      <c r="AF17" s="22"/>
      <c r="AG17" s="8">
        <f t="shared" si="1"/>
        <v>0</v>
      </c>
      <c r="AH17" s="8">
        <f t="shared" si="2"/>
        <v>0</v>
      </c>
      <c r="AI17" s="8">
        <f t="shared" si="3"/>
        <v>0</v>
      </c>
      <c r="AJ17" s="8">
        <f t="shared" si="4"/>
        <v>0</v>
      </c>
      <c r="AK17" s="8">
        <f t="shared" si="5"/>
        <v>0</v>
      </c>
    </row>
    <row r="18" spans="1:37" ht="23.5" customHeight="1" x14ac:dyDescent="0.55000000000000004">
      <c r="A18" s="10" t="s">
        <v>21</v>
      </c>
      <c r="B18" s="13"/>
      <c r="C18" s="13"/>
      <c r="D18" s="22"/>
      <c r="E18" s="22"/>
      <c r="F18" s="22"/>
      <c r="G18" s="22"/>
      <c r="H18" s="22"/>
      <c r="I18" s="13"/>
      <c r="J18" s="13"/>
      <c r="K18" s="22"/>
      <c r="L18" s="22"/>
      <c r="M18" s="22"/>
      <c r="N18" s="22"/>
      <c r="O18" s="22"/>
      <c r="P18" s="13"/>
      <c r="Q18" s="13"/>
      <c r="R18" s="22"/>
      <c r="S18" s="22"/>
      <c r="T18" s="22"/>
      <c r="U18" s="22"/>
      <c r="V18" s="22"/>
      <c r="W18" s="13"/>
      <c r="X18" s="13"/>
      <c r="Y18" s="22"/>
      <c r="Z18" s="22"/>
      <c r="AA18" s="22"/>
      <c r="AB18" s="22"/>
      <c r="AC18" s="22"/>
      <c r="AD18" s="13"/>
      <c r="AE18" s="13"/>
      <c r="AF18" s="22"/>
      <c r="AG18" s="8">
        <f t="shared" si="1"/>
        <v>0</v>
      </c>
      <c r="AH18" s="8">
        <f t="shared" si="2"/>
        <v>0</v>
      </c>
      <c r="AI18" s="8">
        <f t="shared" si="3"/>
        <v>0</v>
      </c>
      <c r="AJ18" s="8">
        <f t="shared" si="4"/>
        <v>0</v>
      </c>
      <c r="AK18" s="8">
        <f t="shared" si="5"/>
        <v>0</v>
      </c>
    </row>
    <row r="19" spans="1:37" ht="23.5" customHeight="1" x14ac:dyDescent="0.55000000000000004">
      <c r="A19" s="10" t="s">
        <v>35</v>
      </c>
      <c r="B19" s="13"/>
      <c r="C19" s="13"/>
      <c r="D19" s="22"/>
      <c r="E19" s="22"/>
      <c r="F19" s="22"/>
      <c r="G19" s="22"/>
      <c r="H19" s="22"/>
      <c r="I19" s="13"/>
      <c r="J19" s="13"/>
      <c r="K19" s="22"/>
      <c r="L19" s="22"/>
      <c r="M19" s="22"/>
      <c r="N19" s="22"/>
      <c r="O19" s="22"/>
      <c r="P19" s="13"/>
      <c r="Q19" s="13"/>
      <c r="R19" s="22"/>
      <c r="S19" s="22"/>
      <c r="T19" s="22"/>
      <c r="U19" s="22"/>
      <c r="V19" s="22"/>
      <c r="W19" s="13"/>
      <c r="X19" s="13"/>
      <c r="Y19" s="22"/>
      <c r="Z19" s="22"/>
      <c r="AA19" s="22"/>
      <c r="AB19" s="22"/>
      <c r="AC19" s="22" t="s">
        <v>109</v>
      </c>
      <c r="AD19" s="13"/>
      <c r="AE19" s="13"/>
      <c r="AF19" s="22"/>
      <c r="AG19" s="8">
        <f t="shared" si="1"/>
        <v>0</v>
      </c>
      <c r="AH19" s="8">
        <f t="shared" si="2"/>
        <v>0</v>
      </c>
      <c r="AI19" s="8">
        <f t="shared" si="3"/>
        <v>0</v>
      </c>
      <c r="AJ19" s="8">
        <f t="shared" si="4"/>
        <v>0</v>
      </c>
      <c r="AK19" s="8">
        <f t="shared" si="5"/>
        <v>0</v>
      </c>
    </row>
    <row r="20" spans="1:37" ht="23.5" customHeight="1" x14ac:dyDescent="0.55000000000000004">
      <c r="A20" s="10" t="s">
        <v>43</v>
      </c>
      <c r="B20" s="13"/>
      <c r="C20" s="13"/>
      <c r="D20" s="22"/>
      <c r="E20" s="22"/>
      <c r="F20" s="22"/>
      <c r="G20" s="22"/>
      <c r="H20" s="22"/>
      <c r="I20" s="13"/>
      <c r="J20" s="13"/>
      <c r="K20" s="22"/>
      <c r="L20" s="22"/>
      <c r="M20" s="22"/>
      <c r="N20" s="22"/>
      <c r="O20" s="22"/>
      <c r="P20" s="13"/>
      <c r="Q20" s="13"/>
      <c r="R20" s="22"/>
      <c r="S20" s="22"/>
      <c r="T20" s="22"/>
      <c r="U20" s="22"/>
      <c r="V20" s="22"/>
      <c r="W20" s="13"/>
      <c r="X20" s="13"/>
      <c r="Y20" s="22"/>
      <c r="Z20" s="22"/>
      <c r="AA20" s="22"/>
      <c r="AB20" s="22"/>
      <c r="AC20" s="22"/>
      <c r="AD20" s="13"/>
      <c r="AE20" s="13"/>
      <c r="AF20" s="22"/>
      <c r="AG20" s="8">
        <f t="shared" si="1"/>
        <v>0</v>
      </c>
      <c r="AH20" s="8">
        <f t="shared" si="2"/>
        <v>0</v>
      </c>
      <c r="AI20" s="8">
        <f t="shared" si="3"/>
        <v>0</v>
      </c>
      <c r="AJ20" s="8">
        <f t="shared" si="4"/>
        <v>0</v>
      </c>
      <c r="AK20" s="8">
        <f t="shared" si="5"/>
        <v>0</v>
      </c>
    </row>
    <row r="21" spans="1:37" ht="23.5" customHeight="1" x14ac:dyDescent="0.55000000000000004">
      <c r="A21" s="10" t="s">
        <v>112</v>
      </c>
      <c r="B21" s="13"/>
      <c r="C21" s="13"/>
      <c r="D21" s="22"/>
      <c r="E21" s="22"/>
      <c r="F21" s="22"/>
      <c r="G21" s="22"/>
      <c r="H21" s="22"/>
      <c r="I21" s="13"/>
      <c r="J21" s="13"/>
      <c r="K21" s="22"/>
      <c r="L21" s="22"/>
      <c r="M21" s="22"/>
      <c r="N21" s="22"/>
      <c r="O21" s="22"/>
      <c r="P21" s="13"/>
      <c r="Q21" s="13"/>
      <c r="R21" s="22"/>
      <c r="S21" s="22"/>
      <c r="T21" s="22"/>
      <c r="U21" s="22"/>
      <c r="V21" s="22"/>
      <c r="W21" s="13"/>
      <c r="X21" s="13"/>
      <c r="Y21" s="22"/>
      <c r="Z21" s="22"/>
      <c r="AA21" s="22"/>
      <c r="AB21" s="22"/>
      <c r="AC21" s="22"/>
      <c r="AD21" s="13"/>
      <c r="AE21" s="13"/>
      <c r="AF21" s="22"/>
      <c r="AG21" s="8">
        <f t="shared" si="1"/>
        <v>0</v>
      </c>
      <c r="AH21" s="8">
        <f t="shared" si="2"/>
        <v>0</v>
      </c>
      <c r="AI21" s="8">
        <f t="shared" si="3"/>
        <v>0</v>
      </c>
      <c r="AJ21" s="8">
        <f t="shared" si="4"/>
        <v>0</v>
      </c>
      <c r="AK21" s="8">
        <f t="shared" si="5"/>
        <v>0</v>
      </c>
    </row>
    <row r="22" spans="1:37" ht="23.5" customHeight="1" x14ac:dyDescent="0.55000000000000004">
      <c r="A22" s="10" t="s">
        <v>26</v>
      </c>
      <c r="B22" s="13"/>
      <c r="C22" s="13"/>
      <c r="D22" s="22"/>
      <c r="E22" s="22"/>
      <c r="F22" s="22"/>
      <c r="G22" s="22"/>
      <c r="H22" s="22"/>
      <c r="I22" s="13"/>
      <c r="J22" s="13"/>
      <c r="K22" s="22"/>
      <c r="L22" s="22"/>
      <c r="M22" s="22"/>
      <c r="N22" s="22"/>
      <c r="O22" s="22"/>
      <c r="P22" s="13"/>
      <c r="Q22" s="13"/>
      <c r="R22" s="22"/>
      <c r="S22" s="22"/>
      <c r="T22" s="22"/>
      <c r="U22" s="22"/>
      <c r="V22" s="22"/>
      <c r="W22" s="13"/>
      <c r="X22" s="13"/>
      <c r="Y22" s="22"/>
      <c r="Z22" s="22"/>
      <c r="AA22" s="22"/>
      <c r="AB22" s="22"/>
      <c r="AC22" s="22"/>
      <c r="AD22" s="13"/>
      <c r="AE22" s="13"/>
      <c r="AF22" s="22"/>
      <c r="AG22" s="8">
        <f t="shared" si="1"/>
        <v>0</v>
      </c>
      <c r="AH22" s="8">
        <f t="shared" si="2"/>
        <v>0</v>
      </c>
      <c r="AI22" s="8">
        <f t="shared" si="3"/>
        <v>0</v>
      </c>
      <c r="AJ22" s="8">
        <f t="shared" si="4"/>
        <v>0</v>
      </c>
      <c r="AK22" s="8">
        <f t="shared" si="5"/>
        <v>0</v>
      </c>
    </row>
    <row r="23" spans="1:37" ht="23.5" customHeight="1" x14ac:dyDescent="0.55000000000000004">
      <c r="A23" s="10" t="s">
        <v>27</v>
      </c>
      <c r="B23" s="13"/>
      <c r="C23" s="13"/>
      <c r="D23" s="22"/>
      <c r="E23" s="22"/>
      <c r="F23" s="22"/>
      <c r="G23" s="22"/>
      <c r="H23" s="22"/>
      <c r="I23" s="13"/>
      <c r="J23" s="13"/>
      <c r="K23" s="22"/>
      <c r="L23" s="22"/>
      <c r="M23" s="22"/>
      <c r="N23" s="22"/>
      <c r="O23" s="22"/>
      <c r="P23" s="13"/>
      <c r="Q23" s="13"/>
      <c r="R23" s="22"/>
      <c r="S23" s="22"/>
      <c r="T23" s="22"/>
      <c r="U23" s="22"/>
      <c r="V23" s="22"/>
      <c r="W23" s="13"/>
      <c r="X23" s="13"/>
      <c r="Y23" s="22"/>
      <c r="Z23" s="22"/>
      <c r="AA23" s="22"/>
      <c r="AB23" s="22"/>
      <c r="AC23" s="22"/>
      <c r="AD23" s="13"/>
      <c r="AE23" s="13"/>
      <c r="AF23" s="22"/>
      <c r="AG23" s="8">
        <f t="shared" si="1"/>
        <v>0</v>
      </c>
      <c r="AH23" s="8">
        <f t="shared" si="2"/>
        <v>0</v>
      </c>
      <c r="AI23" s="8">
        <f t="shared" si="3"/>
        <v>0</v>
      </c>
      <c r="AJ23" s="8">
        <f t="shared" si="4"/>
        <v>0</v>
      </c>
      <c r="AK23" s="8">
        <f t="shared" si="5"/>
        <v>0</v>
      </c>
    </row>
    <row r="24" spans="1:37" ht="23.5" customHeight="1" x14ac:dyDescent="0.55000000000000004">
      <c r="A24" s="10" t="s">
        <v>20</v>
      </c>
      <c r="B24" s="13"/>
      <c r="C24" s="13"/>
      <c r="D24" s="22"/>
      <c r="E24" s="22"/>
      <c r="F24" s="22"/>
      <c r="G24" s="22"/>
      <c r="H24" s="22"/>
      <c r="I24" s="13"/>
      <c r="J24" s="13"/>
      <c r="K24" s="22"/>
      <c r="L24" s="22"/>
      <c r="M24" s="22"/>
      <c r="N24" s="22"/>
      <c r="O24" s="22"/>
      <c r="P24" s="13"/>
      <c r="Q24" s="13"/>
      <c r="R24" s="22"/>
      <c r="S24" s="22"/>
      <c r="T24" s="22"/>
      <c r="U24" s="22"/>
      <c r="V24" s="22"/>
      <c r="W24" s="13"/>
      <c r="X24" s="13"/>
      <c r="Y24" s="22"/>
      <c r="Z24" s="22"/>
      <c r="AA24" s="22"/>
      <c r="AB24" s="22"/>
      <c r="AC24" s="22"/>
      <c r="AD24" s="13"/>
      <c r="AE24" s="13"/>
      <c r="AF24" s="22"/>
      <c r="AG24" s="8">
        <f t="shared" si="1"/>
        <v>0</v>
      </c>
      <c r="AH24" s="8">
        <f t="shared" si="2"/>
        <v>0</v>
      </c>
      <c r="AI24" s="8">
        <f t="shared" si="3"/>
        <v>0</v>
      </c>
      <c r="AJ24" s="8">
        <f t="shared" si="4"/>
        <v>0</v>
      </c>
      <c r="AK24" s="8">
        <f t="shared" si="5"/>
        <v>0</v>
      </c>
    </row>
    <row r="25" spans="1:37" ht="23.5" customHeight="1" x14ac:dyDescent="0.55000000000000004">
      <c r="A25" s="10" t="s">
        <v>38</v>
      </c>
      <c r="B25" s="13"/>
      <c r="C25" s="13"/>
      <c r="D25" s="22"/>
      <c r="E25" s="22"/>
      <c r="F25" s="22"/>
      <c r="G25" s="22"/>
      <c r="H25" s="22"/>
      <c r="I25" s="13"/>
      <c r="J25" s="13"/>
      <c r="K25" s="22"/>
      <c r="L25" s="22"/>
      <c r="M25" s="22"/>
      <c r="N25" s="22"/>
      <c r="O25" s="22"/>
      <c r="P25" s="13"/>
      <c r="Q25" s="13"/>
      <c r="R25" s="22"/>
      <c r="S25" s="22"/>
      <c r="T25" s="22"/>
      <c r="U25" s="22"/>
      <c r="V25" s="22"/>
      <c r="W25" s="13"/>
      <c r="X25" s="13"/>
      <c r="Y25" s="22"/>
      <c r="Z25" s="22"/>
      <c r="AA25" s="22"/>
      <c r="AB25" s="22"/>
      <c r="AC25" s="22"/>
      <c r="AD25" s="13"/>
      <c r="AE25" s="13"/>
      <c r="AF25" s="22"/>
      <c r="AG25" s="8">
        <f t="shared" si="1"/>
        <v>0</v>
      </c>
      <c r="AH25" s="8">
        <f t="shared" si="2"/>
        <v>0</v>
      </c>
      <c r="AI25" s="8">
        <f t="shared" si="3"/>
        <v>0</v>
      </c>
      <c r="AJ25" s="8">
        <f t="shared" si="4"/>
        <v>0</v>
      </c>
      <c r="AK25" s="8">
        <f t="shared" si="5"/>
        <v>0</v>
      </c>
    </row>
    <row r="26" spans="1:37" ht="23.5" customHeight="1" x14ac:dyDescent="0.55000000000000004">
      <c r="A26" s="10" t="s">
        <v>25</v>
      </c>
      <c r="B26" s="13"/>
      <c r="C26" s="13"/>
      <c r="D26" s="22"/>
      <c r="E26" s="22"/>
      <c r="F26" s="22"/>
      <c r="G26" s="22"/>
      <c r="H26" s="22"/>
      <c r="I26" s="13"/>
      <c r="J26" s="13"/>
      <c r="K26" s="22"/>
      <c r="L26" s="22"/>
      <c r="M26" s="22"/>
      <c r="N26" s="22"/>
      <c r="O26" s="22"/>
      <c r="P26" s="13"/>
      <c r="Q26" s="13"/>
      <c r="R26" s="22"/>
      <c r="S26" s="22"/>
      <c r="T26" s="22"/>
      <c r="U26" s="22"/>
      <c r="V26" s="22"/>
      <c r="W26" s="13"/>
      <c r="X26" s="13"/>
      <c r="Y26" s="22"/>
      <c r="Z26" s="22"/>
      <c r="AA26" s="22"/>
      <c r="AB26" s="22"/>
      <c r="AC26" s="22"/>
      <c r="AD26" s="13"/>
      <c r="AE26" s="13"/>
      <c r="AF26" s="22"/>
      <c r="AG26" s="8">
        <f t="shared" si="1"/>
        <v>0</v>
      </c>
      <c r="AH26" s="8">
        <f t="shared" si="2"/>
        <v>0</v>
      </c>
      <c r="AI26" s="8">
        <f t="shared" si="3"/>
        <v>0</v>
      </c>
      <c r="AJ26" s="8">
        <f t="shared" si="4"/>
        <v>0</v>
      </c>
      <c r="AK26" s="8">
        <f t="shared" si="5"/>
        <v>0</v>
      </c>
    </row>
    <row r="27" spans="1:37" ht="23.5" customHeight="1" x14ac:dyDescent="0.55000000000000004">
      <c r="A27" s="10" t="s">
        <v>40</v>
      </c>
      <c r="B27" s="13"/>
      <c r="C27" s="13"/>
      <c r="D27" s="22"/>
      <c r="E27" s="22"/>
      <c r="F27" s="22"/>
      <c r="G27" s="22"/>
      <c r="H27" s="22"/>
      <c r="I27" s="13"/>
      <c r="J27" s="13"/>
      <c r="K27" s="22"/>
      <c r="L27" s="22"/>
      <c r="M27" s="22"/>
      <c r="N27" s="22"/>
      <c r="O27" s="22"/>
      <c r="P27" s="13"/>
      <c r="Q27" s="13"/>
      <c r="R27" s="22"/>
      <c r="S27" s="22"/>
      <c r="T27" s="22"/>
      <c r="U27" s="22"/>
      <c r="V27" s="22"/>
      <c r="W27" s="13"/>
      <c r="X27" s="13"/>
      <c r="Y27" s="22"/>
      <c r="Z27" s="22"/>
      <c r="AA27" s="22"/>
      <c r="AB27" s="22"/>
      <c r="AC27" s="22"/>
      <c r="AD27" s="13"/>
      <c r="AE27" s="13"/>
      <c r="AF27" s="22"/>
      <c r="AG27" s="8">
        <f t="shared" si="1"/>
        <v>0</v>
      </c>
      <c r="AH27" s="8">
        <f t="shared" si="2"/>
        <v>0</v>
      </c>
      <c r="AI27" s="8">
        <f t="shared" si="3"/>
        <v>0</v>
      </c>
      <c r="AJ27" s="8">
        <f t="shared" si="4"/>
        <v>0</v>
      </c>
      <c r="AK27" s="8">
        <f t="shared" si="5"/>
        <v>0</v>
      </c>
    </row>
    <row r="28" spans="1:37" ht="23.5" customHeight="1" x14ac:dyDescent="0.55000000000000004">
      <c r="A28" s="10" t="s">
        <v>24</v>
      </c>
      <c r="B28" s="13"/>
      <c r="C28" s="13"/>
      <c r="D28" s="22"/>
      <c r="E28" s="22"/>
      <c r="F28" s="22"/>
      <c r="G28" s="22"/>
      <c r="H28" s="22"/>
      <c r="I28" s="13"/>
      <c r="J28" s="13"/>
      <c r="K28" s="22"/>
      <c r="L28" s="22"/>
      <c r="M28" s="22"/>
      <c r="N28" s="22"/>
      <c r="O28" s="22"/>
      <c r="P28" s="13"/>
      <c r="Q28" s="13"/>
      <c r="R28" s="22"/>
      <c r="S28" s="22"/>
      <c r="T28" s="22"/>
      <c r="U28" s="22"/>
      <c r="V28" s="22"/>
      <c r="W28" s="13"/>
      <c r="X28" s="13"/>
      <c r="Y28" s="22"/>
      <c r="Z28" s="22"/>
      <c r="AA28" s="22"/>
      <c r="AB28" s="22"/>
      <c r="AC28" s="22"/>
      <c r="AD28" s="13"/>
      <c r="AE28" s="13"/>
      <c r="AF28" s="22"/>
      <c r="AG28" s="8">
        <f t="shared" si="1"/>
        <v>0</v>
      </c>
      <c r="AH28" s="8">
        <f t="shared" si="2"/>
        <v>0</v>
      </c>
      <c r="AI28" s="8">
        <f t="shared" si="3"/>
        <v>0</v>
      </c>
      <c r="AJ28" s="8">
        <f t="shared" si="4"/>
        <v>0</v>
      </c>
      <c r="AK28" s="8">
        <f t="shared" si="5"/>
        <v>0</v>
      </c>
    </row>
    <row r="29" spans="1:37" ht="23.5" customHeight="1" x14ac:dyDescent="0.55000000000000004">
      <c r="A29" s="10" t="s">
        <v>23</v>
      </c>
      <c r="B29" s="13"/>
      <c r="C29" s="13"/>
      <c r="D29" s="22"/>
      <c r="E29" s="22"/>
      <c r="F29" s="22"/>
      <c r="G29" s="22"/>
      <c r="H29" s="22"/>
      <c r="I29" s="13"/>
      <c r="J29" s="13"/>
      <c r="K29" s="22"/>
      <c r="L29" s="22"/>
      <c r="M29" s="22"/>
      <c r="N29" s="22"/>
      <c r="O29" s="22"/>
      <c r="P29" s="13"/>
      <c r="Q29" s="13"/>
      <c r="R29" s="22"/>
      <c r="S29" s="22"/>
      <c r="T29" s="22"/>
      <c r="U29" s="22"/>
      <c r="V29" s="22"/>
      <c r="W29" s="13"/>
      <c r="X29" s="13"/>
      <c r="Y29" s="22"/>
      <c r="Z29" s="22"/>
      <c r="AA29" s="22"/>
      <c r="AB29" s="22"/>
      <c r="AC29" s="22" t="s">
        <v>109</v>
      </c>
      <c r="AD29" s="13"/>
      <c r="AE29" s="13"/>
      <c r="AF29" s="22"/>
      <c r="AG29" s="8">
        <f t="shared" si="1"/>
        <v>0</v>
      </c>
      <c r="AH29" s="8">
        <f t="shared" si="2"/>
        <v>0</v>
      </c>
      <c r="AI29" s="8">
        <f t="shared" si="3"/>
        <v>0</v>
      </c>
      <c r="AJ29" s="8">
        <f t="shared" si="4"/>
        <v>0</v>
      </c>
      <c r="AK29" s="8">
        <f t="shared" si="5"/>
        <v>0</v>
      </c>
    </row>
    <row r="30" spans="1:37" ht="23.5" customHeight="1" x14ac:dyDescent="0.55000000000000004">
      <c r="A30" s="10" t="s">
        <v>50</v>
      </c>
      <c r="B30" s="13"/>
      <c r="C30" s="13"/>
      <c r="D30" s="22"/>
      <c r="E30" s="22"/>
      <c r="F30" s="22"/>
      <c r="G30" s="22"/>
      <c r="H30" s="22"/>
      <c r="I30" s="13"/>
      <c r="J30" s="13"/>
      <c r="K30" s="22"/>
      <c r="L30" s="22"/>
      <c r="M30" s="22"/>
      <c r="N30" s="22"/>
      <c r="O30" s="22"/>
      <c r="P30" s="13"/>
      <c r="Q30" s="13"/>
      <c r="R30" s="22"/>
      <c r="S30" s="22"/>
      <c r="T30" s="22"/>
      <c r="U30" s="22"/>
      <c r="V30" s="22"/>
      <c r="W30" s="13"/>
      <c r="X30" s="13"/>
      <c r="Y30" s="22"/>
      <c r="Z30" s="22"/>
      <c r="AA30" s="22"/>
      <c r="AB30" s="22"/>
      <c r="AC30" s="22"/>
      <c r="AD30" s="13"/>
      <c r="AE30" s="13"/>
      <c r="AF30" s="22"/>
      <c r="AG30" s="8">
        <f t="shared" si="1"/>
        <v>0</v>
      </c>
      <c r="AH30" s="8">
        <f t="shared" si="2"/>
        <v>0</v>
      </c>
      <c r="AI30" s="8">
        <f t="shared" si="3"/>
        <v>0</v>
      </c>
      <c r="AJ30" s="8">
        <f t="shared" si="4"/>
        <v>0</v>
      </c>
      <c r="AK30" s="8">
        <f t="shared" si="5"/>
        <v>0</v>
      </c>
    </row>
    <row r="31" spans="1:37" ht="23.5" customHeight="1" x14ac:dyDescent="0.55000000000000004">
      <c r="A31" s="10" t="s">
        <v>45</v>
      </c>
      <c r="B31" s="13"/>
      <c r="C31" s="13"/>
      <c r="D31" s="22"/>
      <c r="E31" s="22"/>
      <c r="F31" s="22"/>
      <c r="G31" s="22"/>
      <c r="H31" s="22"/>
      <c r="I31" s="13"/>
      <c r="J31" s="13"/>
      <c r="K31" s="22"/>
      <c r="L31" s="22"/>
      <c r="M31" s="22"/>
      <c r="N31" s="22"/>
      <c r="O31" s="22"/>
      <c r="P31" s="13"/>
      <c r="Q31" s="13"/>
      <c r="R31" s="22"/>
      <c r="S31" s="22"/>
      <c r="T31" s="22"/>
      <c r="U31" s="22"/>
      <c r="V31" s="22"/>
      <c r="W31" s="13"/>
      <c r="X31" s="13"/>
      <c r="Y31" s="22"/>
      <c r="Z31" s="22"/>
      <c r="AA31" s="22"/>
      <c r="AB31" s="22"/>
      <c r="AC31" s="22"/>
      <c r="AD31" s="13"/>
      <c r="AE31" s="13"/>
      <c r="AF31" s="22"/>
      <c r="AG31" s="8">
        <f t="shared" si="1"/>
        <v>0</v>
      </c>
      <c r="AH31" s="8">
        <f t="shared" si="2"/>
        <v>0</v>
      </c>
      <c r="AI31" s="8">
        <f t="shared" si="3"/>
        <v>0</v>
      </c>
      <c r="AJ31" s="8">
        <f t="shared" si="4"/>
        <v>0</v>
      </c>
      <c r="AK31" s="8">
        <f t="shared" si="5"/>
        <v>0</v>
      </c>
    </row>
    <row r="32" spans="1:37" ht="23.5" customHeight="1" x14ac:dyDescent="0.55000000000000004">
      <c r="A32" s="10" t="s">
        <v>113</v>
      </c>
      <c r="B32" s="13"/>
      <c r="C32" s="13"/>
      <c r="D32" s="22"/>
      <c r="E32" s="22"/>
      <c r="F32" s="22"/>
      <c r="G32" s="22"/>
      <c r="H32" s="22"/>
      <c r="I32" s="13"/>
      <c r="J32" s="13"/>
      <c r="K32" s="22"/>
      <c r="L32" s="22"/>
      <c r="M32" s="22"/>
      <c r="N32" s="22"/>
      <c r="O32" s="22"/>
      <c r="P32" s="13"/>
      <c r="Q32" s="13"/>
      <c r="R32" s="22"/>
      <c r="S32" s="22"/>
      <c r="T32" s="22"/>
      <c r="U32" s="22"/>
      <c r="V32" s="22"/>
      <c r="W32" s="13"/>
      <c r="X32" s="13"/>
      <c r="Y32" s="22"/>
      <c r="Z32" s="22"/>
      <c r="AA32" s="22"/>
      <c r="AB32" s="22"/>
      <c r="AC32" s="22"/>
      <c r="AD32" s="13"/>
      <c r="AE32" s="13"/>
      <c r="AF32" s="22"/>
      <c r="AG32" s="8">
        <f t="shared" si="1"/>
        <v>0</v>
      </c>
      <c r="AH32" s="8">
        <f t="shared" si="2"/>
        <v>0</v>
      </c>
      <c r="AI32" s="8">
        <f t="shared" si="3"/>
        <v>0</v>
      </c>
      <c r="AJ32" s="8">
        <f t="shared" si="4"/>
        <v>0</v>
      </c>
      <c r="AK32" s="8">
        <f t="shared" si="5"/>
        <v>0</v>
      </c>
    </row>
    <row r="33" spans="1:37" ht="23.5" customHeight="1" x14ac:dyDescent="0.55000000000000004">
      <c r="A33" s="10" t="s">
        <v>46</v>
      </c>
      <c r="B33" s="13"/>
      <c r="C33" s="13"/>
      <c r="D33" s="22"/>
      <c r="E33" s="22"/>
      <c r="F33" s="22"/>
      <c r="G33" s="22"/>
      <c r="H33" s="22"/>
      <c r="I33" s="13"/>
      <c r="J33" s="13"/>
      <c r="K33" s="22"/>
      <c r="L33" s="22"/>
      <c r="M33" s="22"/>
      <c r="N33" s="22"/>
      <c r="O33" s="22"/>
      <c r="P33" s="13"/>
      <c r="Q33" s="13"/>
      <c r="R33" s="22"/>
      <c r="S33" s="22"/>
      <c r="T33" s="22"/>
      <c r="U33" s="22"/>
      <c r="V33" s="22"/>
      <c r="W33" s="13"/>
      <c r="X33" s="13"/>
      <c r="Y33" s="22"/>
      <c r="Z33" s="22"/>
      <c r="AA33" s="22"/>
      <c r="AB33" s="22"/>
      <c r="AC33" s="22"/>
      <c r="AD33" s="13"/>
      <c r="AE33" s="13"/>
      <c r="AF33" s="22"/>
      <c r="AG33" s="8">
        <f t="shared" si="1"/>
        <v>0</v>
      </c>
      <c r="AH33" s="8">
        <f t="shared" si="2"/>
        <v>0</v>
      </c>
      <c r="AI33" s="8">
        <f t="shared" si="3"/>
        <v>0</v>
      </c>
      <c r="AJ33" s="8">
        <f t="shared" si="4"/>
        <v>0</v>
      </c>
      <c r="AK33" s="8">
        <f t="shared" si="5"/>
        <v>0</v>
      </c>
    </row>
    <row r="34" spans="1:37" ht="23.5" customHeight="1" x14ac:dyDescent="0.55000000000000004">
      <c r="A34" s="10" t="s">
        <v>53</v>
      </c>
      <c r="B34" s="13"/>
      <c r="C34" s="13"/>
      <c r="D34" s="22"/>
      <c r="E34" s="22"/>
      <c r="F34" s="22"/>
      <c r="G34" s="22"/>
      <c r="H34" s="22"/>
      <c r="I34" s="13"/>
      <c r="J34" s="13"/>
      <c r="K34" s="22"/>
      <c r="L34" s="22"/>
      <c r="M34" s="22"/>
      <c r="N34" s="22"/>
      <c r="O34" s="22"/>
      <c r="P34" s="13"/>
      <c r="Q34" s="13"/>
      <c r="R34" s="22"/>
      <c r="S34" s="22"/>
      <c r="T34" s="22"/>
      <c r="U34" s="22"/>
      <c r="V34" s="22"/>
      <c r="W34" s="13"/>
      <c r="X34" s="13"/>
      <c r="Y34" s="22"/>
      <c r="Z34" s="22"/>
      <c r="AA34" s="22"/>
      <c r="AB34" s="22"/>
      <c r="AC34" s="22"/>
      <c r="AD34" s="13"/>
      <c r="AE34" s="13"/>
      <c r="AF34" s="22"/>
      <c r="AG34" s="8">
        <f t="shared" si="1"/>
        <v>0</v>
      </c>
      <c r="AH34" s="8">
        <f t="shared" si="2"/>
        <v>0</v>
      </c>
      <c r="AI34" s="8">
        <f t="shared" si="3"/>
        <v>0</v>
      </c>
      <c r="AJ34" s="8">
        <f t="shared" si="4"/>
        <v>0</v>
      </c>
      <c r="AK34" s="8">
        <f t="shared" si="5"/>
        <v>0</v>
      </c>
    </row>
    <row r="35" spans="1:37" ht="23.5" customHeight="1" x14ac:dyDescent="0.55000000000000004">
      <c r="A35" s="10" t="s">
        <v>114</v>
      </c>
      <c r="B35" s="13"/>
      <c r="C35" s="13"/>
      <c r="D35" s="22"/>
      <c r="E35" s="22"/>
      <c r="F35" s="22"/>
      <c r="G35" s="22"/>
      <c r="H35" s="22"/>
      <c r="I35" s="13"/>
      <c r="J35" s="13"/>
      <c r="K35" s="22"/>
      <c r="L35" s="22"/>
      <c r="M35" s="22"/>
      <c r="N35" s="22"/>
      <c r="O35" s="22"/>
      <c r="P35" s="13"/>
      <c r="Q35" s="13"/>
      <c r="R35" s="22"/>
      <c r="S35" s="22"/>
      <c r="T35" s="22"/>
      <c r="U35" s="22"/>
      <c r="V35" s="22"/>
      <c r="W35" s="13"/>
      <c r="X35" s="13"/>
      <c r="Y35" s="22"/>
      <c r="Z35" s="22"/>
      <c r="AA35" s="22"/>
      <c r="AB35" s="22"/>
      <c r="AC35" s="22"/>
      <c r="AD35" s="13"/>
      <c r="AE35" s="13"/>
      <c r="AF35" s="22"/>
      <c r="AG35" s="8">
        <f t="shared" si="1"/>
        <v>0</v>
      </c>
      <c r="AH35" s="8">
        <f t="shared" si="2"/>
        <v>0</v>
      </c>
      <c r="AI35" s="8">
        <f t="shared" si="3"/>
        <v>0</v>
      </c>
      <c r="AJ35" s="8">
        <f t="shared" si="4"/>
        <v>0</v>
      </c>
      <c r="AK35" s="8">
        <f t="shared" si="5"/>
        <v>0</v>
      </c>
    </row>
  </sheetData>
  <mergeCells count="9">
    <mergeCell ref="AM3:AM4"/>
    <mergeCell ref="AN3:AN4"/>
    <mergeCell ref="A1:AK2"/>
    <mergeCell ref="A3:A4"/>
    <mergeCell ref="AG3:AG4"/>
    <mergeCell ref="AH3:AH4"/>
    <mergeCell ref="AI3:AI4"/>
    <mergeCell ref="AJ3:AJ4"/>
    <mergeCell ref="AK3:AK4"/>
  </mergeCells>
  <conditionalFormatting sqref="B5:AF35">
    <cfRule type="cellIs" dxfId="25" priority="2" operator="equal">
      <formula>"U"</formula>
    </cfRule>
    <cfRule type="cellIs" dxfId="24" priority="3" operator="equal">
      <formula>"M"</formula>
    </cfRule>
    <cfRule type="beginsWith" dxfId="23" priority="4" operator="beginsWith" text="S">
      <formula>LEFT(B5,1)="S"</formula>
    </cfRule>
    <cfRule type="beginsWith" dxfId="22" priority="5" operator="beginsWith" text="V">
      <formula>LEFT(B5,1)="V"</formula>
    </cfRule>
  </conditionalFormatting>
  <conditionalFormatting sqref="AG5:AK35">
    <cfRule type="cellIs" dxfId="21" priority="1" operator="equal">
      <formula>0</formula>
    </cfRule>
  </conditionalFormatting>
  <dataValidations count="1">
    <dataValidation type="list" allowBlank="1" showInputMessage="1" showErrorMessage="1" sqref="B5:AF35" xr:uid="{00000000-0002-0000-0A00-000000000000}">
      <formula1>$AN$5:$AN$12</formula1>
    </dataValidation>
  </dataValidation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8B2F3-35F6-4F65-BD0F-EAB583BAD6EA}">
  <sheetPr codeName="Sheet11"/>
  <dimension ref="A1:AO35"/>
  <sheetViews>
    <sheetView topLeftCell="A7" zoomScale="40" zoomScaleNormal="40" workbookViewId="0">
      <selection activeCell="AG15" sqref="AG15"/>
    </sheetView>
  </sheetViews>
  <sheetFormatPr defaultRowHeight="14.5" x14ac:dyDescent="0.35"/>
  <cols>
    <col min="1" max="1" width="36.26953125" customWidth="1"/>
    <col min="2" max="2" width="5.26953125" bestFit="1" customWidth="1"/>
    <col min="3" max="31" width="5.7265625" customWidth="1"/>
    <col min="32" max="32" width="9.1796875" customWidth="1"/>
    <col min="33" max="36" width="11.26953125" customWidth="1"/>
    <col min="37" max="37" width="9.1796875" customWidth="1"/>
    <col min="38" max="38" width="29.26953125" bestFit="1" customWidth="1"/>
  </cols>
  <sheetData>
    <row r="1" spans="1:41" s="3" customFormat="1" ht="25.15" customHeight="1" x14ac:dyDescent="0.35">
      <c r="A1" s="67" t="s">
        <v>125</v>
      </c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2"/>
      <c r="AL1" s="2"/>
      <c r="AM1" s="2"/>
      <c r="AN1" s="2"/>
      <c r="AO1" s="2"/>
    </row>
    <row r="2" spans="1:41" s="3" customFormat="1" ht="25.15" customHeight="1" x14ac:dyDescent="0.35">
      <c r="A2" s="68"/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  <c r="AA2" s="68"/>
      <c r="AB2" s="68"/>
      <c r="AC2" s="68"/>
      <c r="AD2" s="68"/>
      <c r="AE2" s="68"/>
      <c r="AF2" s="68"/>
      <c r="AG2" s="68"/>
      <c r="AH2" s="68"/>
      <c r="AI2" s="68"/>
      <c r="AJ2" s="68"/>
      <c r="AK2" s="2"/>
      <c r="AL2" s="2"/>
      <c r="AM2" s="2"/>
      <c r="AN2" s="2"/>
      <c r="AO2" s="2"/>
    </row>
    <row r="3" spans="1:41" s="3" customFormat="1" ht="25.15" customHeight="1" x14ac:dyDescent="0.35">
      <c r="A3" s="77" t="s">
        <v>119</v>
      </c>
      <c r="B3" s="38" t="str">
        <f>IF(B4="","",INDEX({"Sun";"Mon";"Tue";"Wen";"Thu";"Fri";"Sat"},WEEKDAY(B4,1)))</f>
        <v>Tue</v>
      </c>
      <c r="C3" s="38" t="str">
        <f>IF(C4="","",INDEX({"Sun";"Mon";"Tue";"Wen";"Thu";"Fri";"Sat"},WEEKDAY(C4,1)))</f>
        <v>Wen</v>
      </c>
      <c r="D3" s="38" t="str">
        <f>IF(D4="","",INDEX({"Sun";"Mon";"Tue";"Wen";"Thu";"Fri";"Sat"},WEEKDAY(D4,1)))</f>
        <v>Thu</v>
      </c>
      <c r="E3" s="38" t="str">
        <f>IF(E4="","",INDEX({"Sun";"Mon";"Tue";"Wen";"Thu";"Fri";"Sat"},WEEKDAY(E4,1)))</f>
        <v>Fri</v>
      </c>
      <c r="F3" s="38" t="str">
        <f>IF(F4="","",INDEX({"Sun";"Mon";"Tue";"Wen";"Thu";"Fri";"Sat"},WEEKDAY(F4,1)))</f>
        <v>Sat</v>
      </c>
      <c r="G3" s="38" t="str">
        <f>IF(G4="","",INDEX({"Sun";"Mon";"Tue";"Wen";"Thu";"Fri";"Sat"},WEEKDAY(G4,1)))</f>
        <v>Sun</v>
      </c>
      <c r="H3" s="38" t="str">
        <f>IF(H4="","",INDEX({"Sun";"Mon";"Tue";"Wen";"Thu";"Fri";"Sat"},WEEKDAY(H4,1)))</f>
        <v>Mon</v>
      </c>
      <c r="I3" s="38" t="str">
        <f>IF(I4="","",INDEX({"Sun";"Mon";"Tue";"Wen";"Thu";"Fri";"Sat"},WEEKDAY(I4,1)))</f>
        <v>Tue</v>
      </c>
      <c r="J3" s="38" t="str">
        <f>IF(J4="","",INDEX({"Sun";"Mon";"Tue";"Wen";"Thu";"Fri";"Sat"},WEEKDAY(J4,1)))</f>
        <v>Wen</v>
      </c>
      <c r="K3" s="38" t="str">
        <f>IF(K4="","",INDEX({"Sun";"Mon";"Tue";"Wen";"Thu";"Fri";"Sat"},WEEKDAY(K4,1)))</f>
        <v>Thu</v>
      </c>
      <c r="L3" s="38" t="str">
        <f>IF(L4="","",INDEX({"Sun";"Mon";"Tue";"Wen";"Thu";"Fri";"Sat"},WEEKDAY(L4,1)))</f>
        <v>Fri</v>
      </c>
      <c r="M3" s="38" t="str">
        <f>IF(M4="","",INDEX({"Sun";"Mon";"Tue";"Wen";"Thu";"Fri";"Sat"},WEEKDAY(M4,1)))</f>
        <v>Sat</v>
      </c>
      <c r="N3" s="38" t="str">
        <f>IF(N4="","",INDEX({"Sun";"Mon";"Tue";"Wen";"Thu";"Fri";"Sat"},WEEKDAY(N4,1)))</f>
        <v>Sun</v>
      </c>
      <c r="O3" s="38" t="str">
        <f>IF(O4="","",INDEX({"Sun";"Mon";"Tue";"Wen";"Thu";"Fri";"Sat"},WEEKDAY(O4,1)))</f>
        <v>Mon</v>
      </c>
      <c r="P3" s="38" t="str">
        <f>IF(P4="","",INDEX({"Sun";"Mon";"Tue";"Wen";"Thu";"Fri";"Sat"},WEEKDAY(P4,1)))</f>
        <v>Tue</v>
      </c>
      <c r="Q3" s="38" t="str">
        <f>IF(Q4="","",INDEX({"Sun";"Mon";"Tue";"Wen";"Thu";"Fri";"Sat"},WEEKDAY(Q4,1)))</f>
        <v>Wen</v>
      </c>
      <c r="R3" s="38" t="str">
        <f>IF(R4="","",INDEX({"Sun";"Mon";"Tue";"Wen";"Thu";"Fri";"Sat"},WEEKDAY(R4,1)))</f>
        <v>Thu</v>
      </c>
      <c r="S3" s="38" t="str">
        <f>IF(S4="","",INDEX({"Sun";"Mon";"Tue";"Wen";"Thu";"Fri";"Sat"},WEEKDAY(S4,1)))</f>
        <v>Fri</v>
      </c>
      <c r="T3" s="38" t="str">
        <f>IF(T4="","",INDEX({"Sun";"Mon";"Tue";"Wen";"Thu";"Fri";"Sat"},WEEKDAY(T4,1)))</f>
        <v>Sat</v>
      </c>
      <c r="U3" s="38" t="str">
        <f>IF(U4="","",INDEX({"Sun";"Mon";"Tue";"Wen";"Thu";"Fri";"Sat"},WEEKDAY(U4,1)))</f>
        <v>Sun</v>
      </c>
      <c r="V3" s="38" t="str">
        <f>IF(V4="","",INDEX({"Sun";"Mon";"Tue";"Wen";"Thu";"Fri";"Sat"},WEEKDAY(V4,1)))</f>
        <v>Mon</v>
      </c>
      <c r="W3" s="38" t="str">
        <f>IF(W4="","",INDEX({"Sun";"Mon";"Tue";"Wen";"Thu";"Fri";"Sat"},WEEKDAY(W4,1)))</f>
        <v>Tue</v>
      </c>
      <c r="X3" s="38" t="str">
        <f>IF(X4="","",INDEX({"Sun";"Mon";"Tue";"Wen";"Thu";"Fri";"Sat"},WEEKDAY(X4,1)))</f>
        <v>Wen</v>
      </c>
      <c r="Y3" s="38" t="str">
        <f>IF(Y4="","",INDEX({"Sun";"Mon";"Tue";"Wen";"Thu";"Fri";"Sat"},WEEKDAY(Y4,1)))</f>
        <v>Thu</v>
      </c>
      <c r="Z3" s="38" t="str">
        <f>IF(Z4="","",INDEX({"Sun";"Mon";"Tue";"Wen";"Thu";"Fri";"Sat"},WEEKDAY(Z4,1)))</f>
        <v>Fri</v>
      </c>
      <c r="AA3" s="38" t="str">
        <f>IF(AA4="","",INDEX({"Sun";"Mon";"Tue";"Wen";"Thu";"Fri";"Sat"},WEEKDAY(AA4,1)))</f>
        <v>Sat</v>
      </c>
      <c r="AB3" s="38" t="str">
        <f>IF(AB4="","",INDEX({"Sun";"Mon";"Tue";"Wen";"Thu";"Fri";"Sat"},WEEKDAY(AB4,1)))</f>
        <v>Sun</v>
      </c>
      <c r="AC3" s="38" t="str">
        <f>IF(AC4="","",INDEX({"Sun";"Mon";"Tue";"Wen";"Thu";"Fri";"Sat"},WEEKDAY(AC4,1)))</f>
        <v>Mon</v>
      </c>
      <c r="AD3" s="38" t="str">
        <f>IF(AD4="","",INDEX({"Sun";"Mon";"Tue";"Wen";"Thu";"Fri";"Sat"},WEEKDAY(AD4,1)))</f>
        <v>Tue</v>
      </c>
      <c r="AE3" s="38" t="str">
        <f>IF(AE4="","",INDEX({"Sun";"Mon";"Tue";"Wen";"Thu";"Fri";"Sat"},WEEKDAY(AE4,1)))</f>
        <v>Wen</v>
      </c>
      <c r="AF3" s="82" t="s">
        <v>95</v>
      </c>
      <c r="AG3" s="71" t="s">
        <v>96</v>
      </c>
      <c r="AH3" s="83" t="s">
        <v>116</v>
      </c>
      <c r="AI3" s="84" t="s">
        <v>98</v>
      </c>
      <c r="AJ3" s="78" t="s">
        <v>99</v>
      </c>
      <c r="AK3" s="19"/>
      <c r="AL3" s="75" t="s">
        <v>117</v>
      </c>
      <c r="AM3" s="75" t="s">
        <v>101</v>
      </c>
      <c r="AN3" s="2"/>
      <c r="AO3" s="2"/>
    </row>
    <row r="4" spans="1:41" s="3" customFormat="1" ht="25.15" customHeight="1" x14ac:dyDescent="0.35">
      <c r="A4" s="77"/>
      <c r="B4" s="39">
        <f>DATE(Year!$B$2,9,1)</f>
        <v>46266</v>
      </c>
      <c r="C4" s="39">
        <f t="shared" ref="C4:AE4" si="0">B4+1</f>
        <v>46267</v>
      </c>
      <c r="D4" s="39">
        <f t="shared" si="0"/>
        <v>46268</v>
      </c>
      <c r="E4" s="39">
        <f t="shared" si="0"/>
        <v>46269</v>
      </c>
      <c r="F4" s="39">
        <f t="shared" si="0"/>
        <v>46270</v>
      </c>
      <c r="G4" s="39">
        <f t="shared" si="0"/>
        <v>46271</v>
      </c>
      <c r="H4" s="39">
        <f t="shared" si="0"/>
        <v>46272</v>
      </c>
      <c r="I4" s="39">
        <f t="shared" si="0"/>
        <v>46273</v>
      </c>
      <c r="J4" s="39">
        <f t="shared" si="0"/>
        <v>46274</v>
      </c>
      <c r="K4" s="39">
        <f t="shared" si="0"/>
        <v>46275</v>
      </c>
      <c r="L4" s="39">
        <f t="shared" si="0"/>
        <v>46276</v>
      </c>
      <c r="M4" s="39">
        <f t="shared" si="0"/>
        <v>46277</v>
      </c>
      <c r="N4" s="39">
        <f t="shared" si="0"/>
        <v>46278</v>
      </c>
      <c r="O4" s="39">
        <f t="shared" si="0"/>
        <v>46279</v>
      </c>
      <c r="P4" s="39">
        <f t="shared" si="0"/>
        <v>46280</v>
      </c>
      <c r="Q4" s="39">
        <f t="shared" si="0"/>
        <v>46281</v>
      </c>
      <c r="R4" s="39">
        <f t="shared" si="0"/>
        <v>46282</v>
      </c>
      <c r="S4" s="39">
        <f t="shared" si="0"/>
        <v>46283</v>
      </c>
      <c r="T4" s="39">
        <f t="shared" si="0"/>
        <v>46284</v>
      </c>
      <c r="U4" s="39">
        <f t="shared" si="0"/>
        <v>46285</v>
      </c>
      <c r="V4" s="39">
        <f t="shared" si="0"/>
        <v>46286</v>
      </c>
      <c r="W4" s="39">
        <f t="shared" si="0"/>
        <v>46287</v>
      </c>
      <c r="X4" s="39">
        <f t="shared" si="0"/>
        <v>46288</v>
      </c>
      <c r="Y4" s="39">
        <f t="shared" si="0"/>
        <v>46289</v>
      </c>
      <c r="Z4" s="39">
        <f t="shared" si="0"/>
        <v>46290</v>
      </c>
      <c r="AA4" s="39">
        <f t="shared" si="0"/>
        <v>46291</v>
      </c>
      <c r="AB4" s="39">
        <f t="shared" si="0"/>
        <v>46292</v>
      </c>
      <c r="AC4" s="39">
        <f t="shared" si="0"/>
        <v>46293</v>
      </c>
      <c r="AD4" s="39">
        <f t="shared" si="0"/>
        <v>46294</v>
      </c>
      <c r="AE4" s="39">
        <f t="shared" si="0"/>
        <v>46295</v>
      </c>
      <c r="AF4" s="82"/>
      <c r="AG4" s="71"/>
      <c r="AH4" s="83"/>
      <c r="AI4" s="84"/>
      <c r="AJ4" s="78"/>
      <c r="AK4" s="19"/>
      <c r="AL4" s="76"/>
      <c r="AM4" s="76"/>
      <c r="AN4" s="2"/>
      <c r="AO4" s="2"/>
    </row>
    <row r="5" spans="1:41" s="3" customFormat="1" ht="24.75" customHeight="1" x14ac:dyDescent="0.55000000000000004">
      <c r="A5" s="9" t="s">
        <v>13</v>
      </c>
      <c r="B5" s="22"/>
      <c r="C5" s="22"/>
      <c r="D5" s="22"/>
      <c r="E5" s="22"/>
      <c r="F5" s="13"/>
      <c r="G5" s="13"/>
      <c r="H5" s="22"/>
      <c r="I5" s="22"/>
      <c r="J5" s="22"/>
      <c r="K5" s="22"/>
      <c r="L5" s="22"/>
      <c r="M5" s="13"/>
      <c r="N5" s="13"/>
      <c r="O5" s="22" t="s">
        <v>109</v>
      </c>
      <c r="P5" s="22"/>
      <c r="Q5" s="22"/>
      <c r="R5" s="22"/>
      <c r="S5" s="22"/>
      <c r="T5" s="13"/>
      <c r="U5" s="13"/>
      <c r="V5" s="22"/>
      <c r="W5" s="22"/>
      <c r="X5" s="22"/>
      <c r="Y5" s="22"/>
      <c r="Z5" s="22"/>
      <c r="AA5" s="13"/>
      <c r="AB5" s="13"/>
      <c r="AC5" s="22"/>
      <c r="AD5" s="22"/>
      <c r="AE5" s="22"/>
      <c r="AF5" s="8">
        <f t="shared" ref="AF5:AF35" si="1">SUM(AG5:AJ5)</f>
        <v>0</v>
      </c>
      <c r="AG5" s="8">
        <f t="shared" ref="AG5:AG35" si="2">COUNTIF(B5:AE5,"V")+COUNTIF(B5:AE5,"V1")/2+COUNTIF(B5:AE5,"V2")/2</f>
        <v>0</v>
      </c>
      <c r="AH5" s="8">
        <f t="shared" ref="AH5:AH35" si="3">COUNTIF(B5:AE5,"S")+COUNTIF(B5:AE5,"S1")/2+COUNTIF(B5:AE5,"S2")/2</f>
        <v>0</v>
      </c>
      <c r="AI5" s="8">
        <f t="shared" ref="AI5:AI35" si="4">COUNTIF(B5:AE5,"M")</f>
        <v>0</v>
      </c>
      <c r="AJ5" s="8">
        <f t="shared" ref="AJ5:AJ35" si="5">COUNTIF(B5:AE5,"U")</f>
        <v>0</v>
      </c>
      <c r="AK5" s="23"/>
      <c r="AL5" s="32" t="s">
        <v>14</v>
      </c>
      <c r="AM5" s="25" t="s">
        <v>102</v>
      </c>
      <c r="AN5" s="2"/>
      <c r="AO5" s="2"/>
    </row>
    <row r="6" spans="1:41" s="3" customFormat="1" ht="25.15" customHeight="1" x14ac:dyDescent="0.55000000000000004">
      <c r="A6" s="10" t="s">
        <v>34</v>
      </c>
      <c r="B6" s="22"/>
      <c r="C6" s="22"/>
      <c r="D6" s="22"/>
      <c r="E6" s="22"/>
      <c r="F6" s="13"/>
      <c r="G6" s="13"/>
      <c r="H6" s="22"/>
      <c r="I6" s="22"/>
      <c r="J6" s="22"/>
      <c r="K6" s="22"/>
      <c r="L6" s="22"/>
      <c r="M6" s="13"/>
      <c r="N6" s="13"/>
      <c r="O6" s="22" t="s">
        <v>109</v>
      </c>
      <c r="P6" s="22"/>
      <c r="Q6" s="22"/>
      <c r="R6" s="22"/>
      <c r="S6" s="22"/>
      <c r="T6" s="13"/>
      <c r="U6" s="13"/>
      <c r="V6" s="22"/>
      <c r="W6" s="22"/>
      <c r="X6" s="22"/>
      <c r="Y6" s="22"/>
      <c r="Z6" s="22"/>
      <c r="AA6" s="13"/>
      <c r="AB6" s="13"/>
      <c r="AC6" s="22"/>
      <c r="AD6" s="22"/>
      <c r="AE6" s="22"/>
      <c r="AF6" s="8">
        <f t="shared" si="1"/>
        <v>0</v>
      </c>
      <c r="AG6" s="8">
        <f t="shared" si="2"/>
        <v>0</v>
      </c>
      <c r="AH6" s="8">
        <f t="shared" si="3"/>
        <v>0</v>
      </c>
      <c r="AI6" s="8">
        <f t="shared" si="4"/>
        <v>0</v>
      </c>
      <c r="AJ6" s="8">
        <f t="shared" si="5"/>
        <v>0</v>
      </c>
      <c r="AK6" s="23"/>
      <c r="AL6" s="33" t="s">
        <v>103</v>
      </c>
      <c r="AM6" s="25" t="s">
        <v>104</v>
      </c>
      <c r="AN6" s="2"/>
      <c r="AO6" s="2"/>
    </row>
    <row r="7" spans="1:41" s="3" customFormat="1" ht="25.15" customHeight="1" x14ac:dyDescent="0.55000000000000004">
      <c r="A7" s="10" t="s">
        <v>16</v>
      </c>
      <c r="B7" s="22"/>
      <c r="C7" s="22"/>
      <c r="D7" s="22"/>
      <c r="E7" s="22"/>
      <c r="F7" s="13"/>
      <c r="G7" s="13"/>
      <c r="H7" s="22"/>
      <c r="I7" s="22"/>
      <c r="J7" s="22"/>
      <c r="K7" s="22"/>
      <c r="L7" s="22"/>
      <c r="M7" s="13"/>
      <c r="N7" s="13"/>
      <c r="O7" s="22" t="s">
        <v>109</v>
      </c>
      <c r="P7" s="22"/>
      <c r="Q7" s="22"/>
      <c r="R7" s="22"/>
      <c r="S7" s="22"/>
      <c r="T7" s="13"/>
      <c r="U7" s="13"/>
      <c r="V7" s="22"/>
      <c r="W7" s="22"/>
      <c r="X7" s="22"/>
      <c r="Y7" s="22"/>
      <c r="Z7" s="22"/>
      <c r="AA7" s="13"/>
      <c r="AB7" s="13"/>
      <c r="AC7" s="22"/>
      <c r="AD7" s="22"/>
      <c r="AE7" s="22"/>
      <c r="AF7" s="8">
        <f t="shared" si="1"/>
        <v>0</v>
      </c>
      <c r="AG7" s="8">
        <f t="shared" si="2"/>
        <v>0</v>
      </c>
      <c r="AH7" s="8">
        <f t="shared" si="3"/>
        <v>0</v>
      </c>
      <c r="AI7" s="8">
        <f t="shared" si="4"/>
        <v>0</v>
      </c>
      <c r="AJ7" s="8">
        <f t="shared" si="5"/>
        <v>0</v>
      </c>
      <c r="AK7" s="23"/>
      <c r="AL7" s="34" t="s">
        <v>22</v>
      </c>
      <c r="AM7" s="25" t="s">
        <v>105</v>
      </c>
      <c r="AN7" s="2"/>
      <c r="AO7" s="2"/>
    </row>
    <row r="8" spans="1:41" s="3" customFormat="1" ht="25.15" customHeight="1" x14ac:dyDescent="0.55000000000000004">
      <c r="A8" s="10" t="s">
        <v>37</v>
      </c>
      <c r="B8" s="22"/>
      <c r="C8" s="22"/>
      <c r="D8" s="22"/>
      <c r="E8" s="22"/>
      <c r="F8" s="13"/>
      <c r="G8" s="13"/>
      <c r="H8" s="22"/>
      <c r="I8" s="22"/>
      <c r="J8" s="22"/>
      <c r="K8" s="22"/>
      <c r="L8" s="22"/>
      <c r="M8" s="13"/>
      <c r="N8" s="13"/>
      <c r="O8" s="22" t="s">
        <v>109</v>
      </c>
      <c r="P8" s="22"/>
      <c r="Q8" s="22"/>
      <c r="R8" s="22"/>
      <c r="S8" s="22"/>
      <c r="T8" s="13"/>
      <c r="U8" s="13"/>
      <c r="V8" s="22"/>
      <c r="W8" s="22"/>
      <c r="X8" s="22"/>
      <c r="Y8" s="22"/>
      <c r="Z8" s="22"/>
      <c r="AA8" s="13"/>
      <c r="AB8" s="13"/>
      <c r="AC8" s="22"/>
      <c r="AD8" s="22"/>
      <c r="AE8" s="22"/>
      <c r="AF8" s="8">
        <f t="shared" si="1"/>
        <v>0</v>
      </c>
      <c r="AG8" s="8">
        <f t="shared" si="2"/>
        <v>0</v>
      </c>
      <c r="AH8" s="8">
        <f t="shared" si="3"/>
        <v>0</v>
      </c>
      <c r="AI8" s="8">
        <f t="shared" si="4"/>
        <v>0</v>
      </c>
      <c r="AJ8" s="8">
        <f t="shared" si="5"/>
        <v>0</v>
      </c>
      <c r="AK8" s="23"/>
      <c r="AL8" s="35" t="s">
        <v>106</v>
      </c>
      <c r="AM8" s="25" t="s">
        <v>107</v>
      </c>
      <c r="AN8" s="2"/>
      <c r="AO8" s="2"/>
    </row>
    <row r="9" spans="1:41" s="3" customFormat="1" ht="25.15" customHeight="1" x14ac:dyDescent="0.55000000000000004">
      <c r="A9" s="10" t="s">
        <v>33</v>
      </c>
      <c r="B9" s="22"/>
      <c r="C9" s="22"/>
      <c r="D9" s="22"/>
      <c r="E9" s="22"/>
      <c r="F9" s="13"/>
      <c r="G9" s="13"/>
      <c r="H9" s="22"/>
      <c r="I9" s="22"/>
      <c r="J9" s="22"/>
      <c r="K9" s="22"/>
      <c r="L9" s="22"/>
      <c r="M9" s="13"/>
      <c r="N9" s="13"/>
      <c r="O9" s="22" t="s">
        <v>109</v>
      </c>
      <c r="P9" s="22"/>
      <c r="Q9" s="22"/>
      <c r="R9" s="22"/>
      <c r="S9" s="22"/>
      <c r="T9" s="13"/>
      <c r="U9" s="13"/>
      <c r="V9" s="22"/>
      <c r="W9" s="22"/>
      <c r="X9" s="22"/>
      <c r="Y9" s="22"/>
      <c r="Z9" s="22"/>
      <c r="AA9" s="13"/>
      <c r="AB9" s="13"/>
      <c r="AC9" s="22"/>
      <c r="AD9" s="22"/>
      <c r="AE9" s="22"/>
      <c r="AF9" s="8">
        <f t="shared" si="1"/>
        <v>0</v>
      </c>
      <c r="AG9" s="8">
        <f t="shared" si="2"/>
        <v>0</v>
      </c>
      <c r="AH9" s="8">
        <f t="shared" si="3"/>
        <v>0</v>
      </c>
      <c r="AI9" s="8">
        <f t="shared" si="4"/>
        <v>0</v>
      </c>
      <c r="AJ9" s="8">
        <f t="shared" si="5"/>
        <v>0</v>
      </c>
      <c r="AK9" s="23"/>
      <c r="AL9" s="29" t="s">
        <v>108</v>
      </c>
      <c r="AM9" s="25" t="s">
        <v>109</v>
      </c>
      <c r="AN9" s="2"/>
      <c r="AO9" s="2"/>
    </row>
    <row r="10" spans="1:41" s="3" customFormat="1" ht="25.15" customHeight="1" x14ac:dyDescent="0.55000000000000004">
      <c r="A10" s="10" t="s">
        <v>41</v>
      </c>
      <c r="B10" s="22"/>
      <c r="C10" s="22"/>
      <c r="D10" s="22"/>
      <c r="E10" s="22"/>
      <c r="F10" s="13"/>
      <c r="G10" s="13"/>
      <c r="H10" s="22"/>
      <c r="I10" s="22"/>
      <c r="J10" s="22"/>
      <c r="K10" s="22"/>
      <c r="L10" s="22"/>
      <c r="M10" s="13"/>
      <c r="N10" s="13"/>
      <c r="O10" s="22"/>
      <c r="P10" s="22"/>
      <c r="Q10" s="22"/>
      <c r="R10" s="22"/>
      <c r="S10" s="22"/>
      <c r="T10" s="13"/>
      <c r="U10" s="13"/>
      <c r="V10" s="22"/>
      <c r="W10" s="22"/>
      <c r="X10" s="22"/>
      <c r="Y10" s="22"/>
      <c r="Z10" s="22"/>
      <c r="AA10" s="13"/>
      <c r="AB10" s="13"/>
      <c r="AC10" s="22"/>
      <c r="AD10" s="22"/>
      <c r="AE10" s="22"/>
      <c r="AF10" s="8">
        <f t="shared" si="1"/>
        <v>0</v>
      </c>
      <c r="AG10" s="8">
        <f t="shared" si="2"/>
        <v>0</v>
      </c>
      <c r="AH10" s="8">
        <f t="shared" si="3"/>
        <v>0</v>
      </c>
      <c r="AI10" s="8">
        <f t="shared" si="4"/>
        <v>0</v>
      </c>
      <c r="AJ10" s="8">
        <f t="shared" si="5"/>
        <v>0</v>
      </c>
      <c r="AK10" s="23"/>
      <c r="AL10" s="30" t="s">
        <v>99</v>
      </c>
      <c r="AM10" s="25" t="s">
        <v>110</v>
      </c>
      <c r="AN10" s="2"/>
      <c r="AO10" s="2"/>
    </row>
    <row r="11" spans="1:41" s="3" customFormat="1" ht="25.15" customHeight="1" x14ac:dyDescent="0.55000000000000004">
      <c r="A11" s="10" t="s">
        <v>39</v>
      </c>
      <c r="B11" s="22"/>
      <c r="C11" s="22"/>
      <c r="D11" s="22"/>
      <c r="E11" s="22"/>
      <c r="F11" s="13"/>
      <c r="G11" s="13"/>
      <c r="H11" s="22"/>
      <c r="I11" s="22"/>
      <c r="J11" s="22"/>
      <c r="K11" s="22"/>
      <c r="L11" s="22"/>
      <c r="M11" s="13"/>
      <c r="N11" s="13"/>
      <c r="O11" s="22"/>
      <c r="P11" s="22"/>
      <c r="Q11" s="22"/>
      <c r="R11" s="22"/>
      <c r="S11" s="22"/>
      <c r="T11" s="13"/>
      <c r="U11" s="13"/>
      <c r="V11" s="22"/>
      <c r="W11" s="22"/>
      <c r="X11" s="22"/>
      <c r="Y11" s="22"/>
      <c r="Z11" s="22"/>
      <c r="AA11" s="13"/>
      <c r="AB11" s="13"/>
      <c r="AC11" s="22"/>
      <c r="AD11" s="22"/>
      <c r="AE11" s="22"/>
      <c r="AF11" s="8">
        <f t="shared" si="1"/>
        <v>0</v>
      </c>
      <c r="AG11" s="8">
        <f t="shared" si="2"/>
        <v>0</v>
      </c>
      <c r="AH11" s="8">
        <f t="shared" si="3"/>
        <v>0</v>
      </c>
      <c r="AI11" s="8">
        <f t="shared" si="4"/>
        <v>0</v>
      </c>
      <c r="AJ11" s="8">
        <f t="shared" si="5"/>
        <v>0</v>
      </c>
      <c r="AK11" s="23"/>
      <c r="AL11" s="11"/>
      <c r="AM11" s="40"/>
      <c r="AN11" s="2"/>
      <c r="AO11" s="2"/>
    </row>
    <row r="12" spans="1:41" s="3" customFormat="1" ht="25.15" customHeight="1" x14ac:dyDescent="0.55000000000000004">
      <c r="A12" s="10" t="s">
        <v>42</v>
      </c>
      <c r="B12" s="22"/>
      <c r="C12" s="22"/>
      <c r="D12" s="22"/>
      <c r="E12" s="22"/>
      <c r="F12" s="13"/>
      <c r="G12" s="13"/>
      <c r="H12" s="22"/>
      <c r="I12" s="22"/>
      <c r="J12" s="22"/>
      <c r="K12" s="22"/>
      <c r="L12" s="22"/>
      <c r="M12" s="13"/>
      <c r="N12" s="13"/>
      <c r="O12" s="22"/>
      <c r="P12" s="22"/>
      <c r="Q12" s="22"/>
      <c r="R12" s="22"/>
      <c r="S12" s="22"/>
      <c r="T12" s="13"/>
      <c r="U12" s="13"/>
      <c r="V12" s="22"/>
      <c r="W12" s="22"/>
      <c r="X12" s="22"/>
      <c r="Y12" s="22"/>
      <c r="Z12" s="22"/>
      <c r="AA12" s="13"/>
      <c r="AB12" s="13"/>
      <c r="AC12" s="22"/>
      <c r="AD12" s="22"/>
      <c r="AE12" s="22"/>
      <c r="AF12" s="8">
        <f t="shared" si="1"/>
        <v>0</v>
      </c>
      <c r="AG12" s="8">
        <f t="shared" si="2"/>
        <v>0</v>
      </c>
      <c r="AH12" s="8">
        <f t="shared" si="3"/>
        <v>0</v>
      </c>
      <c r="AI12" s="8">
        <f t="shared" si="4"/>
        <v>0</v>
      </c>
      <c r="AJ12" s="8">
        <f t="shared" si="5"/>
        <v>0</v>
      </c>
      <c r="AK12" s="23"/>
      <c r="AL12" s="11"/>
      <c r="AM12" s="40"/>
      <c r="AN12" s="2"/>
      <c r="AO12" s="2"/>
    </row>
    <row r="13" spans="1:41" s="3" customFormat="1" ht="25.15" customHeight="1" x14ac:dyDescent="0.55000000000000004">
      <c r="A13" s="10" t="s">
        <v>31</v>
      </c>
      <c r="B13" s="22"/>
      <c r="C13" s="22"/>
      <c r="D13" s="22"/>
      <c r="E13" s="22"/>
      <c r="F13" s="13"/>
      <c r="G13" s="13"/>
      <c r="H13" s="22"/>
      <c r="I13" s="22"/>
      <c r="J13" s="22"/>
      <c r="K13" s="22"/>
      <c r="L13" s="22"/>
      <c r="M13" s="13"/>
      <c r="N13" s="13"/>
      <c r="O13" s="22" t="s">
        <v>109</v>
      </c>
      <c r="P13" s="22"/>
      <c r="Q13" s="22"/>
      <c r="R13" s="22"/>
      <c r="S13" s="22"/>
      <c r="T13" s="13"/>
      <c r="U13" s="13"/>
      <c r="V13" s="22"/>
      <c r="W13" s="22"/>
      <c r="X13" s="22"/>
      <c r="Y13" s="22"/>
      <c r="Z13" s="22"/>
      <c r="AA13" s="13"/>
      <c r="AB13" s="13"/>
      <c r="AC13" s="22"/>
      <c r="AD13" s="22"/>
      <c r="AE13" s="22"/>
      <c r="AF13" s="8">
        <f t="shared" si="1"/>
        <v>0</v>
      </c>
      <c r="AG13" s="8">
        <f t="shared" si="2"/>
        <v>0</v>
      </c>
      <c r="AH13" s="8">
        <f t="shared" si="3"/>
        <v>0</v>
      </c>
      <c r="AI13" s="8">
        <f t="shared" si="4"/>
        <v>0</v>
      </c>
      <c r="AJ13" s="8">
        <f t="shared" si="5"/>
        <v>0</v>
      </c>
      <c r="AK13" s="23"/>
      <c r="AL13" s="2"/>
      <c r="AM13" s="2"/>
      <c r="AN13" s="2"/>
      <c r="AO13" s="2"/>
    </row>
    <row r="14" spans="1:41" s="3" customFormat="1" ht="25.15" customHeight="1" x14ac:dyDescent="0.55000000000000004">
      <c r="A14" s="10" t="s">
        <v>36</v>
      </c>
      <c r="B14" s="22"/>
      <c r="C14" s="22"/>
      <c r="D14" s="22"/>
      <c r="E14" s="22"/>
      <c r="F14" s="13"/>
      <c r="G14" s="13"/>
      <c r="H14" s="22"/>
      <c r="I14" s="22"/>
      <c r="J14" s="22"/>
      <c r="K14" s="22"/>
      <c r="L14" s="22"/>
      <c r="M14" s="13"/>
      <c r="N14" s="13"/>
      <c r="O14" s="22"/>
      <c r="P14" s="22"/>
      <c r="Q14" s="22"/>
      <c r="R14" s="22"/>
      <c r="S14" s="22"/>
      <c r="T14" s="13"/>
      <c r="U14" s="13"/>
      <c r="V14" s="22"/>
      <c r="W14" s="22"/>
      <c r="X14" s="22"/>
      <c r="Y14" s="22"/>
      <c r="Z14" s="22"/>
      <c r="AA14" s="13"/>
      <c r="AB14" s="13"/>
      <c r="AC14" s="22"/>
      <c r="AD14" s="22"/>
      <c r="AE14" s="22"/>
      <c r="AF14" s="8">
        <f t="shared" si="1"/>
        <v>0</v>
      </c>
      <c r="AG14" s="8">
        <f t="shared" si="2"/>
        <v>0</v>
      </c>
      <c r="AH14" s="8">
        <f t="shared" si="3"/>
        <v>0</v>
      </c>
      <c r="AI14" s="8">
        <f t="shared" si="4"/>
        <v>0</v>
      </c>
      <c r="AJ14" s="8">
        <f t="shared" si="5"/>
        <v>0</v>
      </c>
      <c r="AK14" s="23"/>
      <c r="AL14" s="2"/>
      <c r="AM14" s="2"/>
      <c r="AN14" s="2"/>
      <c r="AO14" s="2"/>
    </row>
    <row r="15" spans="1:41" s="3" customFormat="1" ht="25.15" customHeight="1" x14ac:dyDescent="0.55000000000000004">
      <c r="A15" s="10" t="s">
        <v>32</v>
      </c>
      <c r="B15" s="22"/>
      <c r="C15" s="22"/>
      <c r="D15" s="22"/>
      <c r="E15" s="22"/>
      <c r="F15" s="13"/>
      <c r="G15" s="13"/>
      <c r="H15" s="22"/>
      <c r="I15" s="22"/>
      <c r="J15" s="22"/>
      <c r="K15" s="22"/>
      <c r="L15" s="22"/>
      <c r="M15" s="13"/>
      <c r="N15" s="13"/>
      <c r="O15" s="22"/>
      <c r="P15" s="22"/>
      <c r="Q15" s="22"/>
      <c r="R15" s="22"/>
      <c r="S15" s="22"/>
      <c r="T15" s="13"/>
      <c r="U15" s="13"/>
      <c r="V15" s="22"/>
      <c r="W15" s="22"/>
      <c r="X15" s="22"/>
      <c r="Y15" s="22"/>
      <c r="Z15" s="22"/>
      <c r="AA15" s="13"/>
      <c r="AB15" s="13"/>
      <c r="AC15" s="22"/>
      <c r="AD15" s="22"/>
      <c r="AE15" s="22"/>
      <c r="AF15" s="8">
        <f t="shared" si="1"/>
        <v>0</v>
      </c>
      <c r="AG15" s="8">
        <f t="shared" si="2"/>
        <v>0</v>
      </c>
      <c r="AH15" s="8">
        <f t="shared" si="3"/>
        <v>0</v>
      </c>
      <c r="AI15" s="8">
        <f t="shared" si="4"/>
        <v>0</v>
      </c>
      <c r="AJ15" s="8">
        <f t="shared" si="5"/>
        <v>0</v>
      </c>
      <c r="AK15" s="2"/>
      <c r="AL15" s="2"/>
      <c r="AM15" s="2"/>
      <c r="AN15" s="2"/>
      <c r="AO15" s="2"/>
    </row>
    <row r="16" spans="1:41" ht="23.5" customHeight="1" x14ac:dyDescent="0.55000000000000004">
      <c r="A16" s="10" t="s">
        <v>28</v>
      </c>
      <c r="B16" s="22"/>
      <c r="C16" s="22"/>
      <c r="D16" s="22"/>
      <c r="E16" s="22"/>
      <c r="F16" s="13"/>
      <c r="G16" s="13"/>
      <c r="H16" s="22"/>
      <c r="I16" s="22"/>
      <c r="J16" s="22"/>
      <c r="K16" s="22"/>
      <c r="L16" s="22"/>
      <c r="M16" s="13"/>
      <c r="N16" s="13"/>
      <c r="O16" s="22"/>
      <c r="P16" s="22"/>
      <c r="Q16" s="22"/>
      <c r="R16" s="22"/>
      <c r="S16" s="22"/>
      <c r="T16" s="13"/>
      <c r="U16" s="13"/>
      <c r="V16" s="22"/>
      <c r="W16" s="22"/>
      <c r="X16" s="22"/>
      <c r="Y16" s="22"/>
      <c r="Z16" s="22"/>
      <c r="AA16" s="13"/>
      <c r="AB16" s="13"/>
      <c r="AC16" s="22"/>
      <c r="AD16" s="22"/>
      <c r="AE16" s="22"/>
      <c r="AF16" s="8">
        <f t="shared" si="1"/>
        <v>0</v>
      </c>
      <c r="AG16" s="8">
        <f t="shared" si="2"/>
        <v>0</v>
      </c>
      <c r="AH16" s="8">
        <f t="shared" si="3"/>
        <v>0</v>
      </c>
      <c r="AI16" s="8">
        <f t="shared" si="4"/>
        <v>0</v>
      </c>
      <c r="AJ16" s="8">
        <f t="shared" si="5"/>
        <v>0</v>
      </c>
      <c r="AN16" s="2"/>
      <c r="AO16" s="2"/>
    </row>
    <row r="17" spans="1:36" ht="23.5" customHeight="1" x14ac:dyDescent="0.55000000000000004">
      <c r="A17" s="10" t="s">
        <v>111</v>
      </c>
      <c r="B17" s="22"/>
      <c r="C17" s="22"/>
      <c r="D17" s="22"/>
      <c r="E17" s="22"/>
      <c r="F17" s="13"/>
      <c r="G17" s="13"/>
      <c r="H17" s="22"/>
      <c r="I17" s="22"/>
      <c r="J17" s="22"/>
      <c r="K17" s="22"/>
      <c r="L17" s="22"/>
      <c r="M17" s="13"/>
      <c r="N17" s="13"/>
      <c r="O17" s="22" t="s">
        <v>109</v>
      </c>
      <c r="P17" s="22"/>
      <c r="Q17" s="22"/>
      <c r="R17" s="22"/>
      <c r="S17" s="22"/>
      <c r="T17" s="13"/>
      <c r="U17" s="13"/>
      <c r="V17" s="22"/>
      <c r="W17" s="22"/>
      <c r="X17" s="22"/>
      <c r="Y17" s="22"/>
      <c r="Z17" s="22"/>
      <c r="AA17" s="13"/>
      <c r="AB17" s="13"/>
      <c r="AC17" s="22"/>
      <c r="AD17" s="22"/>
      <c r="AE17" s="22"/>
      <c r="AF17" s="8">
        <f t="shared" si="1"/>
        <v>0</v>
      </c>
      <c r="AG17" s="8">
        <f t="shared" si="2"/>
        <v>0</v>
      </c>
      <c r="AH17" s="8">
        <f t="shared" si="3"/>
        <v>0</v>
      </c>
      <c r="AI17" s="8">
        <f t="shared" si="4"/>
        <v>0</v>
      </c>
      <c r="AJ17" s="8">
        <f t="shared" si="5"/>
        <v>0</v>
      </c>
    </row>
    <row r="18" spans="1:36" ht="23.5" customHeight="1" x14ac:dyDescent="0.55000000000000004">
      <c r="A18" s="10" t="s">
        <v>21</v>
      </c>
      <c r="B18" s="22"/>
      <c r="C18" s="22"/>
      <c r="D18" s="22"/>
      <c r="E18" s="22"/>
      <c r="F18" s="13"/>
      <c r="G18" s="13"/>
      <c r="H18" s="22"/>
      <c r="I18" s="22"/>
      <c r="J18" s="22"/>
      <c r="K18" s="22"/>
      <c r="L18" s="22"/>
      <c r="M18" s="13"/>
      <c r="N18" s="13"/>
      <c r="O18" s="22" t="s">
        <v>109</v>
      </c>
      <c r="P18" s="22"/>
      <c r="Q18" s="22"/>
      <c r="R18" s="22"/>
      <c r="S18" s="22"/>
      <c r="T18" s="13"/>
      <c r="U18" s="13"/>
      <c r="V18" s="22"/>
      <c r="W18" s="22"/>
      <c r="X18" s="22"/>
      <c r="Y18" s="22"/>
      <c r="Z18" s="22"/>
      <c r="AA18" s="13"/>
      <c r="AB18" s="13"/>
      <c r="AC18" s="22"/>
      <c r="AD18" s="22"/>
      <c r="AE18" s="22"/>
      <c r="AF18" s="8">
        <f t="shared" si="1"/>
        <v>0</v>
      </c>
      <c r="AG18" s="8">
        <f t="shared" si="2"/>
        <v>0</v>
      </c>
      <c r="AH18" s="8">
        <f t="shared" si="3"/>
        <v>0</v>
      </c>
      <c r="AI18" s="8">
        <f t="shared" si="4"/>
        <v>0</v>
      </c>
      <c r="AJ18" s="8">
        <f t="shared" si="5"/>
        <v>0</v>
      </c>
    </row>
    <row r="19" spans="1:36" ht="23.5" customHeight="1" x14ac:dyDescent="0.55000000000000004">
      <c r="A19" s="10" t="s">
        <v>35</v>
      </c>
      <c r="B19" s="22"/>
      <c r="C19" s="22"/>
      <c r="D19" s="22"/>
      <c r="E19" s="22"/>
      <c r="F19" s="13"/>
      <c r="G19" s="13"/>
      <c r="H19" s="22"/>
      <c r="I19" s="22"/>
      <c r="J19" s="22"/>
      <c r="K19" s="22"/>
      <c r="L19" s="22"/>
      <c r="M19" s="13"/>
      <c r="N19" s="13"/>
      <c r="O19" s="22"/>
      <c r="P19" s="22"/>
      <c r="Q19" s="22"/>
      <c r="R19" s="22"/>
      <c r="S19" s="22"/>
      <c r="T19" s="13"/>
      <c r="U19" s="13"/>
      <c r="V19" s="22"/>
      <c r="W19" s="22"/>
      <c r="X19" s="22"/>
      <c r="Y19" s="22"/>
      <c r="Z19" s="22"/>
      <c r="AA19" s="13"/>
      <c r="AB19" s="13"/>
      <c r="AC19" s="22"/>
      <c r="AD19" s="22"/>
      <c r="AE19" s="22"/>
      <c r="AF19" s="8">
        <f t="shared" si="1"/>
        <v>0</v>
      </c>
      <c r="AG19" s="8">
        <f t="shared" si="2"/>
        <v>0</v>
      </c>
      <c r="AH19" s="8">
        <f t="shared" si="3"/>
        <v>0</v>
      </c>
      <c r="AI19" s="8">
        <f t="shared" si="4"/>
        <v>0</v>
      </c>
      <c r="AJ19" s="8">
        <f t="shared" si="5"/>
        <v>0</v>
      </c>
    </row>
    <row r="20" spans="1:36" ht="23.5" customHeight="1" x14ac:dyDescent="0.55000000000000004">
      <c r="A20" s="10" t="s">
        <v>43</v>
      </c>
      <c r="B20" s="22"/>
      <c r="C20" s="22"/>
      <c r="D20" s="22"/>
      <c r="E20" s="22"/>
      <c r="F20" s="13"/>
      <c r="G20" s="13"/>
      <c r="H20" s="22"/>
      <c r="I20" s="22"/>
      <c r="J20" s="22"/>
      <c r="K20" s="22"/>
      <c r="L20" s="22"/>
      <c r="M20" s="13"/>
      <c r="N20" s="13"/>
      <c r="O20" s="22"/>
      <c r="P20" s="22"/>
      <c r="Q20" s="22"/>
      <c r="R20" s="22"/>
      <c r="S20" s="22"/>
      <c r="T20" s="13"/>
      <c r="U20" s="13"/>
      <c r="V20" s="22"/>
      <c r="W20" s="22"/>
      <c r="X20" s="22"/>
      <c r="Y20" s="22"/>
      <c r="Z20" s="22"/>
      <c r="AA20" s="13"/>
      <c r="AB20" s="13"/>
      <c r="AC20" s="22"/>
      <c r="AD20" s="22"/>
      <c r="AE20" s="22"/>
      <c r="AF20" s="8">
        <f t="shared" si="1"/>
        <v>0</v>
      </c>
      <c r="AG20" s="8">
        <f t="shared" si="2"/>
        <v>0</v>
      </c>
      <c r="AH20" s="8">
        <f t="shared" si="3"/>
        <v>0</v>
      </c>
      <c r="AI20" s="8">
        <f t="shared" si="4"/>
        <v>0</v>
      </c>
      <c r="AJ20" s="8">
        <f t="shared" si="5"/>
        <v>0</v>
      </c>
    </row>
    <row r="21" spans="1:36" ht="23.5" customHeight="1" x14ac:dyDescent="0.55000000000000004">
      <c r="A21" s="10" t="s">
        <v>112</v>
      </c>
      <c r="B21" s="22"/>
      <c r="C21" s="22"/>
      <c r="D21" s="22"/>
      <c r="E21" s="22"/>
      <c r="F21" s="13"/>
      <c r="G21" s="13"/>
      <c r="H21" s="22"/>
      <c r="I21" s="22"/>
      <c r="J21" s="22"/>
      <c r="K21" s="22"/>
      <c r="L21" s="22"/>
      <c r="M21" s="13"/>
      <c r="N21" s="13"/>
      <c r="O21" s="22"/>
      <c r="P21" s="22"/>
      <c r="Q21" s="22"/>
      <c r="R21" s="22"/>
      <c r="S21" s="22"/>
      <c r="T21" s="13"/>
      <c r="U21" s="13"/>
      <c r="V21" s="22"/>
      <c r="W21" s="22"/>
      <c r="X21" s="22"/>
      <c r="Y21" s="22"/>
      <c r="Z21" s="22"/>
      <c r="AA21" s="13"/>
      <c r="AB21" s="13"/>
      <c r="AC21" s="22"/>
      <c r="AD21" s="22"/>
      <c r="AE21" s="22"/>
      <c r="AF21" s="8">
        <f t="shared" si="1"/>
        <v>0</v>
      </c>
      <c r="AG21" s="8">
        <f t="shared" si="2"/>
        <v>0</v>
      </c>
      <c r="AH21" s="8">
        <f t="shared" si="3"/>
        <v>0</v>
      </c>
      <c r="AI21" s="8">
        <f t="shared" si="4"/>
        <v>0</v>
      </c>
      <c r="AJ21" s="8">
        <f t="shared" si="5"/>
        <v>0</v>
      </c>
    </row>
    <row r="22" spans="1:36" ht="23.5" customHeight="1" x14ac:dyDescent="0.55000000000000004">
      <c r="A22" s="10" t="s">
        <v>26</v>
      </c>
      <c r="B22" s="22"/>
      <c r="C22" s="22"/>
      <c r="D22" s="22"/>
      <c r="E22" s="22"/>
      <c r="F22" s="13"/>
      <c r="G22" s="13"/>
      <c r="H22" s="22"/>
      <c r="I22" s="22"/>
      <c r="J22" s="22"/>
      <c r="K22" s="22"/>
      <c r="L22" s="22"/>
      <c r="M22" s="13"/>
      <c r="N22" s="13"/>
      <c r="O22" s="22" t="s">
        <v>109</v>
      </c>
      <c r="P22" s="22"/>
      <c r="Q22" s="22"/>
      <c r="R22" s="22"/>
      <c r="S22" s="22"/>
      <c r="T22" s="13"/>
      <c r="U22" s="13"/>
      <c r="V22" s="22"/>
      <c r="W22" s="22"/>
      <c r="X22" s="22"/>
      <c r="Y22" s="22"/>
      <c r="Z22" s="22"/>
      <c r="AA22" s="13"/>
      <c r="AB22" s="13"/>
      <c r="AC22" s="22"/>
      <c r="AD22" s="22"/>
      <c r="AE22" s="22"/>
      <c r="AF22" s="8">
        <f t="shared" si="1"/>
        <v>0</v>
      </c>
      <c r="AG22" s="8">
        <f t="shared" si="2"/>
        <v>0</v>
      </c>
      <c r="AH22" s="8">
        <f t="shared" si="3"/>
        <v>0</v>
      </c>
      <c r="AI22" s="8">
        <f t="shared" si="4"/>
        <v>0</v>
      </c>
      <c r="AJ22" s="8">
        <f t="shared" si="5"/>
        <v>0</v>
      </c>
    </row>
    <row r="23" spans="1:36" ht="23.5" customHeight="1" x14ac:dyDescent="0.55000000000000004">
      <c r="A23" s="10" t="s">
        <v>27</v>
      </c>
      <c r="B23" s="22"/>
      <c r="C23" s="22"/>
      <c r="D23" s="22"/>
      <c r="E23" s="22"/>
      <c r="F23" s="13"/>
      <c r="G23" s="13"/>
      <c r="H23" s="22"/>
      <c r="I23" s="22"/>
      <c r="J23" s="22"/>
      <c r="K23" s="22"/>
      <c r="L23" s="22"/>
      <c r="M23" s="13"/>
      <c r="N23" s="13"/>
      <c r="O23" s="22"/>
      <c r="P23" s="22"/>
      <c r="Q23" s="22"/>
      <c r="R23" s="22"/>
      <c r="S23" s="22"/>
      <c r="T23" s="13"/>
      <c r="U23" s="13"/>
      <c r="V23" s="22"/>
      <c r="W23" s="22"/>
      <c r="X23" s="22"/>
      <c r="Y23" s="22"/>
      <c r="Z23" s="22"/>
      <c r="AA23" s="13"/>
      <c r="AB23" s="13"/>
      <c r="AC23" s="22"/>
      <c r="AD23" s="22"/>
      <c r="AE23" s="22"/>
      <c r="AF23" s="8">
        <f t="shared" si="1"/>
        <v>0</v>
      </c>
      <c r="AG23" s="8">
        <f t="shared" si="2"/>
        <v>0</v>
      </c>
      <c r="AH23" s="8">
        <f t="shared" si="3"/>
        <v>0</v>
      </c>
      <c r="AI23" s="8">
        <f t="shared" si="4"/>
        <v>0</v>
      </c>
      <c r="AJ23" s="8">
        <f t="shared" si="5"/>
        <v>0</v>
      </c>
    </row>
    <row r="24" spans="1:36" ht="23.5" customHeight="1" x14ac:dyDescent="0.55000000000000004">
      <c r="A24" s="10" t="s">
        <v>20</v>
      </c>
      <c r="B24" s="22"/>
      <c r="C24" s="22"/>
      <c r="D24" s="22"/>
      <c r="E24" s="22"/>
      <c r="F24" s="13"/>
      <c r="G24" s="13"/>
      <c r="H24" s="22"/>
      <c r="I24" s="22"/>
      <c r="J24" s="22"/>
      <c r="K24" s="22"/>
      <c r="L24" s="22"/>
      <c r="M24" s="13"/>
      <c r="N24" s="13"/>
      <c r="O24" s="22" t="s">
        <v>109</v>
      </c>
      <c r="P24" s="22"/>
      <c r="Q24" s="22"/>
      <c r="R24" s="22"/>
      <c r="S24" s="22"/>
      <c r="T24" s="13"/>
      <c r="U24" s="13"/>
      <c r="V24" s="22"/>
      <c r="W24" s="22"/>
      <c r="X24" s="22"/>
      <c r="Y24" s="22"/>
      <c r="Z24" s="22"/>
      <c r="AA24" s="13"/>
      <c r="AB24" s="13"/>
      <c r="AC24" s="22"/>
      <c r="AD24" s="22"/>
      <c r="AE24" s="22"/>
      <c r="AF24" s="8">
        <f t="shared" si="1"/>
        <v>0</v>
      </c>
      <c r="AG24" s="8">
        <f t="shared" si="2"/>
        <v>0</v>
      </c>
      <c r="AH24" s="8">
        <f t="shared" si="3"/>
        <v>0</v>
      </c>
      <c r="AI24" s="8">
        <f t="shared" si="4"/>
        <v>0</v>
      </c>
      <c r="AJ24" s="8">
        <f t="shared" si="5"/>
        <v>0</v>
      </c>
    </row>
    <row r="25" spans="1:36" ht="23.5" customHeight="1" x14ac:dyDescent="0.55000000000000004">
      <c r="A25" s="10" t="s">
        <v>38</v>
      </c>
      <c r="B25" s="22"/>
      <c r="C25" s="22"/>
      <c r="D25" s="22"/>
      <c r="E25" s="22"/>
      <c r="F25" s="13"/>
      <c r="G25" s="13"/>
      <c r="H25" s="22"/>
      <c r="I25" s="22"/>
      <c r="J25" s="22"/>
      <c r="K25" s="22"/>
      <c r="L25" s="22"/>
      <c r="M25" s="13"/>
      <c r="N25" s="13"/>
      <c r="O25" s="22" t="s">
        <v>109</v>
      </c>
      <c r="P25" s="22"/>
      <c r="Q25" s="22"/>
      <c r="R25" s="22"/>
      <c r="S25" s="22"/>
      <c r="T25" s="13"/>
      <c r="U25" s="13"/>
      <c r="V25" s="22"/>
      <c r="W25" s="22"/>
      <c r="X25" s="22"/>
      <c r="Y25" s="22"/>
      <c r="Z25" s="22"/>
      <c r="AA25" s="13"/>
      <c r="AB25" s="13"/>
      <c r="AC25" s="22"/>
      <c r="AD25" s="22"/>
      <c r="AE25" s="22"/>
      <c r="AF25" s="8">
        <f t="shared" si="1"/>
        <v>0</v>
      </c>
      <c r="AG25" s="8">
        <f t="shared" si="2"/>
        <v>0</v>
      </c>
      <c r="AH25" s="8">
        <f t="shared" si="3"/>
        <v>0</v>
      </c>
      <c r="AI25" s="8">
        <f t="shared" si="4"/>
        <v>0</v>
      </c>
      <c r="AJ25" s="8">
        <f t="shared" si="5"/>
        <v>0</v>
      </c>
    </row>
    <row r="26" spans="1:36" ht="23.5" customHeight="1" x14ac:dyDescent="0.55000000000000004">
      <c r="A26" s="10" t="s">
        <v>25</v>
      </c>
      <c r="B26" s="22"/>
      <c r="C26" s="22"/>
      <c r="D26" s="22"/>
      <c r="E26" s="22"/>
      <c r="F26" s="13"/>
      <c r="G26" s="13"/>
      <c r="H26" s="22"/>
      <c r="I26" s="22"/>
      <c r="J26" s="22"/>
      <c r="K26" s="22"/>
      <c r="L26" s="22"/>
      <c r="M26" s="13"/>
      <c r="N26" s="13"/>
      <c r="O26" s="22"/>
      <c r="P26" s="22"/>
      <c r="Q26" s="22"/>
      <c r="R26" s="22"/>
      <c r="S26" s="22"/>
      <c r="T26" s="13"/>
      <c r="U26" s="13"/>
      <c r="V26" s="22"/>
      <c r="W26" s="22"/>
      <c r="X26" s="22"/>
      <c r="Y26" s="22"/>
      <c r="Z26" s="22"/>
      <c r="AA26" s="13"/>
      <c r="AB26" s="13"/>
      <c r="AC26" s="22"/>
      <c r="AD26" s="22"/>
      <c r="AE26" s="22"/>
      <c r="AF26" s="8">
        <f t="shared" si="1"/>
        <v>0</v>
      </c>
      <c r="AG26" s="8">
        <f t="shared" si="2"/>
        <v>0</v>
      </c>
      <c r="AH26" s="8">
        <f t="shared" si="3"/>
        <v>0</v>
      </c>
      <c r="AI26" s="8">
        <f t="shared" si="4"/>
        <v>0</v>
      </c>
      <c r="AJ26" s="8">
        <f t="shared" si="5"/>
        <v>0</v>
      </c>
    </row>
    <row r="27" spans="1:36" ht="23.5" customHeight="1" x14ac:dyDescent="0.55000000000000004">
      <c r="A27" s="10" t="s">
        <v>40</v>
      </c>
      <c r="B27" s="22"/>
      <c r="C27" s="22"/>
      <c r="D27" s="22"/>
      <c r="E27" s="22"/>
      <c r="F27" s="13"/>
      <c r="G27" s="13"/>
      <c r="H27" s="22"/>
      <c r="I27" s="22"/>
      <c r="J27" s="22"/>
      <c r="K27" s="22"/>
      <c r="L27" s="22"/>
      <c r="M27" s="13"/>
      <c r="N27" s="13"/>
      <c r="O27" s="22"/>
      <c r="P27" s="22"/>
      <c r="Q27" s="22"/>
      <c r="R27" s="22"/>
      <c r="S27" s="22"/>
      <c r="T27" s="13"/>
      <c r="U27" s="13"/>
      <c r="V27" s="22"/>
      <c r="W27" s="22"/>
      <c r="X27" s="22"/>
      <c r="Y27" s="22"/>
      <c r="Z27" s="22"/>
      <c r="AA27" s="13"/>
      <c r="AB27" s="13"/>
      <c r="AC27" s="22"/>
      <c r="AD27" s="22"/>
      <c r="AE27" s="22"/>
      <c r="AF27" s="8">
        <f t="shared" si="1"/>
        <v>0</v>
      </c>
      <c r="AG27" s="8">
        <f t="shared" si="2"/>
        <v>0</v>
      </c>
      <c r="AH27" s="8">
        <f t="shared" si="3"/>
        <v>0</v>
      </c>
      <c r="AI27" s="8">
        <f t="shared" si="4"/>
        <v>0</v>
      </c>
      <c r="AJ27" s="8">
        <f t="shared" si="5"/>
        <v>0</v>
      </c>
    </row>
    <row r="28" spans="1:36" ht="23.5" customHeight="1" x14ac:dyDescent="0.55000000000000004">
      <c r="A28" s="10" t="s">
        <v>24</v>
      </c>
      <c r="B28" s="22"/>
      <c r="C28" s="22"/>
      <c r="D28" s="22"/>
      <c r="E28" s="22"/>
      <c r="F28" s="13"/>
      <c r="G28" s="13"/>
      <c r="H28" s="22"/>
      <c r="I28" s="22"/>
      <c r="J28" s="22"/>
      <c r="K28" s="22"/>
      <c r="L28" s="22"/>
      <c r="M28" s="13"/>
      <c r="N28" s="13"/>
      <c r="O28" s="22" t="s">
        <v>109</v>
      </c>
      <c r="P28" s="22"/>
      <c r="Q28" s="22"/>
      <c r="R28" s="22"/>
      <c r="S28" s="22"/>
      <c r="T28" s="13"/>
      <c r="U28" s="13"/>
      <c r="V28" s="22"/>
      <c r="W28" s="22"/>
      <c r="X28" s="22"/>
      <c r="Y28" s="22"/>
      <c r="Z28" s="22"/>
      <c r="AA28" s="13"/>
      <c r="AB28" s="13"/>
      <c r="AC28" s="22"/>
      <c r="AD28" s="22"/>
      <c r="AE28" s="22"/>
      <c r="AF28" s="8">
        <f t="shared" si="1"/>
        <v>0</v>
      </c>
      <c r="AG28" s="8">
        <f t="shared" si="2"/>
        <v>0</v>
      </c>
      <c r="AH28" s="8">
        <f t="shared" si="3"/>
        <v>0</v>
      </c>
      <c r="AI28" s="8">
        <f t="shared" si="4"/>
        <v>0</v>
      </c>
      <c r="AJ28" s="8">
        <f t="shared" si="5"/>
        <v>0</v>
      </c>
    </row>
    <row r="29" spans="1:36" ht="23.5" customHeight="1" x14ac:dyDescent="0.55000000000000004">
      <c r="A29" s="10" t="s">
        <v>23</v>
      </c>
      <c r="B29" s="22"/>
      <c r="C29" s="22"/>
      <c r="D29" s="22"/>
      <c r="E29" s="22"/>
      <c r="F29" s="13"/>
      <c r="G29" s="13"/>
      <c r="H29" s="22"/>
      <c r="I29" s="22"/>
      <c r="J29" s="22"/>
      <c r="K29" s="22"/>
      <c r="L29" s="22"/>
      <c r="M29" s="13"/>
      <c r="N29" s="13"/>
      <c r="O29" s="22"/>
      <c r="P29" s="22"/>
      <c r="Q29" s="22"/>
      <c r="R29" s="22"/>
      <c r="S29" s="22"/>
      <c r="T29" s="13"/>
      <c r="U29" s="13"/>
      <c r="V29" s="22"/>
      <c r="W29" s="22"/>
      <c r="X29" s="22"/>
      <c r="Y29" s="22"/>
      <c r="Z29" s="22"/>
      <c r="AA29" s="13"/>
      <c r="AB29" s="13"/>
      <c r="AC29" s="22"/>
      <c r="AD29" s="22"/>
      <c r="AE29" s="22"/>
      <c r="AF29" s="8">
        <f t="shared" si="1"/>
        <v>0</v>
      </c>
      <c r="AG29" s="8">
        <f t="shared" si="2"/>
        <v>0</v>
      </c>
      <c r="AH29" s="8">
        <f t="shared" si="3"/>
        <v>0</v>
      </c>
      <c r="AI29" s="8">
        <f t="shared" si="4"/>
        <v>0</v>
      </c>
      <c r="AJ29" s="8">
        <f t="shared" si="5"/>
        <v>0</v>
      </c>
    </row>
    <row r="30" spans="1:36" ht="23.5" customHeight="1" x14ac:dyDescent="0.55000000000000004">
      <c r="A30" s="10" t="s">
        <v>50</v>
      </c>
      <c r="B30" s="22"/>
      <c r="C30" s="22"/>
      <c r="D30" s="22"/>
      <c r="E30" s="22"/>
      <c r="F30" s="13"/>
      <c r="G30" s="13"/>
      <c r="H30" s="22"/>
      <c r="I30" s="22"/>
      <c r="J30" s="22"/>
      <c r="K30" s="22"/>
      <c r="L30" s="22"/>
      <c r="M30" s="13"/>
      <c r="N30" s="13"/>
      <c r="O30" s="22"/>
      <c r="P30" s="22"/>
      <c r="Q30" s="22"/>
      <c r="R30" s="22"/>
      <c r="S30" s="22"/>
      <c r="T30" s="13"/>
      <c r="U30" s="13"/>
      <c r="V30" s="22"/>
      <c r="W30" s="22"/>
      <c r="X30" s="22"/>
      <c r="Y30" s="22"/>
      <c r="Z30" s="22"/>
      <c r="AA30" s="13"/>
      <c r="AB30" s="13"/>
      <c r="AC30" s="22"/>
      <c r="AD30" s="22"/>
      <c r="AE30" s="22"/>
      <c r="AF30" s="8">
        <f t="shared" si="1"/>
        <v>0</v>
      </c>
      <c r="AG30" s="8">
        <f t="shared" si="2"/>
        <v>0</v>
      </c>
      <c r="AH30" s="8">
        <f t="shared" si="3"/>
        <v>0</v>
      </c>
      <c r="AI30" s="8">
        <f t="shared" si="4"/>
        <v>0</v>
      </c>
      <c r="AJ30" s="8">
        <f t="shared" si="5"/>
        <v>0</v>
      </c>
    </row>
    <row r="31" spans="1:36" ht="23.5" customHeight="1" x14ac:dyDescent="0.55000000000000004">
      <c r="A31" s="10" t="s">
        <v>45</v>
      </c>
      <c r="B31" s="22"/>
      <c r="C31" s="22"/>
      <c r="D31" s="22"/>
      <c r="E31" s="22"/>
      <c r="F31" s="13"/>
      <c r="G31" s="13"/>
      <c r="H31" s="22"/>
      <c r="I31" s="22"/>
      <c r="J31" s="22"/>
      <c r="K31" s="22"/>
      <c r="L31" s="22"/>
      <c r="M31" s="13"/>
      <c r="N31" s="13"/>
      <c r="O31" s="22" t="s">
        <v>109</v>
      </c>
      <c r="P31" s="22"/>
      <c r="Q31" s="22"/>
      <c r="R31" s="22"/>
      <c r="S31" s="22"/>
      <c r="T31" s="13"/>
      <c r="U31" s="13"/>
      <c r="V31" s="22"/>
      <c r="W31" s="22"/>
      <c r="X31" s="22"/>
      <c r="Y31" s="22"/>
      <c r="Z31" s="22"/>
      <c r="AA31" s="13"/>
      <c r="AB31" s="13"/>
      <c r="AC31" s="22"/>
      <c r="AD31" s="22"/>
      <c r="AE31" s="22"/>
      <c r="AF31" s="8">
        <f t="shared" si="1"/>
        <v>0</v>
      </c>
      <c r="AG31" s="8">
        <f t="shared" si="2"/>
        <v>0</v>
      </c>
      <c r="AH31" s="8">
        <f t="shared" si="3"/>
        <v>0</v>
      </c>
      <c r="AI31" s="8">
        <f t="shared" si="4"/>
        <v>0</v>
      </c>
      <c r="AJ31" s="8">
        <f t="shared" si="5"/>
        <v>0</v>
      </c>
    </row>
    <row r="32" spans="1:36" ht="23.5" customHeight="1" x14ac:dyDescent="0.55000000000000004">
      <c r="A32" s="10" t="s">
        <v>113</v>
      </c>
      <c r="B32" s="22"/>
      <c r="C32" s="22"/>
      <c r="D32" s="22"/>
      <c r="E32" s="22"/>
      <c r="F32" s="13"/>
      <c r="G32" s="13"/>
      <c r="H32" s="22"/>
      <c r="I32" s="22"/>
      <c r="J32" s="22"/>
      <c r="K32" s="22"/>
      <c r="L32" s="22"/>
      <c r="M32" s="13"/>
      <c r="N32" s="13"/>
      <c r="O32" s="22"/>
      <c r="P32" s="22"/>
      <c r="Q32" s="22"/>
      <c r="R32" s="22"/>
      <c r="S32" s="22"/>
      <c r="T32" s="13"/>
      <c r="U32" s="13"/>
      <c r="V32" s="22"/>
      <c r="W32" s="22"/>
      <c r="X32" s="22"/>
      <c r="Y32" s="22"/>
      <c r="Z32" s="22"/>
      <c r="AA32" s="13"/>
      <c r="AB32" s="13"/>
      <c r="AC32" s="22"/>
      <c r="AD32" s="22"/>
      <c r="AE32" s="22"/>
      <c r="AF32" s="8">
        <f t="shared" si="1"/>
        <v>0</v>
      </c>
      <c r="AG32" s="8">
        <f t="shared" si="2"/>
        <v>0</v>
      </c>
      <c r="AH32" s="8">
        <f t="shared" si="3"/>
        <v>0</v>
      </c>
      <c r="AI32" s="8">
        <f t="shared" si="4"/>
        <v>0</v>
      </c>
      <c r="AJ32" s="8">
        <f t="shared" si="5"/>
        <v>0</v>
      </c>
    </row>
    <row r="33" spans="1:36" ht="23.5" customHeight="1" x14ac:dyDescent="0.55000000000000004">
      <c r="A33" s="10" t="s">
        <v>46</v>
      </c>
      <c r="B33" s="22"/>
      <c r="C33" s="22"/>
      <c r="D33" s="22"/>
      <c r="E33" s="22"/>
      <c r="F33" s="13"/>
      <c r="G33" s="13"/>
      <c r="H33" s="22"/>
      <c r="I33" s="22"/>
      <c r="J33" s="22"/>
      <c r="K33" s="22"/>
      <c r="L33" s="22"/>
      <c r="M33" s="13"/>
      <c r="N33" s="13"/>
      <c r="O33" s="22"/>
      <c r="P33" s="22"/>
      <c r="Q33" s="22"/>
      <c r="R33" s="22"/>
      <c r="S33" s="22"/>
      <c r="T33" s="13"/>
      <c r="U33" s="13"/>
      <c r="V33" s="22"/>
      <c r="W33" s="22"/>
      <c r="X33" s="22"/>
      <c r="Y33" s="22"/>
      <c r="Z33" s="22"/>
      <c r="AA33" s="13"/>
      <c r="AB33" s="13"/>
      <c r="AC33" s="22"/>
      <c r="AD33" s="22"/>
      <c r="AE33" s="22"/>
      <c r="AF33" s="8">
        <f t="shared" si="1"/>
        <v>0</v>
      </c>
      <c r="AG33" s="8">
        <f t="shared" si="2"/>
        <v>0</v>
      </c>
      <c r="AH33" s="8">
        <f t="shared" si="3"/>
        <v>0</v>
      </c>
      <c r="AI33" s="8">
        <f t="shared" si="4"/>
        <v>0</v>
      </c>
      <c r="AJ33" s="8">
        <f t="shared" si="5"/>
        <v>0</v>
      </c>
    </row>
    <row r="34" spans="1:36" ht="23.5" customHeight="1" x14ac:dyDescent="0.55000000000000004">
      <c r="A34" s="10" t="s">
        <v>53</v>
      </c>
      <c r="B34" s="22"/>
      <c r="C34" s="22"/>
      <c r="D34" s="22"/>
      <c r="E34" s="22"/>
      <c r="F34" s="13"/>
      <c r="G34" s="13"/>
      <c r="H34" s="22"/>
      <c r="I34" s="22"/>
      <c r="J34" s="22"/>
      <c r="K34" s="22"/>
      <c r="L34" s="22"/>
      <c r="M34" s="13"/>
      <c r="N34" s="13"/>
      <c r="O34" s="22" t="s">
        <v>109</v>
      </c>
      <c r="P34" s="22"/>
      <c r="Q34" s="22"/>
      <c r="R34" s="22"/>
      <c r="S34" s="22"/>
      <c r="T34" s="13"/>
      <c r="U34" s="13"/>
      <c r="V34" s="22"/>
      <c r="W34" s="22"/>
      <c r="X34" s="22"/>
      <c r="Y34" s="22"/>
      <c r="Z34" s="22"/>
      <c r="AA34" s="13"/>
      <c r="AB34" s="13"/>
      <c r="AC34" s="22"/>
      <c r="AD34" s="22"/>
      <c r="AE34" s="22"/>
      <c r="AF34" s="8">
        <f t="shared" si="1"/>
        <v>0</v>
      </c>
      <c r="AG34" s="8">
        <f t="shared" si="2"/>
        <v>0</v>
      </c>
      <c r="AH34" s="8">
        <f t="shared" si="3"/>
        <v>0</v>
      </c>
      <c r="AI34" s="8">
        <f t="shared" si="4"/>
        <v>0</v>
      </c>
      <c r="AJ34" s="8">
        <f t="shared" si="5"/>
        <v>0</v>
      </c>
    </row>
    <row r="35" spans="1:36" ht="23.5" customHeight="1" x14ac:dyDescent="0.55000000000000004">
      <c r="A35" s="10" t="s">
        <v>114</v>
      </c>
      <c r="B35" s="22"/>
      <c r="C35" s="22"/>
      <c r="D35" s="22"/>
      <c r="E35" s="22"/>
      <c r="F35" s="13"/>
      <c r="G35" s="13"/>
      <c r="H35" s="22"/>
      <c r="I35" s="22"/>
      <c r="J35" s="22"/>
      <c r="K35" s="22"/>
      <c r="L35" s="22"/>
      <c r="M35" s="13"/>
      <c r="N35" s="13"/>
      <c r="O35" s="22"/>
      <c r="P35" s="22"/>
      <c r="Q35" s="22"/>
      <c r="R35" s="22"/>
      <c r="S35" s="22"/>
      <c r="T35" s="13"/>
      <c r="U35" s="13"/>
      <c r="V35" s="22"/>
      <c r="W35" s="22"/>
      <c r="X35" s="22"/>
      <c r="Y35" s="22"/>
      <c r="Z35" s="22"/>
      <c r="AA35" s="13"/>
      <c r="AB35" s="13"/>
      <c r="AC35" s="22"/>
      <c r="AD35" s="22"/>
      <c r="AE35" s="22"/>
      <c r="AF35" s="8">
        <f t="shared" si="1"/>
        <v>0</v>
      </c>
      <c r="AG35" s="8">
        <f t="shared" si="2"/>
        <v>0</v>
      </c>
      <c r="AH35" s="8">
        <f t="shared" si="3"/>
        <v>0</v>
      </c>
      <c r="AI35" s="8">
        <f t="shared" si="4"/>
        <v>0</v>
      </c>
      <c r="AJ35" s="8">
        <f t="shared" si="5"/>
        <v>0</v>
      </c>
    </row>
  </sheetData>
  <mergeCells count="9">
    <mergeCell ref="AL3:AL4"/>
    <mergeCell ref="AM3:AM4"/>
    <mergeCell ref="A1:AJ2"/>
    <mergeCell ref="A3:A4"/>
    <mergeCell ref="AF3:AF4"/>
    <mergeCell ref="AG3:AG4"/>
    <mergeCell ref="AH3:AH4"/>
    <mergeCell ref="AI3:AI4"/>
    <mergeCell ref="AJ3:AJ4"/>
  </mergeCells>
  <conditionalFormatting sqref="B5:AE35">
    <cfRule type="cellIs" dxfId="20" priority="2" operator="equal">
      <formula>"U"</formula>
    </cfRule>
    <cfRule type="cellIs" dxfId="19" priority="3" operator="equal">
      <formula>"M"</formula>
    </cfRule>
    <cfRule type="beginsWith" dxfId="18" priority="4" operator="beginsWith" text="S">
      <formula>LEFT(B5,1)="S"</formula>
    </cfRule>
    <cfRule type="beginsWith" dxfId="17" priority="5" operator="beginsWith" text="V">
      <formula>LEFT(B5,1)="V"</formula>
    </cfRule>
  </conditionalFormatting>
  <conditionalFormatting sqref="AF5:AJ35">
    <cfRule type="cellIs" dxfId="16" priority="1" operator="equal">
      <formula>0</formula>
    </cfRule>
  </conditionalFormatting>
  <dataValidations count="1">
    <dataValidation type="list" allowBlank="1" showInputMessage="1" showErrorMessage="1" sqref="B5:AE35" xr:uid="{00000000-0002-0000-0B00-000000000000}">
      <formula1>$AM$5:$AM$12</formula1>
    </dataValidation>
  </dataValidation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782BA5-E669-41DF-A61C-00D276C8B51E}">
  <sheetPr codeName="Sheet12"/>
  <dimension ref="A1:AP35"/>
  <sheetViews>
    <sheetView topLeftCell="A8" zoomScale="55" zoomScaleNormal="55" workbookViewId="0">
      <selection activeCell="AF5" sqref="AF5 AF5:AF35"/>
    </sheetView>
  </sheetViews>
  <sheetFormatPr defaultRowHeight="14.5" x14ac:dyDescent="0.35"/>
  <cols>
    <col min="1" max="1" width="34.81640625" customWidth="1"/>
    <col min="2" max="2" width="5.26953125" bestFit="1" customWidth="1"/>
    <col min="3" max="32" width="5.7265625" customWidth="1"/>
    <col min="33" max="33" width="12.7265625" customWidth="1"/>
    <col min="34" max="37" width="11.26953125" customWidth="1"/>
    <col min="38" max="38" width="9.1796875" customWidth="1"/>
    <col min="39" max="39" width="29.26953125" bestFit="1" customWidth="1"/>
  </cols>
  <sheetData>
    <row r="1" spans="1:42" s="3" customFormat="1" ht="25.15" customHeight="1" x14ac:dyDescent="0.35">
      <c r="A1" s="67" t="s">
        <v>126</v>
      </c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2"/>
      <c r="AM1" s="2"/>
      <c r="AN1" s="2"/>
      <c r="AO1" s="2"/>
      <c r="AP1" s="2"/>
    </row>
    <row r="2" spans="1:42" s="3" customFormat="1" ht="25.15" customHeight="1" x14ac:dyDescent="0.35">
      <c r="A2" s="68"/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  <c r="AA2" s="68"/>
      <c r="AB2" s="68"/>
      <c r="AC2" s="68"/>
      <c r="AD2" s="68"/>
      <c r="AE2" s="68"/>
      <c r="AF2" s="68"/>
      <c r="AG2" s="68"/>
      <c r="AH2" s="68"/>
      <c r="AI2" s="68"/>
      <c r="AJ2" s="68"/>
      <c r="AK2" s="68"/>
      <c r="AL2" s="2"/>
      <c r="AM2" s="2"/>
      <c r="AN2" s="2"/>
      <c r="AO2" s="2"/>
      <c r="AP2" s="2"/>
    </row>
    <row r="3" spans="1:42" s="3" customFormat="1" ht="25.15" customHeight="1" x14ac:dyDescent="0.35">
      <c r="A3" s="77" t="s">
        <v>119</v>
      </c>
      <c r="B3" s="38" t="str">
        <f>IF(B4="","",INDEX({"Sun";"Mon";"Tue";"Wen";"Thu";"Fri";"Sat"},WEEKDAY(B4,1)))</f>
        <v>Thu</v>
      </c>
      <c r="C3" s="38" t="str">
        <f>IF(C4="","",INDEX({"Sun";"Mon";"Tue";"Wen";"Thu";"Fri";"Sat"},WEEKDAY(C4,1)))</f>
        <v>Fri</v>
      </c>
      <c r="D3" s="38" t="str">
        <f>IF(D4="","",INDEX({"Sun";"Mon";"Tue";"Wen";"Thu";"Fri";"Sat"},WEEKDAY(D4,1)))</f>
        <v>Sat</v>
      </c>
      <c r="E3" s="38" t="str">
        <f>IF(E4="","",INDEX({"Sun";"Mon";"Tue";"Wen";"Thu";"Fri";"Sat"},WEEKDAY(E4,1)))</f>
        <v>Sun</v>
      </c>
      <c r="F3" s="38" t="str">
        <f>IF(F4="","",INDEX({"Sun";"Mon";"Tue";"Wen";"Thu";"Fri";"Sat"},WEEKDAY(F4,1)))</f>
        <v>Mon</v>
      </c>
      <c r="G3" s="38" t="str">
        <f>IF(G4="","",INDEX({"Sun";"Mon";"Tue";"Wen";"Thu";"Fri";"Sat"},WEEKDAY(G4,1)))</f>
        <v>Tue</v>
      </c>
      <c r="H3" s="38" t="str">
        <f>IF(H4="","",INDEX({"Sun";"Mon";"Tue";"Wen";"Thu";"Fri";"Sat"},WEEKDAY(H4,1)))</f>
        <v>Wen</v>
      </c>
      <c r="I3" s="38" t="str">
        <f>IF(I4="","",INDEX({"Sun";"Mon";"Tue";"Wen";"Thu";"Fri";"Sat"},WEEKDAY(I4,1)))</f>
        <v>Thu</v>
      </c>
      <c r="J3" s="38" t="str">
        <f>IF(J4="","",INDEX({"Sun";"Mon";"Tue";"Wen";"Thu";"Fri";"Sat"},WEEKDAY(J4,1)))</f>
        <v>Fri</v>
      </c>
      <c r="K3" s="38" t="str">
        <f>IF(K4="","",INDEX({"Sun";"Mon";"Tue";"Wen";"Thu";"Fri";"Sat"},WEEKDAY(K4,1)))</f>
        <v>Sat</v>
      </c>
      <c r="L3" s="38" t="str">
        <f>IF(L4="","",INDEX({"Sun";"Mon";"Tue";"Wen";"Thu";"Fri";"Sat"},WEEKDAY(L4,1)))</f>
        <v>Sun</v>
      </c>
      <c r="M3" s="38" t="str">
        <f>IF(M4="","",INDEX({"Sun";"Mon";"Tue";"Wen";"Thu";"Fri";"Sat"},WEEKDAY(M4,1)))</f>
        <v>Mon</v>
      </c>
      <c r="N3" s="38" t="str">
        <f>IF(N4="","",INDEX({"Sun";"Mon";"Tue";"Wen";"Thu";"Fri";"Sat"},WEEKDAY(N4,1)))</f>
        <v>Tue</v>
      </c>
      <c r="O3" s="38" t="str">
        <f>IF(O4="","",INDEX({"Sun";"Mon";"Tue";"Wen";"Thu";"Fri";"Sat"},WEEKDAY(O4,1)))</f>
        <v>Wen</v>
      </c>
      <c r="P3" s="38" t="str">
        <f>IF(P4="","",INDEX({"Sun";"Mon";"Tue";"Wen";"Thu";"Fri";"Sat"},WEEKDAY(P4,1)))</f>
        <v>Thu</v>
      </c>
      <c r="Q3" s="38" t="str">
        <f>IF(Q4="","",INDEX({"Sun";"Mon";"Tue";"Wen";"Thu";"Fri";"Sat"},WEEKDAY(Q4,1)))</f>
        <v>Fri</v>
      </c>
      <c r="R3" s="38" t="str">
        <f>IF(R4="","",INDEX({"Sun";"Mon";"Tue";"Wen";"Thu";"Fri";"Sat"},WEEKDAY(R4,1)))</f>
        <v>Sat</v>
      </c>
      <c r="S3" s="38" t="str">
        <f>IF(S4="","",INDEX({"Sun";"Mon";"Tue";"Wen";"Thu";"Fri";"Sat"},WEEKDAY(S4,1)))</f>
        <v>Sun</v>
      </c>
      <c r="T3" s="38" t="str">
        <f>IF(T4="","",INDEX({"Sun";"Mon";"Tue";"Wen";"Thu";"Fri";"Sat"},WEEKDAY(T4,1)))</f>
        <v>Mon</v>
      </c>
      <c r="U3" s="38" t="str">
        <f>IF(U4="","",INDEX({"Sun";"Mon";"Tue";"Wen";"Thu";"Fri";"Sat"},WEEKDAY(U4,1)))</f>
        <v>Tue</v>
      </c>
      <c r="V3" s="38" t="str">
        <f>IF(V4="","",INDEX({"Sun";"Mon";"Tue";"Wen";"Thu";"Fri";"Sat"},WEEKDAY(V4,1)))</f>
        <v>Wen</v>
      </c>
      <c r="W3" s="38" t="str">
        <f>IF(W4="","",INDEX({"Sun";"Mon";"Tue";"Wen";"Thu";"Fri";"Sat"},WEEKDAY(W4,1)))</f>
        <v>Thu</v>
      </c>
      <c r="X3" s="38" t="str">
        <f>IF(X4="","",INDEX({"Sun";"Mon";"Tue";"Wen";"Thu";"Fri";"Sat"},WEEKDAY(X4,1)))</f>
        <v>Fri</v>
      </c>
      <c r="Y3" s="38" t="str">
        <f>IF(Y4="","",INDEX({"Sun";"Mon";"Tue";"Wen";"Thu";"Fri";"Sat"},WEEKDAY(Y4,1)))</f>
        <v>Sat</v>
      </c>
      <c r="Z3" s="38" t="str">
        <f>IF(Z4="","",INDEX({"Sun";"Mon";"Tue";"Wen";"Thu";"Fri";"Sat"},WEEKDAY(Z4,1)))</f>
        <v>Sun</v>
      </c>
      <c r="AA3" s="38" t="str">
        <f>IF(AA4="","",INDEX({"Sun";"Mon";"Tue";"Wen";"Thu";"Fri";"Sat"},WEEKDAY(AA4,1)))</f>
        <v>Mon</v>
      </c>
      <c r="AB3" s="38" t="str">
        <f>IF(AB4="","",INDEX({"Sun";"Mon";"Tue";"Wen";"Thu";"Fri";"Sat"},WEEKDAY(AB4,1)))</f>
        <v>Tue</v>
      </c>
      <c r="AC3" s="38" t="str">
        <f>IF(AC4="","",INDEX({"Sun";"Mon";"Tue";"Wen";"Thu";"Fri";"Sat"},WEEKDAY(AC4,1)))</f>
        <v>Wen</v>
      </c>
      <c r="AD3" s="38" t="str">
        <f>IF(AD4="","",INDEX({"Sun";"Mon";"Tue";"Wen";"Thu";"Fri";"Sat"},WEEKDAY(AD4,1)))</f>
        <v>Thu</v>
      </c>
      <c r="AE3" s="38" t="str">
        <f>IF(AE4="","",INDEX({"Sun";"Mon";"Tue";"Wen";"Thu";"Fri";"Sat"},WEEKDAY(AE4,1)))</f>
        <v>Fri</v>
      </c>
      <c r="AF3" s="38" t="str">
        <f>IF(AF4="","",INDEX({"Sun";"Mon";"Tue";"Wen";"Thu";"Fri";"Sat"},WEEKDAY(AF4,1)))</f>
        <v>Sat</v>
      </c>
      <c r="AG3" s="82" t="s">
        <v>95</v>
      </c>
      <c r="AH3" s="71" t="s">
        <v>96</v>
      </c>
      <c r="AI3" s="83" t="s">
        <v>116</v>
      </c>
      <c r="AJ3" s="84" t="s">
        <v>98</v>
      </c>
      <c r="AK3" s="78" t="s">
        <v>99</v>
      </c>
      <c r="AL3" s="19"/>
      <c r="AM3" s="75" t="s">
        <v>117</v>
      </c>
      <c r="AN3" s="75" t="s">
        <v>101</v>
      </c>
      <c r="AO3" s="2"/>
      <c r="AP3" s="2"/>
    </row>
    <row r="4" spans="1:42" s="3" customFormat="1" ht="25.15" customHeight="1" x14ac:dyDescent="0.35">
      <c r="A4" s="77"/>
      <c r="B4" s="39">
        <f>DATE(Year!$B$2,10,1)</f>
        <v>46296</v>
      </c>
      <c r="C4" s="39">
        <f t="shared" ref="C4:AF4" si="0">B4+1</f>
        <v>46297</v>
      </c>
      <c r="D4" s="39">
        <f t="shared" si="0"/>
        <v>46298</v>
      </c>
      <c r="E4" s="39">
        <f t="shared" si="0"/>
        <v>46299</v>
      </c>
      <c r="F4" s="39">
        <f t="shared" si="0"/>
        <v>46300</v>
      </c>
      <c r="G4" s="39">
        <f t="shared" si="0"/>
        <v>46301</v>
      </c>
      <c r="H4" s="39">
        <f t="shared" si="0"/>
        <v>46302</v>
      </c>
      <c r="I4" s="39">
        <f t="shared" si="0"/>
        <v>46303</v>
      </c>
      <c r="J4" s="39">
        <f t="shared" si="0"/>
        <v>46304</v>
      </c>
      <c r="K4" s="39">
        <f t="shared" si="0"/>
        <v>46305</v>
      </c>
      <c r="L4" s="39">
        <f t="shared" si="0"/>
        <v>46306</v>
      </c>
      <c r="M4" s="39">
        <f t="shared" si="0"/>
        <v>46307</v>
      </c>
      <c r="N4" s="39">
        <f t="shared" si="0"/>
        <v>46308</v>
      </c>
      <c r="O4" s="39">
        <f t="shared" si="0"/>
        <v>46309</v>
      </c>
      <c r="P4" s="39">
        <f t="shared" si="0"/>
        <v>46310</v>
      </c>
      <c r="Q4" s="39">
        <f t="shared" si="0"/>
        <v>46311</v>
      </c>
      <c r="R4" s="39">
        <f t="shared" si="0"/>
        <v>46312</v>
      </c>
      <c r="S4" s="39">
        <f t="shared" si="0"/>
        <v>46313</v>
      </c>
      <c r="T4" s="39">
        <f t="shared" si="0"/>
        <v>46314</v>
      </c>
      <c r="U4" s="39">
        <f t="shared" si="0"/>
        <v>46315</v>
      </c>
      <c r="V4" s="39">
        <f t="shared" si="0"/>
        <v>46316</v>
      </c>
      <c r="W4" s="39">
        <f t="shared" si="0"/>
        <v>46317</v>
      </c>
      <c r="X4" s="39">
        <f t="shared" si="0"/>
        <v>46318</v>
      </c>
      <c r="Y4" s="39">
        <f t="shared" si="0"/>
        <v>46319</v>
      </c>
      <c r="Z4" s="39">
        <f t="shared" si="0"/>
        <v>46320</v>
      </c>
      <c r="AA4" s="39">
        <f t="shared" si="0"/>
        <v>46321</v>
      </c>
      <c r="AB4" s="39">
        <f t="shared" si="0"/>
        <v>46322</v>
      </c>
      <c r="AC4" s="39">
        <f t="shared" si="0"/>
        <v>46323</v>
      </c>
      <c r="AD4" s="39">
        <f t="shared" si="0"/>
        <v>46324</v>
      </c>
      <c r="AE4" s="39">
        <f t="shared" si="0"/>
        <v>46325</v>
      </c>
      <c r="AF4" s="39">
        <f t="shared" si="0"/>
        <v>46326</v>
      </c>
      <c r="AG4" s="82"/>
      <c r="AH4" s="71"/>
      <c r="AI4" s="83"/>
      <c r="AJ4" s="84"/>
      <c r="AK4" s="78"/>
      <c r="AL4" s="19"/>
      <c r="AM4" s="76"/>
      <c r="AN4" s="76"/>
      <c r="AO4" s="2"/>
      <c r="AP4" s="2"/>
    </row>
    <row r="5" spans="1:42" s="3" customFormat="1" ht="24.75" customHeight="1" x14ac:dyDescent="0.55000000000000004">
      <c r="A5" s="9" t="s">
        <v>13</v>
      </c>
      <c r="B5" s="22"/>
      <c r="C5" s="22" t="s">
        <v>109</v>
      </c>
      <c r="D5" s="13"/>
      <c r="E5" s="13"/>
      <c r="F5" s="22"/>
      <c r="G5" s="22"/>
      <c r="H5" s="22"/>
      <c r="I5" s="22"/>
      <c r="J5" s="22"/>
      <c r="K5" s="13"/>
      <c r="L5" s="13"/>
      <c r="M5" s="22"/>
      <c r="N5" s="22"/>
      <c r="O5" s="22"/>
      <c r="P5" s="22"/>
      <c r="Q5" s="22"/>
      <c r="R5" s="13"/>
      <c r="S5" s="13"/>
      <c r="T5" s="22"/>
      <c r="U5" s="22"/>
      <c r="V5" s="22" t="s">
        <v>109</v>
      </c>
      <c r="W5" s="22"/>
      <c r="X5" s="22"/>
      <c r="Y5" s="13"/>
      <c r="Z5" s="13"/>
      <c r="AA5" s="22"/>
      <c r="AB5" s="22"/>
      <c r="AC5" s="22"/>
      <c r="AD5" s="22"/>
      <c r="AE5" s="22"/>
      <c r="AF5" s="13"/>
      <c r="AG5" s="8">
        <f t="shared" ref="AG5:AG35" si="1">SUM(AH5:AK5)</f>
        <v>0</v>
      </c>
      <c r="AH5" s="8">
        <f t="shared" ref="AH5:AH35" si="2">COUNTIF(B5:AF5,"V")+COUNTIF(B5:AF5,"V1")/2+COUNTIF(B5:AF5,"V2")/2</f>
        <v>0</v>
      </c>
      <c r="AI5" s="8">
        <f t="shared" ref="AI5:AI35" si="3">COUNTIF(B5:AF5,"S")+COUNTIF(B5:AF5,"S1")/2+COUNTIF(B5:AF5,"S2")/2</f>
        <v>0</v>
      </c>
      <c r="AJ5" s="8">
        <f t="shared" ref="AJ5:AJ35" si="4">COUNTIF(B5:AF5,"M")</f>
        <v>0</v>
      </c>
      <c r="AK5" s="8">
        <f t="shared" ref="AK5:AK35" si="5">COUNTIF(B5:AF5,"U")</f>
        <v>0</v>
      </c>
      <c r="AL5" s="23"/>
      <c r="AM5" s="32" t="s">
        <v>14</v>
      </c>
      <c r="AN5" s="25" t="s">
        <v>102</v>
      </c>
      <c r="AO5" s="2"/>
      <c r="AP5" s="2"/>
    </row>
    <row r="6" spans="1:42" s="3" customFormat="1" ht="25.15" customHeight="1" x14ac:dyDescent="0.55000000000000004">
      <c r="A6" s="10" t="s">
        <v>34</v>
      </c>
      <c r="B6" s="22"/>
      <c r="C6" s="22" t="s">
        <v>109</v>
      </c>
      <c r="D6" s="13"/>
      <c r="E6" s="13"/>
      <c r="F6" s="22"/>
      <c r="G6" s="22"/>
      <c r="H6" s="22"/>
      <c r="I6" s="22"/>
      <c r="J6" s="22"/>
      <c r="K6" s="13"/>
      <c r="L6" s="13"/>
      <c r="M6" s="22"/>
      <c r="N6" s="22"/>
      <c r="O6" s="22"/>
      <c r="P6" s="22"/>
      <c r="Q6" s="22"/>
      <c r="R6" s="13"/>
      <c r="S6" s="13"/>
      <c r="T6" s="22"/>
      <c r="U6" s="22"/>
      <c r="V6" s="22" t="s">
        <v>109</v>
      </c>
      <c r="W6" s="22"/>
      <c r="X6" s="22"/>
      <c r="Y6" s="13"/>
      <c r="Z6" s="13"/>
      <c r="AA6" s="22"/>
      <c r="AB6" s="22"/>
      <c r="AC6" s="22"/>
      <c r="AD6" s="22"/>
      <c r="AE6" s="22"/>
      <c r="AF6" s="13"/>
      <c r="AG6" s="8">
        <f t="shared" si="1"/>
        <v>0</v>
      </c>
      <c r="AH6" s="8">
        <f t="shared" si="2"/>
        <v>0</v>
      </c>
      <c r="AI6" s="8">
        <f t="shared" si="3"/>
        <v>0</v>
      </c>
      <c r="AJ6" s="8">
        <f t="shared" si="4"/>
        <v>0</v>
      </c>
      <c r="AK6" s="8">
        <f t="shared" si="5"/>
        <v>0</v>
      </c>
      <c r="AL6" s="23"/>
      <c r="AM6" s="33" t="s">
        <v>103</v>
      </c>
      <c r="AN6" s="25" t="s">
        <v>104</v>
      </c>
      <c r="AO6" s="2"/>
      <c r="AP6" s="2"/>
    </row>
    <row r="7" spans="1:42" s="3" customFormat="1" ht="25.15" customHeight="1" x14ac:dyDescent="0.55000000000000004">
      <c r="A7" s="10" t="s">
        <v>16</v>
      </c>
      <c r="B7" s="22"/>
      <c r="C7" s="22" t="s">
        <v>109</v>
      </c>
      <c r="D7" s="13"/>
      <c r="E7" s="13"/>
      <c r="F7" s="22"/>
      <c r="G7" s="22"/>
      <c r="H7" s="22"/>
      <c r="I7" s="22"/>
      <c r="J7" s="22"/>
      <c r="K7" s="13"/>
      <c r="L7" s="13"/>
      <c r="M7" s="22"/>
      <c r="N7" s="22"/>
      <c r="O7" s="22"/>
      <c r="P7" s="22"/>
      <c r="Q7" s="22"/>
      <c r="R7" s="13"/>
      <c r="S7" s="13"/>
      <c r="T7" s="22"/>
      <c r="U7" s="22"/>
      <c r="V7" s="22" t="s">
        <v>109</v>
      </c>
      <c r="W7" s="22"/>
      <c r="X7" s="22"/>
      <c r="Y7" s="13"/>
      <c r="Z7" s="13"/>
      <c r="AA7" s="22"/>
      <c r="AB7" s="22"/>
      <c r="AC7" s="22"/>
      <c r="AD7" s="22"/>
      <c r="AE7" s="22"/>
      <c r="AF7" s="13"/>
      <c r="AG7" s="8">
        <f t="shared" si="1"/>
        <v>0</v>
      </c>
      <c r="AH7" s="8">
        <f t="shared" si="2"/>
        <v>0</v>
      </c>
      <c r="AI7" s="8">
        <f t="shared" si="3"/>
        <v>0</v>
      </c>
      <c r="AJ7" s="8">
        <f t="shared" si="4"/>
        <v>0</v>
      </c>
      <c r="AK7" s="8">
        <f t="shared" si="5"/>
        <v>0</v>
      </c>
      <c r="AL7" s="23"/>
      <c r="AM7" s="34" t="s">
        <v>22</v>
      </c>
      <c r="AN7" s="25" t="s">
        <v>105</v>
      </c>
      <c r="AO7" s="2"/>
      <c r="AP7" s="2"/>
    </row>
    <row r="8" spans="1:42" s="3" customFormat="1" ht="25.15" customHeight="1" x14ac:dyDescent="0.55000000000000004">
      <c r="A8" s="10" t="s">
        <v>37</v>
      </c>
      <c r="B8" s="22"/>
      <c r="C8" s="22" t="s">
        <v>109</v>
      </c>
      <c r="D8" s="13"/>
      <c r="E8" s="13"/>
      <c r="F8" s="22"/>
      <c r="G8" s="22"/>
      <c r="H8" s="22"/>
      <c r="I8" s="22"/>
      <c r="J8" s="22"/>
      <c r="K8" s="13"/>
      <c r="L8" s="13"/>
      <c r="M8" s="22"/>
      <c r="N8" s="22"/>
      <c r="O8" s="22"/>
      <c r="P8" s="22"/>
      <c r="Q8" s="22"/>
      <c r="R8" s="13"/>
      <c r="S8" s="13"/>
      <c r="T8" s="22"/>
      <c r="U8" s="22"/>
      <c r="V8" s="22" t="s">
        <v>109</v>
      </c>
      <c r="W8" s="22"/>
      <c r="X8" s="22"/>
      <c r="Y8" s="13"/>
      <c r="Z8" s="13"/>
      <c r="AA8" s="22"/>
      <c r="AB8" s="22"/>
      <c r="AC8" s="22"/>
      <c r="AD8" s="22"/>
      <c r="AE8" s="22"/>
      <c r="AF8" s="13"/>
      <c r="AG8" s="8">
        <f t="shared" si="1"/>
        <v>0</v>
      </c>
      <c r="AH8" s="8">
        <f t="shared" si="2"/>
        <v>0</v>
      </c>
      <c r="AI8" s="8">
        <f t="shared" si="3"/>
        <v>0</v>
      </c>
      <c r="AJ8" s="8">
        <f t="shared" si="4"/>
        <v>0</v>
      </c>
      <c r="AK8" s="8">
        <f t="shared" si="5"/>
        <v>0</v>
      </c>
      <c r="AL8" s="23"/>
      <c r="AM8" s="35" t="s">
        <v>106</v>
      </c>
      <c r="AN8" s="25" t="s">
        <v>107</v>
      </c>
      <c r="AO8" s="2"/>
      <c r="AP8" s="2"/>
    </row>
    <row r="9" spans="1:42" s="3" customFormat="1" ht="25.15" customHeight="1" x14ac:dyDescent="0.55000000000000004">
      <c r="A9" s="10" t="s">
        <v>33</v>
      </c>
      <c r="B9" s="22"/>
      <c r="C9" s="22" t="s">
        <v>109</v>
      </c>
      <c r="D9" s="13"/>
      <c r="E9" s="13"/>
      <c r="F9" s="22"/>
      <c r="G9" s="22"/>
      <c r="H9" s="22"/>
      <c r="I9" s="22"/>
      <c r="J9" s="22"/>
      <c r="K9" s="13"/>
      <c r="L9" s="13"/>
      <c r="M9" s="22"/>
      <c r="N9" s="22"/>
      <c r="O9" s="22"/>
      <c r="P9" s="22"/>
      <c r="Q9" s="22"/>
      <c r="R9" s="13"/>
      <c r="S9" s="13"/>
      <c r="T9" s="22"/>
      <c r="U9" s="22" t="s">
        <v>109</v>
      </c>
      <c r="V9" s="22"/>
      <c r="W9" s="22"/>
      <c r="X9" s="22"/>
      <c r="Y9" s="13"/>
      <c r="Z9" s="13"/>
      <c r="AA9" s="22"/>
      <c r="AB9" s="22"/>
      <c r="AC9" s="22"/>
      <c r="AD9" s="22"/>
      <c r="AE9" s="22"/>
      <c r="AF9" s="13"/>
      <c r="AG9" s="8">
        <f t="shared" si="1"/>
        <v>0</v>
      </c>
      <c r="AH9" s="8">
        <f t="shared" si="2"/>
        <v>0</v>
      </c>
      <c r="AI9" s="8">
        <f t="shared" si="3"/>
        <v>0</v>
      </c>
      <c r="AJ9" s="8">
        <f t="shared" si="4"/>
        <v>0</v>
      </c>
      <c r="AK9" s="8">
        <f t="shared" si="5"/>
        <v>0</v>
      </c>
      <c r="AL9" s="23"/>
      <c r="AM9" s="29" t="s">
        <v>108</v>
      </c>
      <c r="AN9" s="25" t="s">
        <v>109</v>
      </c>
      <c r="AO9" s="2"/>
      <c r="AP9" s="2"/>
    </row>
    <row r="10" spans="1:42" s="3" customFormat="1" ht="25.15" customHeight="1" x14ac:dyDescent="0.55000000000000004">
      <c r="A10" s="10" t="s">
        <v>41</v>
      </c>
      <c r="B10" s="22"/>
      <c r="C10" s="22" t="s">
        <v>109</v>
      </c>
      <c r="D10" s="13"/>
      <c r="E10" s="13"/>
      <c r="F10" s="22"/>
      <c r="G10" s="22"/>
      <c r="H10" s="22"/>
      <c r="I10" s="22"/>
      <c r="J10" s="22"/>
      <c r="K10" s="13"/>
      <c r="L10" s="13"/>
      <c r="M10" s="22"/>
      <c r="N10" s="22"/>
      <c r="O10" s="22"/>
      <c r="P10" s="22"/>
      <c r="Q10" s="22"/>
      <c r="R10" s="13"/>
      <c r="S10" s="13"/>
      <c r="T10" s="22"/>
      <c r="U10" s="22" t="s">
        <v>109</v>
      </c>
      <c r="V10" s="22"/>
      <c r="W10" s="22"/>
      <c r="X10" s="22"/>
      <c r="Y10" s="13"/>
      <c r="Z10" s="13"/>
      <c r="AA10" s="22"/>
      <c r="AB10" s="22"/>
      <c r="AC10" s="22"/>
      <c r="AD10" s="22"/>
      <c r="AE10" s="22"/>
      <c r="AF10" s="13"/>
      <c r="AG10" s="8">
        <f t="shared" si="1"/>
        <v>0</v>
      </c>
      <c r="AH10" s="8">
        <f t="shared" si="2"/>
        <v>0</v>
      </c>
      <c r="AI10" s="8">
        <f t="shared" si="3"/>
        <v>0</v>
      </c>
      <c r="AJ10" s="8">
        <f t="shared" si="4"/>
        <v>0</v>
      </c>
      <c r="AK10" s="8">
        <f t="shared" si="5"/>
        <v>0</v>
      </c>
      <c r="AL10" s="23"/>
      <c r="AM10" s="30" t="s">
        <v>99</v>
      </c>
      <c r="AN10" s="25" t="s">
        <v>110</v>
      </c>
      <c r="AO10" s="2"/>
      <c r="AP10" s="2"/>
    </row>
    <row r="11" spans="1:42" s="3" customFormat="1" ht="25.15" customHeight="1" x14ac:dyDescent="0.55000000000000004">
      <c r="A11" s="10" t="s">
        <v>39</v>
      </c>
      <c r="B11" s="22"/>
      <c r="C11" s="22" t="s">
        <v>109</v>
      </c>
      <c r="D11" s="13"/>
      <c r="E11" s="13"/>
      <c r="F11" s="22"/>
      <c r="G11" s="22"/>
      <c r="H11" s="22"/>
      <c r="I11" s="22"/>
      <c r="J11" s="22"/>
      <c r="K11" s="13"/>
      <c r="L11" s="13"/>
      <c r="M11" s="22"/>
      <c r="N11" s="22"/>
      <c r="O11" s="22"/>
      <c r="P11" s="22"/>
      <c r="Q11" s="22"/>
      <c r="R11" s="13"/>
      <c r="S11" s="13"/>
      <c r="T11" s="22"/>
      <c r="U11" s="22" t="s">
        <v>109</v>
      </c>
      <c r="V11" s="22"/>
      <c r="W11" s="22"/>
      <c r="X11" s="22"/>
      <c r="Y11" s="13"/>
      <c r="Z11" s="13"/>
      <c r="AA11" s="22"/>
      <c r="AB11" s="22"/>
      <c r="AC11" s="22"/>
      <c r="AD11" s="22"/>
      <c r="AE11" s="22"/>
      <c r="AF11" s="13"/>
      <c r="AG11" s="8">
        <f t="shared" si="1"/>
        <v>0</v>
      </c>
      <c r="AH11" s="8">
        <f t="shared" si="2"/>
        <v>0</v>
      </c>
      <c r="AI11" s="8">
        <f t="shared" si="3"/>
        <v>0</v>
      </c>
      <c r="AJ11" s="8">
        <f t="shared" si="4"/>
        <v>0</v>
      </c>
      <c r="AK11" s="8">
        <f t="shared" si="5"/>
        <v>0</v>
      </c>
      <c r="AL11" s="23"/>
      <c r="AM11" s="11"/>
      <c r="AN11" s="40"/>
      <c r="AO11" s="2"/>
      <c r="AP11" s="2"/>
    </row>
    <row r="12" spans="1:42" s="3" customFormat="1" ht="25.15" customHeight="1" x14ac:dyDescent="0.55000000000000004">
      <c r="A12" s="10" t="s">
        <v>42</v>
      </c>
      <c r="B12" s="22"/>
      <c r="C12" s="22" t="s">
        <v>109</v>
      </c>
      <c r="D12" s="13"/>
      <c r="E12" s="13"/>
      <c r="F12" s="22"/>
      <c r="G12" s="22"/>
      <c r="H12" s="22"/>
      <c r="I12" s="22"/>
      <c r="J12" s="22"/>
      <c r="K12" s="13"/>
      <c r="L12" s="13"/>
      <c r="M12" s="22"/>
      <c r="N12" s="22"/>
      <c r="O12" s="22"/>
      <c r="P12" s="22"/>
      <c r="Q12" s="22"/>
      <c r="R12" s="13"/>
      <c r="S12" s="13"/>
      <c r="T12" s="22"/>
      <c r="U12" s="22" t="s">
        <v>109</v>
      </c>
      <c r="V12" s="22"/>
      <c r="W12" s="22"/>
      <c r="X12" s="22"/>
      <c r="Y12" s="13"/>
      <c r="Z12" s="13"/>
      <c r="AA12" s="22"/>
      <c r="AB12" s="22"/>
      <c r="AC12" s="22"/>
      <c r="AD12" s="22"/>
      <c r="AE12" s="22"/>
      <c r="AF12" s="13"/>
      <c r="AG12" s="8">
        <f t="shared" si="1"/>
        <v>0</v>
      </c>
      <c r="AH12" s="8">
        <f t="shared" si="2"/>
        <v>0</v>
      </c>
      <c r="AI12" s="8">
        <f t="shared" si="3"/>
        <v>0</v>
      </c>
      <c r="AJ12" s="8">
        <f t="shared" si="4"/>
        <v>0</v>
      </c>
      <c r="AK12" s="8">
        <f t="shared" si="5"/>
        <v>0</v>
      </c>
      <c r="AL12" s="23"/>
      <c r="AM12" s="11"/>
      <c r="AN12" s="40"/>
      <c r="AO12" s="2"/>
      <c r="AP12" s="2"/>
    </row>
    <row r="13" spans="1:42" s="3" customFormat="1" ht="25.15" customHeight="1" x14ac:dyDescent="0.55000000000000004">
      <c r="A13" s="10" t="s">
        <v>31</v>
      </c>
      <c r="B13" s="22"/>
      <c r="C13" s="22" t="s">
        <v>109</v>
      </c>
      <c r="D13" s="13"/>
      <c r="E13" s="13"/>
      <c r="F13" s="22"/>
      <c r="G13" s="22"/>
      <c r="H13" s="22"/>
      <c r="I13" s="22"/>
      <c r="J13" s="22"/>
      <c r="K13" s="13"/>
      <c r="L13" s="13"/>
      <c r="M13" s="22"/>
      <c r="N13" s="22"/>
      <c r="O13" s="22"/>
      <c r="P13" s="22"/>
      <c r="Q13" s="22"/>
      <c r="R13" s="13"/>
      <c r="S13" s="13"/>
      <c r="T13" s="22"/>
      <c r="U13" s="22"/>
      <c r="V13" s="22" t="s">
        <v>109</v>
      </c>
      <c r="W13" s="22"/>
      <c r="X13" s="22"/>
      <c r="Y13" s="13"/>
      <c r="Z13" s="13"/>
      <c r="AA13" s="22"/>
      <c r="AB13" s="22"/>
      <c r="AC13" s="22"/>
      <c r="AD13" s="22"/>
      <c r="AE13" s="22"/>
      <c r="AF13" s="13"/>
      <c r="AG13" s="8">
        <f t="shared" si="1"/>
        <v>0</v>
      </c>
      <c r="AH13" s="8">
        <f t="shared" si="2"/>
        <v>0</v>
      </c>
      <c r="AI13" s="8">
        <f t="shared" si="3"/>
        <v>0</v>
      </c>
      <c r="AJ13" s="8">
        <f t="shared" si="4"/>
        <v>0</v>
      </c>
      <c r="AK13" s="8">
        <f t="shared" si="5"/>
        <v>0</v>
      </c>
      <c r="AL13" s="23"/>
      <c r="AM13" s="2"/>
      <c r="AN13" s="2"/>
      <c r="AO13" s="2"/>
      <c r="AP13" s="2"/>
    </row>
    <row r="14" spans="1:42" s="3" customFormat="1" ht="25.15" customHeight="1" x14ac:dyDescent="0.55000000000000004">
      <c r="A14" s="10" t="s">
        <v>36</v>
      </c>
      <c r="B14" s="22"/>
      <c r="C14" s="22" t="s">
        <v>109</v>
      </c>
      <c r="D14" s="13"/>
      <c r="E14" s="13"/>
      <c r="F14" s="22"/>
      <c r="G14" s="22"/>
      <c r="H14" s="22"/>
      <c r="I14" s="22"/>
      <c r="J14" s="22"/>
      <c r="K14" s="13"/>
      <c r="L14" s="13"/>
      <c r="M14" s="22"/>
      <c r="N14" s="22"/>
      <c r="O14" s="22"/>
      <c r="P14" s="22"/>
      <c r="Q14" s="22"/>
      <c r="R14" s="13"/>
      <c r="S14" s="13"/>
      <c r="T14" s="22"/>
      <c r="U14" s="22" t="s">
        <v>109</v>
      </c>
      <c r="V14" s="22"/>
      <c r="W14" s="22"/>
      <c r="X14" s="22"/>
      <c r="Y14" s="13"/>
      <c r="Z14" s="13"/>
      <c r="AA14" s="22"/>
      <c r="AB14" s="22"/>
      <c r="AC14" s="22"/>
      <c r="AD14" s="22"/>
      <c r="AE14" s="22"/>
      <c r="AF14" s="13"/>
      <c r="AG14" s="8">
        <f t="shared" si="1"/>
        <v>0</v>
      </c>
      <c r="AH14" s="8">
        <f t="shared" si="2"/>
        <v>0</v>
      </c>
      <c r="AI14" s="8">
        <f t="shared" si="3"/>
        <v>0</v>
      </c>
      <c r="AJ14" s="8">
        <f t="shared" si="4"/>
        <v>0</v>
      </c>
      <c r="AK14" s="8">
        <f t="shared" si="5"/>
        <v>0</v>
      </c>
      <c r="AL14" s="23"/>
      <c r="AM14" s="2"/>
      <c r="AN14" s="2"/>
      <c r="AO14" s="2"/>
      <c r="AP14" s="2"/>
    </row>
    <row r="15" spans="1:42" s="3" customFormat="1" ht="25.15" customHeight="1" x14ac:dyDescent="0.55000000000000004">
      <c r="A15" s="10" t="s">
        <v>32</v>
      </c>
      <c r="B15" s="22"/>
      <c r="C15" s="22" t="s">
        <v>109</v>
      </c>
      <c r="D15" s="13"/>
      <c r="E15" s="13"/>
      <c r="F15" s="22"/>
      <c r="G15" s="22"/>
      <c r="H15" s="22"/>
      <c r="I15" s="22"/>
      <c r="J15" s="22"/>
      <c r="K15" s="13"/>
      <c r="L15" s="13"/>
      <c r="M15" s="22"/>
      <c r="N15" s="22"/>
      <c r="O15" s="22"/>
      <c r="P15" s="22"/>
      <c r="Q15" s="22"/>
      <c r="R15" s="13"/>
      <c r="S15" s="13"/>
      <c r="T15" s="22"/>
      <c r="U15" s="22" t="s">
        <v>109</v>
      </c>
      <c r="V15" s="22"/>
      <c r="W15" s="22"/>
      <c r="X15" s="22"/>
      <c r="Y15" s="13"/>
      <c r="Z15" s="13"/>
      <c r="AA15" s="22"/>
      <c r="AB15" s="22"/>
      <c r="AC15" s="22"/>
      <c r="AD15" s="22"/>
      <c r="AE15" s="22"/>
      <c r="AF15" s="13"/>
      <c r="AG15" s="8">
        <f t="shared" si="1"/>
        <v>0</v>
      </c>
      <c r="AH15" s="8">
        <f t="shared" si="2"/>
        <v>0</v>
      </c>
      <c r="AI15" s="8">
        <f t="shared" si="3"/>
        <v>0</v>
      </c>
      <c r="AJ15" s="8">
        <f t="shared" si="4"/>
        <v>0</v>
      </c>
      <c r="AK15" s="8">
        <f t="shared" si="5"/>
        <v>0</v>
      </c>
      <c r="AL15" s="2"/>
      <c r="AM15" s="2"/>
      <c r="AN15" s="2"/>
      <c r="AO15" s="2"/>
      <c r="AP15" s="2"/>
    </row>
    <row r="16" spans="1:42" ht="23.5" customHeight="1" x14ac:dyDescent="0.55000000000000004">
      <c r="A16" s="10" t="s">
        <v>28</v>
      </c>
      <c r="B16" s="22"/>
      <c r="C16" s="22" t="s">
        <v>109</v>
      </c>
      <c r="D16" s="13"/>
      <c r="E16" s="13"/>
      <c r="F16" s="22"/>
      <c r="G16" s="22"/>
      <c r="H16" s="22"/>
      <c r="I16" s="22"/>
      <c r="J16" s="22"/>
      <c r="K16" s="13"/>
      <c r="L16" s="13"/>
      <c r="M16" s="22"/>
      <c r="N16" s="22"/>
      <c r="O16" s="22"/>
      <c r="P16" s="22"/>
      <c r="Q16" s="22"/>
      <c r="R16" s="13"/>
      <c r="S16" s="13"/>
      <c r="T16" s="22"/>
      <c r="U16" s="22" t="s">
        <v>109</v>
      </c>
      <c r="V16" s="22"/>
      <c r="W16" s="22"/>
      <c r="X16" s="22"/>
      <c r="Y16" s="13"/>
      <c r="Z16" s="13"/>
      <c r="AA16" s="22"/>
      <c r="AB16" s="22"/>
      <c r="AC16" s="22"/>
      <c r="AD16" s="22"/>
      <c r="AE16" s="22"/>
      <c r="AF16" s="13"/>
      <c r="AG16" s="8">
        <f t="shared" si="1"/>
        <v>0</v>
      </c>
      <c r="AH16" s="8">
        <f t="shared" si="2"/>
        <v>0</v>
      </c>
      <c r="AI16" s="8">
        <f t="shared" si="3"/>
        <v>0</v>
      </c>
      <c r="AJ16" s="8">
        <f t="shared" si="4"/>
        <v>0</v>
      </c>
      <c r="AK16" s="8">
        <f t="shared" si="5"/>
        <v>0</v>
      </c>
      <c r="AO16" s="2"/>
      <c r="AP16" s="2"/>
    </row>
    <row r="17" spans="1:37" ht="23.5" customHeight="1" x14ac:dyDescent="0.55000000000000004">
      <c r="A17" s="10" t="s">
        <v>111</v>
      </c>
      <c r="B17" s="22"/>
      <c r="C17" s="22" t="s">
        <v>109</v>
      </c>
      <c r="D17" s="13"/>
      <c r="E17" s="13"/>
      <c r="F17" s="22"/>
      <c r="G17" s="22"/>
      <c r="H17" s="22"/>
      <c r="I17" s="22"/>
      <c r="J17" s="22"/>
      <c r="K17" s="13"/>
      <c r="L17" s="13"/>
      <c r="M17" s="22"/>
      <c r="N17" s="22"/>
      <c r="O17" s="22"/>
      <c r="P17" s="22"/>
      <c r="Q17" s="22"/>
      <c r="R17" s="13"/>
      <c r="S17" s="13"/>
      <c r="T17" s="22"/>
      <c r="U17" s="22"/>
      <c r="V17" s="22" t="s">
        <v>109</v>
      </c>
      <c r="W17" s="22"/>
      <c r="X17" s="22"/>
      <c r="Y17" s="13"/>
      <c r="Z17" s="13"/>
      <c r="AA17" s="22"/>
      <c r="AB17" s="22"/>
      <c r="AC17" s="22"/>
      <c r="AD17" s="22"/>
      <c r="AE17" s="22"/>
      <c r="AF17" s="13"/>
      <c r="AG17" s="8">
        <f t="shared" si="1"/>
        <v>0</v>
      </c>
      <c r="AH17" s="8">
        <f t="shared" si="2"/>
        <v>0</v>
      </c>
      <c r="AI17" s="8">
        <f t="shared" si="3"/>
        <v>0</v>
      </c>
      <c r="AJ17" s="8">
        <f t="shared" si="4"/>
        <v>0</v>
      </c>
      <c r="AK17" s="8">
        <f t="shared" si="5"/>
        <v>0</v>
      </c>
    </row>
    <row r="18" spans="1:37" ht="23.5" customHeight="1" x14ac:dyDescent="0.55000000000000004">
      <c r="A18" s="10" t="s">
        <v>21</v>
      </c>
      <c r="B18" s="22"/>
      <c r="C18" s="22" t="s">
        <v>109</v>
      </c>
      <c r="D18" s="13"/>
      <c r="E18" s="13"/>
      <c r="F18" s="22"/>
      <c r="G18" s="22"/>
      <c r="H18" s="22"/>
      <c r="I18" s="22"/>
      <c r="J18" s="22"/>
      <c r="K18" s="13"/>
      <c r="L18" s="13"/>
      <c r="M18" s="22"/>
      <c r="N18" s="22"/>
      <c r="O18" s="22"/>
      <c r="P18" s="22"/>
      <c r="Q18" s="22"/>
      <c r="R18" s="13"/>
      <c r="S18" s="13"/>
      <c r="T18" s="22"/>
      <c r="U18" s="22"/>
      <c r="V18" s="22" t="s">
        <v>109</v>
      </c>
      <c r="W18" s="22"/>
      <c r="X18" s="22"/>
      <c r="Y18" s="13"/>
      <c r="Z18" s="13"/>
      <c r="AA18" s="22"/>
      <c r="AB18" s="22"/>
      <c r="AC18" s="22"/>
      <c r="AD18" s="22"/>
      <c r="AE18" s="22"/>
      <c r="AF18" s="13"/>
      <c r="AG18" s="8">
        <f t="shared" si="1"/>
        <v>0</v>
      </c>
      <c r="AH18" s="8">
        <f t="shared" si="2"/>
        <v>0</v>
      </c>
      <c r="AI18" s="8">
        <f t="shared" si="3"/>
        <v>0</v>
      </c>
      <c r="AJ18" s="8">
        <f t="shared" si="4"/>
        <v>0</v>
      </c>
      <c r="AK18" s="8">
        <f t="shared" si="5"/>
        <v>0</v>
      </c>
    </row>
    <row r="19" spans="1:37" ht="23.5" customHeight="1" x14ac:dyDescent="0.55000000000000004">
      <c r="A19" s="10" t="s">
        <v>35</v>
      </c>
      <c r="B19" s="22"/>
      <c r="C19" s="22" t="s">
        <v>109</v>
      </c>
      <c r="D19" s="13"/>
      <c r="E19" s="13"/>
      <c r="F19" s="22"/>
      <c r="G19" s="22"/>
      <c r="H19" s="22"/>
      <c r="I19" s="22"/>
      <c r="J19" s="22"/>
      <c r="K19" s="13"/>
      <c r="L19" s="13"/>
      <c r="M19" s="22"/>
      <c r="N19" s="22"/>
      <c r="O19" s="22"/>
      <c r="P19" s="22"/>
      <c r="Q19" s="22"/>
      <c r="R19" s="13"/>
      <c r="S19" s="13"/>
      <c r="T19" s="22"/>
      <c r="U19" s="22" t="s">
        <v>109</v>
      </c>
      <c r="V19" s="22"/>
      <c r="W19" s="22"/>
      <c r="X19" s="22"/>
      <c r="Y19" s="13"/>
      <c r="Z19" s="13"/>
      <c r="AA19" s="22"/>
      <c r="AB19" s="22"/>
      <c r="AC19" s="22"/>
      <c r="AD19" s="22"/>
      <c r="AE19" s="22"/>
      <c r="AF19" s="13"/>
      <c r="AG19" s="8">
        <f t="shared" si="1"/>
        <v>0</v>
      </c>
      <c r="AH19" s="8">
        <f t="shared" si="2"/>
        <v>0</v>
      </c>
      <c r="AI19" s="8">
        <f t="shared" si="3"/>
        <v>0</v>
      </c>
      <c r="AJ19" s="8">
        <f t="shared" si="4"/>
        <v>0</v>
      </c>
      <c r="AK19" s="8">
        <f t="shared" si="5"/>
        <v>0</v>
      </c>
    </row>
    <row r="20" spans="1:37" ht="23.5" customHeight="1" x14ac:dyDescent="0.55000000000000004">
      <c r="A20" s="10" t="s">
        <v>43</v>
      </c>
      <c r="B20" s="22"/>
      <c r="C20" s="22" t="s">
        <v>109</v>
      </c>
      <c r="D20" s="13"/>
      <c r="E20" s="13"/>
      <c r="F20" s="22"/>
      <c r="G20" s="22"/>
      <c r="H20" s="22"/>
      <c r="I20" s="22"/>
      <c r="J20" s="22"/>
      <c r="K20" s="13"/>
      <c r="L20" s="13"/>
      <c r="M20" s="22"/>
      <c r="N20" s="22"/>
      <c r="O20" s="22"/>
      <c r="P20" s="22"/>
      <c r="Q20" s="22"/>
      <c r="R20" s="13"/>
      <c r="S20" s="13"/>
      <c r="T20" s="22"/>
      <c r="U20" s="22" t="s">
        <v>109</v>
      </c>
      <c r="V20" s="22"/>
      <c r="W20" s="22"/>
      <c r="X20" s="22"/>
      <c r="Y20" s="13"/>
      <c r="Z20" s="13"/>
      <c r="AA20" s="22"/>
      <c r="AB20" s="22"/>
      <c r="AC20" s="22"/>
      <c r="AD20" s="22"/>
      <c r="AE20" s="22"/>
      <c r="AF20" s="13"/>
      <c r="AG20" s="8">
        <f t="shared" si="1"/>
        <v>0</v>
      </c>
      <c r="AH20" s="8">
        <f t="shared" si="2"/>
        <v>0</v>
      </c>
      <c r="AI20" s="8">
        <f t="shared" si="3"/>
        <v>0</v>
      </c>
      <c r="AJ20" s="8">
        <f t="shared" si="4"/>
        <v>0</v>
      </c>
      <c r="AK20" s="8">
        <f t="shared" si="5"/>
        <v>0</v>
      </c>
    </row>
    <row r="21" spans="1:37" ht="23.5" customHeight="1" x14ac:dyDescent="0.55000000000000004">
      <c r="A21" s="10" t="s">
        <v>112</v>
      </c>
      <c r="B21" s="22"/>
      <c r="C21" s="22" t="s">
        <v>109</v>
      </c>
      <c r="D21" s="13"/>
      <c r="E21" s="13"/>
      <c r="F21" s="22"/>
      <c r="G21" s="22"/>
      <c r="H21" s="22"/>
      <c r="I21" s="22"/>
      <c r="J21" s="22"/>
      <c r="K21" s="13"/>
      <c r="L21" s="13"/>
      <c r="M21" s="22"/>
      <c r="N21" s="22"/>
      <c r="O21" s="22"/>
      <c r="P21" s="22"/>
      <c r="Q21" s="22"/>
      <c r="R21" s="13"/>
      <c r="S21" s="13"/>
      <c r="T21" s="22"/>
      <c r="U21" s="22" t="s">
        <v>109</v>
      </c>
      <c r="V21" s="22"/>
      <c r="W21" s="22"/>
      <c r="X21" s="22"/>
      <c r="Y21" s="13"/>
      <c r="Z21" s="13"/>
      <c r="AA21" s="22"/>
      <c r="AB21" s="22"/>
      <c r="AC21" s="22"/>
      <c r="AD21" s="22"/>
      <c r="AE21" s="22"/>
      <c r="AF21" s="13"/>
      <c r="AG21" s="8">
        <f t="shared" si="1"/>
        <v>0</v>
      </c>
      <c r="AH21" s="8">
        <f t="shared" si="2"/>
        <v>0</v>
      </c>
      <c r="AI21" s="8">
        <f t="shared" si="3"/>
        <v>0</v>
      </c>
      <c r="AJ21" s="8">
        <f t="shared" si="4"/>
        <v>0</v>
      </c>
      <c r="AK21" s="8">
        <f t="shared" si="5"/>
        <v>0</v>
      </c>
    </row>
    <row r="22" spans="1:37" ht="23.5" customHeight="1" x14ac:dyDescent="0.55000000000000004">
      <c r="A22" s="10" t="s">
        <v>26</v>
      </c>
      <c r="B22" s="22"/>
      <c r="C22" s="22" t="s">
        <v>109</v>
      </c>
      <c r="D22" s="13"/>
      <c r="E22" s="13"/>
      <c r="F22" s="22"/>
      <c r="G22" s="22"/>
      <c r="H22" s="22"/>
      <c r="I22" s="22"/>
      <c r="J22" s="22"/>
      <c r="K22" s="13"/>
      <c r="L22" s="13"/>
      <c r="M22" s="22"/>
      <c r="N22" s="22"/>
      <c r="O22" s="22"/>
      <c r="P22" s="22"/>
      <c r="Q22" s="22"/>
      <c r="R22" s="13"/>
      <c r="S22" s="13"/>
      <c r="T22" s="22"/>
      <c r="U22" s="22"/>
      <c r="V22" s="22" t="s">
        <v>109</v>
      </c>
      <c r="W22" s="22"/>
      <c r="X22" s="22"/>
      <c r="Y22" s="13"/>
      <c r="Z22" s="13"/>
      <c r="AA22" s="22"/>
      <c r="AB22" s="22"/>
      <c r="AC22" s="22"/>
      <c r="AD22" s="22"/>
      <c r="AE22" s="22"/>
      <c r="AF22" s="13"/>
      <c r="AG22" s="8">
        <f t="shared" si="1"/>
        <v>0</v>
      </c>
      <c r="AH22" s="8">
        <f t="shared" si="2"/>
        <v>0</v>
      </c>
      <c r="AI22" s="8">
        <f t="shared" si="3"/>
        <v>0</v>
      </c>
      <c r="AJ22" s="8">
        <f t="shared" si="4"/>
        <v>0</v>
      </c>
      <c r="AK22" s="8">
        <f t="shared" si="5"/>
        <v>0</v>
      </c>
    </row>
    <row r="23" spans="1:37" ht="23.5" customHeight="1" x14ac:dyDescent="0.55000000000000004">
      <c r="A23" s="10" t="s">
        <v>27</v>
      </c>
      <c r="B23" s="22"/>
      <c r="C23" s="22" t="s">
        <v>109</v>
      </c>
      <c r="D23" s="13"/>
      <c r="E23" s="13"/>
      <c r="F23" s="22"/>
      <c r="G23" s="22"/>
      <c r="H23" s="22"/>
      <c r="I23" s="22"/>
      <c r="J23" s="22"/>
      <c r="K23" s="13"/>
      <c r="L23" s="13"/>
      <c r="M23" s="22"/>
      <c r="N23" s="22"/>
      <c r="O23" s="22"/>
      <c r="P23" s="22"/>
      <c r="Q23" s="22"/>
      <c r="R23" s="13"/>
      <c r="S23" s="13"/>
      <c r="T23" s="22"/>
      <c r="U23" s="22" t="s">
        <v>109</v>
      </c>
      <c r="V23" s="22"/>
      <c r="W23" s="22"/>
      <c r="X23" s="22"/>
      <c r="Y23" s="13"/>
      <c r="Z23" s="13"/>
      <c r="AA23" s="22"/>
      <c r="AB23" s="22"/>
      <c r="AC23" s="22"/>
      <c r="AD23" s="22"/>
      <c r="AE23" s="22"/>
      <c r="AF23" s="13"/>
      <c r="AG23" s="8">
        <f t="shared" si="1"/>
        <v>0</v>
      </c>
      <c r="AH23" s="8">
        <f t="shared" si="2"/>
        <v>0</v>
      </c>
      <c r="AI23" s="8">
        <f t="shared" si="3"/>
        <v>0</v>
      </c>
      <c r="AJ23" s="8">
        <f t="shared" si="4"/>
        <v>0</v>
      </c>
      <c r="AK23" s="8">
        <f t="shared" si="5"/>
        <v>0</v>
      </c>
    </row>
    <row r="24" spans="1:37" ht="23.5" customHeight="1" x14ac:dyDescent="0.55000000000000004">
      <c r="A24" s="10" t="s">
        <v>20</v>
      </c>
      <c r="B24" s="22"/>
      <c r="C24" s="22" t="s">
        <v>109</v>
      </c>
      <c r="D24" s="13"/>
      <c r="E24" s="13"/>
      <c r="F24" s="22"/>
      <c r="G24" s="22"/>
      <c r="H24" s="22"/>
      <c r="I24" s="22"/>
      <c r="J24" s="22"/>
      <c r="K24" s="13"/>
      <c r="L24" s="13"/>
      <c r="M24" s="22"/>
      <c r="N24" s="22"/>
      <c r="O24" s="22"/>
      <c r="P24" s="22"/>
      <c r="Q24" s="22"/>
      <c r="R24" s="13"/>
      <c r="S24" s="13"/>
      <c r="T24" s="22"/>
      <c r="U24" s="22"/>
      <c r="V24" s="22" t="s">
        <v>109</v>
      </c>
      <c r="W24" s="22"/>
      <c r="X24" s="22"/>
      <c r="Y24" s="13"/>
      <c r="Z24" s="13"/>
      <c r="AA24" s="22"/>
      <c r="AB24" s="22"/>
      <c r="AC24" s="22"/>
      <c r="AD24" s="22"/>
      <c r="AE24" s="22"/>
      <c r="AF24" s="13"/>
      <c r="AG24" s="8">
        <f t="shared" si="1"/>
        <v>0</v>
      </c>
      <c r="AH24" s="8">
        <f t="shared" si="2"/>
        <v>0</v>
      </c>
      <c r="AI24" s="8">
        <f t="shared" si="3"/>
        <v>0</v>
      </c>
      <c r="AJ24" s="8">
        <f t="shared" si="4"/>
        <v>0</v>
      </c>
      <c r="AK24" s="8">
        <f t="shared" si="5"/>
        <v>0</v>
      </c>
    </row>
    <row r="25" spans="1:37" ht="23.5" customHeight="1" x14ac:dyDescent="0.55000000000000004">
      <c r="A25" s="10" t="s">
        <v>38</v>
      </c>
      <c r="B25" s="22"/>
      <c r="C25" s="22" t="s">
        <v>109</v>
      </c>
      <c r="D25" s="13"/>
      <c r="E25" s="13"/>
      <c r="F25" s="22"/>
      <c r="G25" s="22"/>
      <c r="H25" s="22"/>
      <c r="I25" s="22"/>
      <c r="J25" s="22"/>
      <c r="K25" s="13"/>
      <c r="L25" s="13"/>
      <c r="M25" s="22"/>
      <c r="N25" s="22"/>
      <c r="O25" s="22"/>
      <c r="P25" s="22"/>
      <c r="Q25" s="22"/>
      <c r="R25" s="13"/>
      <c r="S25" s="13"/>
      <c r="T25" s="22"/>
      <c r="U25" s="22" t="s">
        <v>109</v>
      </c>
      <c r="V25" s="22"/>
      <c r="W25" s="22"/>
      <c r="X25" s="22"/>
      <c r="Y25" s="13"/>
      <c r="Z25" s="13"/>
      <c r="AA25" s="22"/>
      <c r="AB25" s="22"/>
      <c r="AC25" s="22"/>
      <c r="AD25" s="22"/>
      <c r="AE25" s="22"/>
      <c r="AF25" s="13"/>
      <c r="AG25" s="8">
        <f t="shared" si="1"/>
        <v>0</v>
      </c>
      <c r="AH25" s="8">
        <f t="shared" si="2"/>
        <v>0</v>
      </c>
      <c r="AI25" s="8">
        <f t="shared" si="3"/>
        <v>0</v>
      </c>
      <c r="AJ25" s="8">
        <f t="shared" si="4"/>
        <v>0</v>
      </c>
      <c r="AK25" s="8">
        <f t="shared" si="5"/>
        <v>0</v>
      </c>
    </row>
    <row r="26" spans="1:37" ht="23.5" customHeight="1" x14ac:dyDescent="0.55000000000000004">
      <c r="A26" s="10" t="s">
        <v>25</v>
      </c>
      <c r="B26" s="22"/>
      <c r="C26" s="22" t="s">
        <v>109</v>
      </c>
      <c r="D26" s="13"/>
      <c r="E26" s="13"/>
      <c r="F26" s="22"/>
      <c r="G26" s="22"/>
      <c r="H26" s="22"/>
      <c r="I26" s="22"/>
      <c r="J26" s="22"/>
      <c r="K26" s="13"/>
      <c r="L26" s="13"/>
      <c r="M26" s="22"/>
      <c r="N26" s="22"/>
      <c r="O26" s="22"/>
      <c r="P26" s="22"/>
      <c r="Q26" s="22"/>
      <c r="R26" s="13"/>
      <c r="S26" s="13"/>
      <c r="T26" s="22"/>
      <c r="U26" s="22" t="s">
        <v>109</v>
      </c>
      <c r="V26" s="22"/>
      <c r="W26" s="22"/>
      <c r="X26" s="22"/>
      <c r="Y26" s="13"/>
      <c r="Z26" s="13"/>
      <c r="AA26" s="22"/>
      <c r="AB26" s="22"/>
      <c r="AC26" s="22"/>
      <c r="AD26" s="22"/>
      <c r="AE26" s="22"/>
      <c r="AF26" s="13"/>
      <c r="AG26" s="8">
        <f t="shared" si="1"/>
        <v>0</v>
      </c>
      <c r="AH26" s="8">
        <f t="shared" si="2"/>
        <v>0</v>
      </c>
      <c r="AI26" s="8">
        <f t="shared" si="3"/>
        <v>0</v>
      </c>
      <c r="AJ26" s="8">
        <f t="shared" si="4"/>
        <v>0</v>
      </c>
      <c r="AK26" s="8">
        <f t="shared" si="5"/>
        <v>0</v>
      </c>
    </row>
    <row r="27" spans="1:37" ht="23.5" customHeight="1" x14ac:dyDescent="0.55000000000000004">
      <c r="A27" s="10" t="s">
        <v>40</v>
      </c>
      <c r="B27" s="22"/>
      <c r="C27" s="22" t="s">
        <v>109</v>
      </c>
      <c r="D27" s="13"/>
      <c r="E27" s="13"/>
      <c r="F27" s="22"/>
      <c r="G27" s="22"/>
      <c r="H27" s="22"/>
      <c r="I27" s="22"/>
      <c r="J27" s="22"/>
      <c r="K27" s="13"/>
      <c r="L27" s="13"/>
      <c r="M27" s="22"/>
      <c r="N27" s="22"/>
      <c r="O27" s="22"/>
      <c r="P27" s="22"/>
      <c r="Q27" s="22"/>
      <c r="R27" s="13"/>
      <c r="S27" s="13"/>
      <c r="T27" s="22"/>
      <c r="U27" s="22" t="s">
        <v>109</v>
      </c>
      <c r="V27" s="22"/>
      <c r="W27" s="22"/>
      <c r="X27" s="22"/>
      <c r="Y27" s="13"/>
      <c r="Z27" s="13"/>
      <c r="AA27" s="22"/>
      <c r="AB27" s="22"/>
      <c r="AC27" s="22"/>
      <c r="AD27" s="22"/>
      <c r="AE27" s="22"/>
      <c r="AF27" s="13"/>
      <c r="AG27" s="8">
        <f t="shared" si="1"/>
        <v>0</v>
      </c>
      <c r="AH27" s="8">
        <f t="shared" si="2"/>
        <v>0</v>
      </c>
      <c r="AI27" s="8">
        <f t="shared" si="3"/>
        <v>0</v>
      </c>
      <c r="AJ27" s="8">
        <f t="shared" si="4"/>
        <v>0</v>
      </c>
      <c r="AK27" s="8">
        <f t="shared" si="5"/>
        <v>0</v>
      </c>
    </row>
    <row r="28" spans="1:37" ht="23.5" customHeight="1" x14ac:dyDescent="0.55000000000000004">
      <c r="A28" s="10" t="s">
        <v>24</v>
      </c>
      <c r="B28" s="22"/>
      <c r="C28" s="22" t="s">
        <v>109</v>
      </c>
      <c r="D28" s="13"/>
      <c r="E28" s="13"/>
      <c r="F28" s="22"/>
      <c r="G28" s="22"/>
      <c r="H28" s="22"/>
      <c r="I28" s="22"/>
      <c r="J28" s="22"/>
      <c r="K28" s="13"/>
      <c r="L28" s="13"/>
      <c r="M28" s="22"/>
      <c r="N28" s="22"/>
      <c r="O28" s="22"/>
      <c r="P28" s="22"/>
      <c r="Q28" s="22"/>
      <c r="R28" s="13"/>
      <c r="S28" s="13"/>
      <c r="T28" s="22"/>
      <c r="U28" s="22"/>
      <c r="V28" s="22" t="s">
        <v>109</v>
      </c>
      <c r="W28" s="22"/>
      <c r="X28" s="22"/>
      <c r="Y28" s="13"/>
      <c r="Z28" s="13"/>
      <c r="AA28" s="22"/>
      <c r="AB28" s="22"/>
      <c r="AC28" s="22"/>
      <c r="AD28" s="22"/>
      <c r="AE28" s="22"/>
      <c r="AF28" s="13"/>
      <c r="AG28" s="8">
        <f t="shared" si="1"/>
        <v>0</v>
      </c>
      <c r="AH28" s="8">
        <f t="shared" si="2"/>
        <v>0</v>
      </c>
      <c r="AI28" s="8">
        <f t="shared" si="3"/>
        <v>0</v>
      </c>
      <c r="AJ28" s="8">
        <f t="shared" si="4"/>
        <v>0</v>
      </c>
      <c r="AK28" s="8">
        <f t="shared" si="5"/>
        <v>0</v>
      </c>
    </row>
    <row r="29" spans="1:37" ht="23.5" customHeight="1" x14ac:dyDescent="0.55000000000000004">
      <c r="A29" s="10" t="s">
        <v>23</v>
      </c>
      <c r="B29" s="22"/>
      <c r="C29" s="22" t="s">
        <v>109</v>
      </c>
      <c r="D29" s="13"/>
      <c r="E29" s="13"/>
      <c r="F29" s="22"/>
      <c r="G29" s="22"/>
      <c r="H29" s="22"/>
      <c r="I29" s="22"/>
      <c r="J29" s="22"/>
      <c r="K29" s="13"/>
      <c r="L29" s="13"/>
      <c r="M29" s="22"/>
      <c r="N29" s="22"/>
      <c r="O29" s="22"/>
      <c r="P29" s="22"/>
      <c r="Q29" s="22"/>
      <c r="R29" s="13"/>
      <c r="S29" s="13"/>
      <c r="T29" s="22"/>
      <c r="U29" s="22" t="s">
        <v>109</v>
      </c>
      <c r="V29" s="22"/>
      <c r="W29" s="22"/>
      <c r="X29" s="22"/>
      <c r="Y29" s="13"/>
      <c r="Z29" s="13"/>
      <c r="AA29" s="22"/>
      <c r="AB29" s="22"/>
      <c r="AC29" s="22"/>
      <c r="AD29" s="22"/>
      <c r="AE29" s="22"/>
      <c r="AF29" s="13"/>
      <c r="AG29" s="8">
        <f t="shared" si="1"/>
        <v>0</v>
      </c>
      <c r="AH29" s="8">
        <f t="shared" si="2"/>
        <v>0</v>
      </c>
      <c r="AI29" s="8">
        <f t="shared" si="3"/>
        <v>0</v>
      </c>
      <c r="AJ29" s="8">
        <f t="shared" si="4"/>
        <v>0</v>
      </c>
      <c r="AK29" s="8">
        <f t="shared" si="5"/>
        <v>0</v>
      </c>
    </row>
    <row r="30" spans="1:37" ht="23.5" customHeight="1" x14ac:dyDescent="0.55000000000000004">
      <c r="A30" s="10" t="s">
        <v>50</v>
      </c>
      <c r="B30" s="22"/>
      <c r="C30" s="22" t="s">
        <v>109</v>
      </c>
      <c r="D30" s="13"/>
      <c r="E30" s="13"/>
      <c r="F30" s="22"/>
      <c r="G30" s="22"/>
      <c r="H30" s="22"/>
      <c r="I30" s="22"/>
      <c r="J30" s="22"/>
      <c r="K30" s="13"/>
      <c r="L30" s="13"/>
      <c r="M30" s="22"/>
      <c r="N30" s="22"/>
      <c r="O30" s="22"/>
      <c r="P30" s="22"/>
      <c r="Q30" s="22"/>
      <c r="R30" s="13"/>
      <c r="S30" s="13"/>
      <c r="T30" s="22"/>
      <c r="U30" s="22" t="s">
        <v>109</v>
      </c>
      <c r="V30" s="22"/>
      <c r="W30" s="22"/>
      <c r="X30" s="22"/>
      <c r="Y30" s="13"/>
      <c r="Z30" s="13"/>
      <c r="AA30" s="22"/>
      <c r="AB30" s="22"/>
      <c r="AC30" s="22"/>
      <c r="AD30" s="22"/>
      <c r="AE30" s="22"/>
      <c r="AF30" s="13"/>
      <c r="AG30" s="8">
        <f t="shared" si="1"/>
        <v>0</v>
      </c>
      <c r="AH30" s="8">
        <f t="shared" si="2"/>
        <v>0</v>
      </c>
      <c r="AI30" s="8">
        <f t="shared" si="3"/>
        <v>0</v>
      </c>
      <c r="AJ30" s="8">
        <f t="shared" si="4"/>
        <v>0</v>
      </c>
      <c r="AK30" s="8">
        <f t="shared" si="5"/>
        <v>0</v>
      </c>
    </row>
    <row r="31" spans="1:37" ht="23.5" customHeight="1" x14ac:dyDescent="0.55000000000000004">
      <c r="A31" s="10" t="s">
        <v>45</v>
      </c>
      <c r="B31" s="22"/>
      <c r="C31" s="22" t="s">
        <v>109</v>
      </c>
      <c r="D31" s="13"/>
      <c r="E31" s="13"/>
      <c r="F31" s="22"/>
      <c r="G31" s="22"/>
      <c r="H31" s="22"/>
      <c r="I31" s="22"/>
      <c r="J31" s="22"/>
      <c r="K31" s="13"/>
      <c r="L31" s="13"/>
      <c r="M31" s="22"/>
      <c r="N31" s="22"/>
      <c r="O31" s="22"/>
      <c r="P31" s="22"/>
      <c r="Q31" s="22"/>
      <c r="R31" s="13"/>
      <c r="S31" s="13"/>
      <c r="T31" s="22"/>
      <c r="U31" s="22"/>
      <c r="V31" s="22" t="s">
        <v>109</v>
      </c>
      <c r="W31" s="22"/>
      <c r="X31" s="22"/>
      <c r="Y31" s="13"/>
      <c r="Z31" s="13"/>
      <c r="AA31" s="22"/>
      <c r="AB31" s="22"/>
      <c r="AC31" s="22"/>
      <c r="AD31" s="22"/>
      <c r="AE31" s="22"/>
      <c r="AF31" s="13"/>
      <c r="AG31" s="8">
        <f t="shared" si="1"/>
        <v>0</v>
      </c>
      <c r="AH31" s="8">
        <f t="shared" si="2"/>
        <v>0</v>
      </c>
      <c r="AI31" s="8">
        <f t="shared" si="3"/>
        <v>0</v>
      </c>
      <c r="AJ31" s="8">
        <f t="shared" si="4"/>
        <v>0</v>
      </c>
      <c r="AK31" s="8">
        <f t="shared" si="5"/>
        <v>0</v>
      </c>
    </row>
    <row r="32" spans="1:37" ht="23.5" customHeight="1" x14ac:dyDescent="0.55000000000000004">
      <c r="A32" s="10" t="s">
        <v>113</v>
      </c>
      <c r="B32" s="22"/>
      <c r="C32" s="22" t="s">
        <v>109</v>
      </c>
      <c r="D32" s="13"/>
      <c r="E32" s="13"/>
      <c r="F32" s="22"/>
      <c r="G32" s="22"/>
      <c r="H32" s="22"/>
      <c r="I32" s="22"/>
      <c r="J32" s="22"/>
      <c r="K32" s="13"/>
      <c r="L32" s="13"/>
      <c r="M32" s="22"/>
      <c r="N32" s="22"/>
      <c r="O32" s="22"/>
      <c r="P32" s="22"/>
      <c r="Q32" s="22"/>
      <c r="R32" s="13"/>
      <c r="S32" s="13"/>
      <c r="T32" s="22"/>
      <c r="U32" s="22" t="s">
        <v>109</v>
      </c>
      <c r="V32" s="22"/>
      <c r="W32" s="22"/>
      <c r="X32" s="22"/>
      <c r="Y32" s="13"/>
      <c r="Z32" s="13"/>
      <c r="AA32" s="22"/>
      <c r="AB32" s="22"/>
      <c r="AC32" s="22"/>
      <c r="AD32" s="22"/>
      <c r="AE32" s="22"/>
      <c r="AF32" s="13"/>
      <c r="AG32" s="8">
        <f t="shared" si="1"/>
        <v>0</v>
      </c>
      <c r="AH32" s="8">
        <f t="shared" si="2"/>
        <v>0</v>
      </c>
      <c r="AI32" s="8">
        <f t="shared" si="3"/>
        <v>0</v>
      </c>
      <c r="AJ32" s="8">
        <f t="shared" si="4"/>
        <v>0</v>
      </c>
      <c r="AK32" s="8">
        <f t="shared" si="5"/>
        <v>0</v>
      </c>
    </row>
    <row r="33" spans="1:37" ht="23.5" customHeight="1" x14ac:dyDescent="0.55000000000000004">
      <c r="A33" s="10" t="s">
        <v>46</v>
      </c>
      <c r="B33" s="22"/>
      <c r="C33" s="22" t="s">
        <v>109</v>
      </c>
      <c r="D33" s="13"/>
      <c r="E33" s="13"/>
      <c r="F33" s="22"/>
      <c r="G33" s="22"/>
      <c r="H33" s="22"/>
      <c r="I33" s="22"/>
      <c r="J33" s="22"/>
      <c r="K33" s="13"/>
      <c r="L33" s="13"/>
      <c r="M33" s="22"/>
      <c r="N33" s="22"/>
      <c r="O33" s="22"/>
      <c r="P33" s="22"/>
      <c r="Q33" s="22"/>
      <c r="R33" s="13"/>
      <c r="S33" s="13"/>
      <c r="T33" s="22"/>
      <c r="U33" s="22" t="s">
        <v>109</v>
      </c>
      <c r="V33" s="22"/>
      <c r="W33" s="22"/>
      <c r="X33" s="22"/>
      <c r="Y33" s="13"/>
      <c r="Z33" s="13"/>
      <c r="AA33" s="22"/>
      <c r="AB33" s="22"/>
      <c r="AC33" s="22"/>
      <c r="AD33" s="22"/>
      <c r="AE33" s="22"/>
      <c r="AF33" s="13"/>
      <c r="AG33" s="8">
        <f t="shared" si="1"/>
        <v>0</v>
      </c>
      <c r="AH33" s="8">
        <f t="shared" si="2"/>
        <v>0</v>
      </c>
      <c r="AI33" s="8">
        <f t="shared" si="3"/>
        <v>0</v>
      </c>
      <c r="AJ33" s="8">
        <f t="shared" si="4"/>
        <v>0</v>
      </c>
      <c r="AK33" s="8">
        <f t="shared" si="5"/>
        <v>0</v>
      </c>
    </row>
    <row r="34" spans="1:37" ht="23.5" customHeight="1" x14ac:dyDescent="0.55000000000000004">
      <c r="A34" s="10" t="s">
        <v>53</v>
      </c>
      <c r="B34" s="22"/>
      <c r="C34" s="22" t="s">
        <v>109</v>
      </c>
      <c r="D34" s="13"/>
      <c r="E34" s="13"/>
      <c r="F34" s="22"/>
      <c r="G34" s="22"/>
      <c r="H34" s="22"/>
      <c r="I34" s="22"/>
      <c r="J34" s="22"/>
      <c r="K34" s="13"/>
      <c r="L34" s="13"/>
      <c r="M34" s="22"/>
      <c r="N34" s="22"/>
      <c r="O34" s="22"/>
      <c r="P34" s="22"/>
      <c r="Q34" s="22"/>
      <c r="R34" s="13"/>
      <c r="S34" s="13"/>
      <c r="T34" s="22"/>
      <c r="U34" s="22"/>
      <c r="V34" s="22" t="s">
        <v>109</v>
      </c>
      <c r="W34" s="22"/>
      <c r="X34" s="22"/>
      <c r="Y34" s="13"/>
      <c r="Z34" s="13"/>
      <c r="AA34" s="22"/>
      <c r="AB34" s="22"/>
      <c r="AC34" s="22"/>
      <c r="AD34" s="22"/>
      <c r="AE34" s="22"/>
      <c r="AF34" s="13"/>
      <c r="AG34" s="8">
        <f t="shared" si="1"/>
        <v>0</v>
      </c>
      <c r="AH34" s="8">
        <f t="shared" si="2"/>
        <v>0</v>
      </c>
      <c r="AI34" s="8">
        <f t="shared" si="3"/>
        <v>0</v>
      </c>
      <c r="AJ34" s="8">
        <f t="shared" si="4"/>
        <v>0</v>
      </c>
      <c r="AK34" s="8">
        <f t="shared" si="5"/>
        <v>0</v>
      </c>
    </row>
    <row r="35" spans="1:37" ht="23.5" customHeight="1" x14ac:dyDescent="0.55000000000000004">
      <c r="A35" s="10" t="s">
        <v>114</v>
      </c>
      <c r="B35" s="22"/>
      <c r="C35" s="22" t="s">
        <v>109</v>
      </c>
      <c r="D35" s="13"/>
      <c r="E35" s="13"/>
      <c r="F35" s="22"/>
      <c r="G35" s="22"/>
      <c r="H35" s="22"/>
      <c r="I35" s="22"/>
      <c r="J35" s="22"/>
      <c r="K35" s="13"/>
      <c r="L35" s="13"/>
      <c r="M35" s="22"/>
      <c r="N35" s="22"/>
      <c r="O35" s="22"/>
      <c r="P35" s="22"/>
      <c r="Q35" s="22"/>
      <c r="R35" s="13"/>
      <c r="S35" s="13"/>
      <c r="T35" s="22"/>
      <c r="U35" s="22" t="s">
        <v>109</v>
      </c>
      <c r="V35" s="22"/>
      <c r="W35" s="22"/>
      <c r="X35" s="22"/>
      <c r="Y35" s="13"/>
      <c r="Z35" s="13"/>
      <c r="AA35" s="22"/>
      <c r="AB35" s="22"/>
      <c r="AC35" s="22"/>
      <c r="AD35" s="22"/>
      <c r="AE35" s="22"/>
      <c r="AF35" s="13"/>
      <c r="AG35" s="8">
        <f t="shared" si="1"/>
        <v>0</v>
      </c>
      <c r="AH35" s="8">
        <f t="shared" si="2"/>
        <v>0</v>
      </c>
      <c r="AI35" s="8">
        <f t="shared" si="3"/>
        <v>0</v>
      </c>
      <c r="AJ35" s="8">
        <f t="shared" si="4"/>
        <v>0</v>
      </c>
      <c r="AK35" s="8">
        <f t="shared" si="5"/>
        <v>0</v>
      </c>
    </row>
  </sheetData>
  <mergeCells count="9">
    <mergeCell ref="AM3:AM4"/>
    <mergeCell ref="AN3:AN4"/>
    <mergeCell ref="A1:AK2"/>
    <mergeCell ref="A3:A4"/>
    <mergeCell ref="AG3:AG4"/>
    <mergeCell ref="AH3:AH4"/>
    <mergeCell ref="AI3:AI4"/>
    <mergeCell ref="AJ3:AJ4"/>
    <mergeCell ref="AK3:AK4"/>
  </mergeCells>
  <conditionalFormatting sqref="B5:AF35">
    <cfRule type="cellIs" dxfId="15" priority="2" operator="equal">
      <formula>"U"</formula>
    </cfRule>
    <cfRule type="cellIs" dxfId="14" priority="3" operator="equal">
      <formula>"M"</formula>
    </cfRule>
    <cfRule type="beginsWith" dxfId="13" priority="4" operator="beginsWith" text="S">
      <formula>LEFT(B5,1)="S"</formula>
    </cfRule>
    <cfRule type="beginsWith" dxfId="12" priority="5" operator="beginsWith" text="V">
      <formula>LEFT(B5,1)="V"</formula>
    </cfRule>
  </conditionalFormatting>
  <conditionalFormatting sqref="AG5:AK35">
    <cfRule type="cellIs" dxfId="11" priority="1" operator="equal">
      <formula>0</formula>
    </cfRule>
  </conditionalFormatting>
  <dataValidations count="1">
    <dataValidation type="list" allowBlank="1" showInputMessage="1" showErrorMessage="1" sqref="B5:AF35" xr:uid="{00000000-0002-0000-0C00-000000000000}">
      <formula1>$AN$5:$AN$12</formula1>
    </dataValidation>
  </dataValidation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E62351-E84F-4FA9-92D8-0266658EE29F}">
  <sheetPr codeName="Sheet13"/>
  <dimension ref="A1:AO37"/>
  <sheetViews>
    <sheetView zoomScale="40" zoomScaleNormal="40" workbookViewId="0">
      <selection activeCell="T14" sqref="T14"/>
    </sheetView>
  </sheetViews>
  <sheetFormatPr defaultRowHeight="14.5" x14ac:dyDescent="0.35"/>
  <cols>
    <col min="1" max="1" width="35.26953125" customWidth="1"/>
    <col min="2" max="2" width="5.26953125" bestFit="1" customWidth="1"/>
    <col min="3" max="31" width="5.7265625" customWidth="1"/>
    <col min="32" max="32" width="9.1796875" customWidth="1"/>
    <col min="33" max="36" width="11.26953125" customWidth="1"/>
    <col min="37" max="37" width="9.1796875" customWidth="1"/>
    <col min="38" max="38" width="29.26953125" bestFit="1" customWidth="1"/>
  </cols>
  <sheetData>
    <row r="1" spans="1:41" s="3" customFormat="1" ht="25.15" customHeight="1" x14ac:dyDescent="0.35">
      <c r="A1" s="67" t="s">
        <v>127</v>
      </c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2"/>
      <c r="AL1" s="2"/>
      <c r="AM1" s="2"/>
      <c r="AN1" s="2"/>
      <c r="AO1" s="2"/>
    </row>
    <row r="2" spans="1:41" s="3" customFormat="1" ht="25.15" customHeight="1" x14ac:dyDescent="0.35">
      <c r="A2" s="68"/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  <c r="AA2" s="68"/>
      <c r="AB2" s="68"/>
      <c r="AC2" s="68"/>
      <c r="AD2" s="68"/>
      <c r="AE2" s="68"/>
      <c r="AF2" s="68"/>
      <c r="AG2" s="68"/>
      <c r="AH2" s="68"/>
      <c r="AI2" s="68"/>
      <c r="AJ2" s="68"/>
      <c r="AK2" s="2"/>
      <c r="AL2" s="2"/>
      <c r="AM2" s="2"/>
      <c r="AN2" s="2"/>
      <c r="AO2" s="2"/>
    </row>
    <row r="3" spans="1:41" s="3" customFormat="1" ht="25.15" customHeight="1" x14ac:dyDescent="0.35">
      <c r="A3" s="77" t="s">
        <v>119</v>
      </c>
      <c r="B3" s="38" t="str">
        <f>IF(B4="","",INDEX({"Sun";"Mon";"Tue";"Wen";"Thu";"Fri";"Sat"},WEEKDAY(B4,1)))</f>
        <v>Sun</v>
      </c>
      <c r="C3" s="38" t="str">
        <f>IF(C4="","",INDEX({"Sun";"Mon";"Tue";"Wen";"Thu";"Fri";"Sat"},WEEKDAY(C4,1)))</f>
        <v>Mon</v>
      </c>
      <c r="D3" s="38" t="str">
        <f>IF(D4="","",INDEX({"Sun";"Mon";"Tue";"Wen";"Thu";"Fri";"Sat"},WEEKDAY(D4,1)))</f>
        <v>Tue</v>
      </c>
      <c r="E3" s="38" t="str">
        <f>IF(E4="","",INDEX({"Sun";"Mon";"Tue";"Wen";"Thu";"Fri";"Sat"},WEEKDAY(E4,1)))</f>
        <v>Wen</v>
      </c>
      <c r="F3" s="38" t="str">
        <f>IF(F4="","",INDEX({"Sun";"Mon";"Tue";"Wen";"Thu";"Fri";"Sat"},WEEKDAY(F4,1)))</f>
        <v>Thu</v>
      </c>
      <c r="G3" s="38" t="str">
        <f>IF(G4="","",INDEX({"Sun";"Mon";"Tue";"Wen";"Thu";"Fri";"Sat"},WEEKDAY(G4,1)))</f>
        <v>Fri</v>
      </c>
      <c r="H3" s="38" t="str">
        <f>IF(H4="","",INDEX({"Sun";"Mon";"Tue";"Wen";"Thu";"Fri";"Sat"},WEEKDAY(H4,1)))</f>
        <v>Sat</v>
      </c>
      <c r="I3" s="38" t="str">
        <f>IF(I4="","",INDEX({"Sun";"Mon";"Tue";"Wen";"Thu";"Fri";"Sat"},WEEKDAY(I4,1)))</f>
        <v>Sun</v>
      </c>
      <c r="J3" s="38" t="str">
        <f>IF(J4="","",INDEX({"Sun";"Mon";"Tue";"Wen";"Thu";"Fri";"Sat"},WEEKDAY(J4,1)))</f>
        <v>Mon</v>
      </c>
      <c r="K3" s="38" t="str">
        <f>IF(K4="","",INDEX({"Sun";"Mon";"Tue";"Wen";"Thu";"Fri";"Sat"},WEEKDAY(K4,1)))</f>
        <v>Tue</v>
      </c>
      <c r="L3" s="38" t="str">
        <f>IF(L4="","",INDEX({"Sun";"Mon";"Tue";"Wen";"Thu";"Fri";"Sat"},WEEKDAY(L4,1)))</f>
        <v>Wen</v>
      </c>
      <c r="M3" s="38" t="str">
        <f>IF(M4="","",INDEX({"Sun";"Mon";"Tue";"Wen";"Thu";"Fri";"Sat"},WEEKDAY(M4,1)))</f>
        <v>Thu</v>
      </c>
      <c r="N3" s="38" t="str">
        <f>IF(N4="","",INDEX({"Sun";"Mon";"Tue";"Wen";"Thu";"Fri";"Sat"},WEEKDAY(N4,1)))</f>
        <v>Fri</v>
      </c>
      <c r="O3" s="38" t="str">
        <f>IF(O4="","",INDEX({"Sun";"Mon";"Tue";"Wen";"Thu";"Fri";"Sat"},WEEKDAY(O4,1)))</f>
        <v>Sat</v>
      </c>
      <c r="P3" s="38" t="str">
        <f>IF(P4="","",INDEX({"Sun";"Mon";"Tue";"Wen";"Thu";"Fri";"Sat"},WEEKDAY(P4,1)))</f>
        <v>Sun</v>
      </c>
      <c r="Q3" s="38" t="str">
        <f>IF(Q4="","",INDEX({"Sun";"Mon";"Tue";"Wen";"Thu";"Fri";"Sat"},WEEKDAY(Q4,1)))</f>
        <v>Mon</v>
      </c>
      <c r="R3" s="38" t="str">
        <f>IF(R4="","",INDEX({"Sun";"Mon";"Tue";"Wen";"Thu";"Fri";"Sat"},WEEKDAY(R4,1)))</f>
        <v>Tue</v>
      </c>
      <c r="S3" s="38" t="str">
        <f>IF(S4="","",INDEX({"Sun";"Mon";"Tue";"Wen";"Thu";"Fri";"Sat"},WEEKDAY(S4,1)))</f>
        <v>Wen</v>
      </c>
      <c r="T3" s="38" t="str">
        <f>IF(T4="","",INDEX({"Sun";"Mon";"Tue";"Wen";"Thu";"Fri";"Sat"},WEEKDAY(T4,1)))</f>
        <v>Thu</v>
      </c>
      <c r="U3" s="38" t="str">
        <f>IF(U4="","",INDEX({"Sun";"Mon";"Tue";"Wen";"Thu";"Fri";"Sat"},WEEKDAY(U4,1)))</f>
        <v>Fri</v>
      </c>
      <c r="V3" s="38" t="str">
        <f>IF(V4="","",INDEX({"Sun";"Mon";"Tue";"Wen";"Thu";"Fri";"Sat"},WEEKDAY(V4,1)))</f>
        <v>Sat</v>
      </c>
      <c r="W3" s="38" t="str">
        <f>IF(W4="","",INDEX({"Sun";"Mon";"Tue";"Wen";"Thu";"Fri";"Sat"},WEEKDAY(W4,1)))</f>
        <v>Sun</v>
      </c>
      <c r="X3" s="38" t="str">
        <f>IF(X4="","",INDEX({"Sun";"Mon";"Tue";"Wen";"Thu";"Fri";"Sat"},WEEKDAY(X4,1)))</f>
        <v>Mon</v>
      </c>
      <c r="Y3" s="38" t="str">
        <f>IF(Y4="","",INDEX({"Sun";"Mon";"Tue";"Wen";"Thu";"Fri";"Sat"},WEEKDAY(Y4,1)))</f>
        <v>Tue</v>
      </c>
      <c r="Z3" s="38" t="str">
        <f>IF(Z4="","",INDEX({"Sun";"Mon";"Tue";"Wen";"Thu";"Fri";"Sat"},WEEKDAY(Z4,1)))</f>
        <v>Wen</v>
      </c>
      <c r="AA3" s="38" t="str">
        <f>IF(AA4="","",INDEX({"Sun";"Mon";"Tue";"Wen";"Thu";"Fri";"Sat"},WEEKDAY(AA4,1)))</f>
        <v>Thu</v>
      </c>
      <c r="AB3" s="38" t="str">
        <f>IF(AB4="","",INDEX({"Sun";"Mon";"Tue";"Wen";"Thu";"Fri";"Sat"},WEEKDAY(AB4,1)))</f>
        <v>Fri</v>
      </c>
      <c r="AC3" s="38" t="str">
        <f>IF(AC4="","",INDEX({"Sun";"Mon";"Tue";"Wen";"Thu";"Fri";"Sat"},WEEKDAY(AC4,1)))</f>
        <v>Sat</v>
      </c>
      <c r="AD3" s="38" t="str">
        <f>IF(AD4="","",INDEX({"Sun";"Mon";"Tue";"Wen";"Thu";"Fri";"Sat"},WEEKDAY(AD4,1)))</f>
        <v>Sun</v>
      </c>
      <c r="AE3" s="38" t="str">
        <f>IF(AE4="","",INDEX({"Sun";"Mon";"Tue";"Wen";"Thu";"Fri";"Sat"},WEEKDAY(AE4,1)))</f>
        <v>Mon</v>
      </c>
      <c r="AF3" s="82" t="s">
        <v>95</v>
      </c>
      <c r="AG3" s="71" t="s">
        <v>96</v>
      </c>
      <c r="AH3" s="83" t="s">
        <v>116</v>
      </c>
      <c r="AI3" s="84" t="s">
        <v>98</v>
      </c>
      <c r="AJ3" s="78" t="s">
        <v>99</v>
      </c>
      <c r="AK3" s="19"/>
      <c r="AL3" s="75" t="s">
        <v>117</v>
      </c>
      <c r="AM3" s="75" t="s">
        <v>101</v>
      </c>
      <c r="AN3" s="2"/>
      <c r="AO3" s="2"/>
    </row>
    <row r="4" spans="1:41" s="3" customFormat="1" ht="25.15" customHeight="1" x14ac:dyDescent="0.35">
      <c r="A4" s="77"/>
      <c r="B4" s="39">
        <f>DATE(Year!$B$2,11,1)</f>
        <v>46327</v>
      </c>
      <c r="C4" s="39">
        <f t="shared" ref="C4:AE4" si="0">B4+1</f>
        <v>46328</v>
      </c>
      <c r="D4" s="39">
        <f t="shared" si="0"/>
        <v>46329</v>
      </c>
      <c r="E4" s="39">
        <f t="shared" si="0"/>
        <v>46330</v>
      </c>
      <c r="F4" s="39">
        <f t="shared" si="0"/>
        <v>46331</v>
      </c>
      <c r="G4" s="39">
        <f t="shared" si="0"/>
        <v>46332</v>
      </c>
      <c r="H4" s="39">
        <f t="shared" si="0"/>
        <v>46333</v>
      </c>
      <c r="I4" s="39">
        <f t="shared" si="0"/>
        <v>46334</v>
      </c>
      <c r="J4" s="39">
        <f t="shared" si="0"/>
        <v>46335</v>
      </c>
      <c r="K4" s="39">
        <f t="shared" si="0"/>
        <v>46336</v>
      </c>
      <c r="L4" s="39">
        <f t="shared" si="0"/>
        <v>46337</v>
      </c>
      <c r="M4" s="39">
        <f t="shared" si="0"/>
        <v>46338</v>
      </c>
      <c r="N4" s="39">
        <f t="shared" si="0"/>
        <v>46339</v>
      </c>
      <c r="O4" s="39">
        <f t="shared" si="0"/>
        <v>46340</v>
      </c>
      <c r="P4" s="39">
        <f t="shared" si="0"/>
        <v>46341</v>
      </c>
      <c r="Q4" s="39">
        <f t="shared" si="0"/>
        <v>46342</v>
      </c>
      <c r="R4" s="39">
        <f t="shared" si="0"/>
        <v>46343</v>
      </c>
      <c r="S4" s="39">
        <f t="shared" si="0"/>
        <v>46344</v>
      </c>
      <c r="T4" s="39">
        <f t="shared" si="0"/>
        <v>46345</v>
      </c>
      <c r="U4" s="39">
        <f t="shared" si="0"/>
        <v>46346</v>
      </c>
      <c r="V4" s="39">
        <f t="shared" si="0"/>
        <v>46347</v>
      </c>
      <c r="W4" s="39">
        <f t="shared" si="0"/>
        <v>46348</v>
      </c>
      <c r="X4" s="39">
        <f t="shared" si="0"/>
        <v>46349</v>
      </c>
      <c r="Y4" s="39">
        <f t="shared" si="0"/>
        <v>46350</v>
      </c>
      <c r="Z4" s="39">
        <f t="shared" si="0"/>
        <v>46351</v>
      </c>
      <c r="AA4" s="39">
        <f t="shared" si="0"/>
        <v>46352</v>
      </c>
      <c r="AB4" s="39">
        <f t="shared" si="0"/>
        <v>46353</v>
      </c>
      <c r="AC4" s="39">
        <f t="shared" si="0"/>
        <v>46354</v>
      </c>
      <c r="AD4" s="39">
        <f t="shared" si="0"/>
        <v>46355</v>
      </c>
      <c r="AE4" s="39">
        <f t="shared" si="0"/>
        <v>46356</v>
      </c>
      <c r="AF4" s="82"/>
      <c r="AG4" s="71"/>
      <c r="AH4" s="83"/>
      <c r="AI4" s="84"/>
      <c r="AJ4" s="78"/>
      <c r="AK4" s="19"/>
      <c r="AL4" s="76"/>
      <c r="AM4" s="76"/>
      <c r="AN4" s="2"/>
      <c r="AO4" s="2"/>
    </row>
    <row r="5" spans="1:41" s="3" customFormat="1" ht="24.75" customHeight="1" x14ac:dyDescent="0.55000000000000004">
      <c r="A5" s="9" t="s">
        <v>13</v>
      </c>
      <c r="B5" s="13"/>
      <c r="C5" s="22"/>
      <c r="D5" s="22"/>
      <c r="E5" s="22"/>
      <c r="F5" s="22"/>
      <c r="G5" s="22"/>
      <c r="H5" s="13"/>
      <c r="I5" s="13"/>
      <c r="J5" s="22" t="s">
        <v>109</v>
      </c>
      <c r="K5" s="22"/>
      <c r="L5" s="22"/>
      <c r="M5" s="22"/>
      <c r="N5" s="22"/>
      <c r="O5" s="13"/>
      <c r="P5" s="13"/>
      <c r="Q5" s="22"/>
      <c r="R5" s="22"/>
      <c r="S5" s="22"/>
      <c r="T5" s="22"/>
      <c r="U5" s="22"/>
      <c r="V5" s="13"/>
      <c r="W5" s="13"/>
      <c r="X5" s="22"/>
      <c r="Y5" s="22"/>
      <c r="Z5" s="22"/>
      <c r="AA5" s="22"/>
      <c r="AB5" s="22"/>
      <c r="AC5" s="13"/>
      <c r="AD5" s="13"/>
      <c r="AE5" s="22"/>
      <c r="AF5" s="8">
        <f t="shared" ref="AF5:AF37" si="1">SUM(AG5:AJ5)</f>
        <v>0</v>
      </c>
      <c r="AG5" s="8">
        <f t="shared" ref="AG5:AG37" si="2">COUNTIF(B5:AE5,"V")+COUNTIF(B5:AE5,"V1")/2+COUNTIF(B5:AE5,"V2")/2</f>
        <v>0</v>
      </c>
      <c r="AH5" s="8">
        <f t="shared" ref="AH5:AH37" si="3">COUNTIF(B5:AE5,"S")+COUNTIF(B5:AE5,"S1")/2+COUNTIF(B5:AE5,"S2")/2</f>
        <v>0</v>
      </c>
      <c r="AI5" s="8">
        <f t="shared" ref="AI5:AI37" si="4">COUNTIF(B5:AE5,"M")</f>
        <v>0</v>
      </c>
      <c r="AJ5" s="8">
        <f t="shared" ref="AJ5:AJ37" si="5">COUNTIF(B5:AE5,"U")</f>
        <v>0</v>
      </c>
      <c r="AK5" s="23"/>
      <c r="AL5" s="32" t="s">
        <v>14</v>
      </c>
      <c r="AM5" s="25" t="s">
        <v>102</v>
      </c>
      <c r="AN5" s="2"/>
      <c r="AO5" s="2"/>
    </row>
    <row r="6" spans="1:41" s="3" customFormat="1" ht="25.15" customHeight="1" x14ac:dyDescent="0.55000000000000004">
      <c r="A6" s="10" t="s">
        <v>34</v>
      </c>
      <c r="B6" s="13"/>
      <c r="C6" s="22"/>
      <c r="D6" s="22"/>
      <c r="E6" s="22"/>
      <c r="F6" s="22"/>
      <c r="G6" s="22"/>
      <c r="H6" s="13"/>
      <c r="I6" s="13"/>
      <c r="J6" s="22" t="s">
        <v>109</v>
      </c>
      <c r="K6" s="22"/>
      <c r="L6" s="22"/>
      <c r="M6" s="22"/>
      <c r="N6" s="22"/>
      <c r="O6" s="13"/>
      <c r="P6" s="13"/>
      <c r="Q6" s="22"/>
      <c r="R6" s="22"/>
      <c r="S6" s="22"/>
      <c r="T6" s="22"/>
      <c r="U6" s="22"/>
      <c r="V6" s="13"/>
      <c r="W6" s="13"/>
      <c r="X6" s="22"/>
      <c r="Y6" s="22"/>
      <c r="Z6" s="22"/>
      <c r="AA6" s="22"/>
      <c r="AB6" s="22"/>
      <c r="AC6" s="13"/>
      <c r="AD6" s="13"/>
      <c r="AE6" s="22"/>
      <c r="AF6" s="8">
        <f t="shared" si="1"/>
        <v>0</v>
      </c>
      <c r="AG6" s="8">
        <f t="shared" si="2"/>
        <v>0</v>
      </c>
      <c r="AH6" s="8">
        <f t="shared" si="3"/>
        <v>0</v>
      </c>
      <c r="AI6" s="8">
        <f t="shared" si="4"/>
        <v>0</v>
      </c>
      <c r="AJ6" s="8">
        <f t="shared" si="5"/>
        <v>0</v>
      </c>
      <c r="AK6" s="23"/>
      <c r="AL6" s="33" t="s">
        <v>103</v>
      </c>
      <c r="AM6" s="25" t="s">
        <v>104</v>
      </c>
      <c r="AN6" s="2"/>
      <c r="AO6" s="2"/>
    </row>
    <row r="7" spans="1:41" s="3" customFormat="1" ht="25.15" customHeight="1" x14ac:dyDescent="0.55000000000000004">
      <c r="A7" s="10" t="s">
        <v>16</v>
      </c>
      <c r="B7" s="13"/>
      <c r="C7" s="22"/>
      <c r="D7" s="22"/>
      <c r="E7" s="22"/>
      <c r="F7" s="22"/>
      <c r="G7" s="22"/>
      <c r="H7" s="13"/>
      <c r="I7" s="13"/>
      <c r="J7" s="22" t="s">
        <v>109</v>
      </c>
      <c r="K7" s="22"/>
      <c r="L7" s="22"/>
      <c r="M7" s="22"/>
      <c r="N7" s="22"/>
      <c r="O7" s="13"/>
      <c r="P7" s="13"/>
      <c r="Q7" s="22"/>
      <c r="R7" s="22"/>
      <c r="S7" s="22"/>
      <c r="T7" s="22"/>
      <c r="U7" s="22"/>
      <c r="V7" s="13"/>
      <c r="W7" s="13"/>
      <c r="X7" s="22"/>
      <c r="Y7" s="22"/>
      <c r="Z7" s="22"/>
      <c r="AA7" s="22"/>
      <c r="AB7" s="22"/>
      <c r="AC7" s="13"/>
      <c r="AD7" s="13"/>
      <c r="AE7" s="22"/>
      <c r="AF7" s="8">
        <f t="shared" si="1"/>
        <v>0</v>
      </c>
      <c r="AG7" s="8">
        <f t="shared" si="2"/>
        <v>0</v>
      </c>
      <c r="AH7" s="8">
        <f t="shared" si="3"/>
        <v>0</v>
      </c>
      <c r="AI7" s="8">
        <f t="shared" si="4"/>
        <v>0</v>
      </c>
      <c r="AJ7" s="8">
        <f t="shared" si="5"/>
        <v>0</v>
      </c>
      <c r="AK7" s="23"/>
      <c r="AL7" s="34" t="s">
        <v>22</v>
      </c>
      <c r="AM7" s="25" t="s">
        <v>105</v>
      </c>
      <c r="AN7" s="2"/>
      <c r="AO7" s="2"/>
    </row>
    <row r="8" spans="1:41" s="3" customFormat="1" ht="25.15" customHeight="1" x14ac:dyDescent="0.55000000000000004">
      <c r="A8" s="10" t="s">
        <v>37</v>
      </c>
      <c r="B8" s="13"/>
      <c r="C8" s="22"/>
      <c r="D8" s="22"/>
      <c r="E8" s="22"/>
      <c r="F8" s="22"/>
      <c r="G8" s="22"/>
      <c r="H8" s="13"/>
      <c r="I8" s="13"/>
      <c r="J8" s="22" t="s">
        <v>109</v>
      </c>
      <c r="K8" s="22"/>
      <c r="L8" s="22"/>
      <c r="M8" s="22"/>
      <c r="N8" s="22"/>
      <c r="O8" s="13"/>
      <c r="P8" s="13"/>
      <c r="Q8" s="22"/>
      <c r="R8" s="22"/>
      <c r="S8" s="22"/>
      <c r="T8" s="22"/>
      <c r="U8" s="22"/>
      <c r="V8" s="13"/>
      <c r="W8" s="13"/>
      <c r="X8" s="22"/>
      <c r="Y8" s="22"/>
      <c r="Z8" s="22"/>
      <c r="AA8" s="22"/>
      <c r="AB8" s="22"/>
      <c r="AC8" s="13"/>
      <c r="AD8" s="13"/>
      <c r="AE8" s="22"/>
      <c r="AF8" s="8">
        <f t="shared" si="1"/>
        <v>0</v>
      </c>
      <c r="AG8" s="8">
        <f t="shared" si="2"/>
        <v>0</v>
      </c>
      <c r="AH8" s="8">
        <f t="shared" si="3"/>
        <v>0</v>
      </c>
      <c r="AI8" s="8">
        <f t="shared" si="4"/>
        <v>0</v>
      </c>
      <c r="AJ8" s="8">
        <f t="shared" si="5"/>
        <v>0</v>
      </c>
      <c r="AK8" s="23"/>
      <c r="AL8" s="35" t="s">
        <v>106</v>
      </c>
      <c r="AM8" s="25" t="s">
        <v>107</v>
      </c>
      <c r="AN8" s="2"/>
      <c r="AO8" s="2"/>
    </row>
    <row r="9" spans="1:41" s="3" customFormat="1" ht="25.15" customHeight="1" x14ac:dyDescent="0.55000000000000004">
      <c r="A9" s="10" t="s">
        <v>33</v>
      </c>
      <c r="B9" s="13"/>
      <c r="C9" s="22"/>
      <c r="D9" s="22"/>
      <c r="E9" s="22"/>
      <c r="F9" s="22"/>
      <c r="G9" s="22"/>
      <c r="H9" s="13"/>
      <c r="I9" s="13"/>
      <c r="J9" s="22" t="s">
        <v>109</v>
      </c>
      <c r="K9" s="22"/>
      <c r="L9" s="22"/>
      <c r="M9" s="22"/>
      <c r="N9" s="22"/>
      <c r="O9" s="13"/>
      <c r="P9" s="13"/>
      <c r="Q9" s="22"/>
      <c r="R9" s="22"/>
      <c r="S9" s="22"/>
      <c r="T9" s="22"/>
      <c r="U9" s="22"/>
      <c r="V9" s="13"/>
      <c r="W9" s="13"/>
      <c r="X9" s="22"/>
      <c r="Y9" s="22"/>
      <c r="Z9" s="22"/>
      <c r="AA9" s="22"/>
      <c r="AB9" s="22"/>
      <c r="AC9" s="13"/>
      <c r="AD9" s="13"/>
      <c r="AE9" s="22"/>
      <c r="AF9" s="8">
        <f t="shared" si="1"/>
        <v>0</v>
      </c>
      <c r="AG9" s="8">
        <f t="shared" si="2"/>
        <v>0</v>
      </c>
      <c r="AH9" s="8">
        <f t="shared" si="3"/>
        <v>0</v>
      </c>
      <c r="AI9" s="8">
        <f t="shared" si="4"/>
        <v>0</v>
      </c>
      <c r="AJ9" s="8">
        <f t="shared" si="5"/>
        <v>0</v>
      </c>
      <c r="AK9" s="23"/>
      <c r="AL9" s="29" t="s">
        <v>108</v>
      </c>
      <c r="AM9" s="25" t="s">
        <v>109</v>
      </c>
      <c r="AN9" s="2"/>
      <c r="AO9" s="2"/>
    </row>
    <row r="10" spans="1:41" s="3" customFormat="1" ht="25.15" customHeight="1" x14ac:dyDescent="0.55000000000000004">
      <c r="A10" s="10" t="s">
        <v>41</v>
      </c>
      <c r="B10" s="13"/>
      <c r="C10" s="22"/>
      <c r="D10" s="22"/>
      <c r="E10" s="22"/>
      <c r="F10" s="22"/>
      <c r="G10" s="22"/>
      <c r="H10" s="13"/>
      <c r="I10" s="13"/>
      <c r="J10" s="22" t="s">
        <v>109</v>
      </c>
      <c r="K10" s="22"/>
      <c r="L10" s="22"/>
      <c r="M10" s="22"/>
      <c r="N10" s="22"/>
      <c r="O10" s="13"/>
      <c r="P10" s="13"/>
      <c r="Q10" s="22"/>
      <c r="R10" s="22"/>
      <c r="S10" s="22"/>
      <c r="T10" s="22"/>
      <c r="U10" s="22"/>
      <c r="V10" s="13"/>
      <c r="W10" s="13"/>
      <c r="X10" s="22"/>
      <c r="Y10" s="22"/>
      <c r="Z10" s="22"/>
      <c r="AA10" s="22"/>
      <c r="AB10" s="22"/>
      <c r="AC10" s="13"/>
      <c r="AD10" s="13"/>
      <c r="AE10" s="22"/>
      <c r="AF10" s="8">
        <f t="shared" si="1"/>
        <v>0</v>
      </c>
      <c r="AG10" s="8">
        <f t="shared" si="2"/>
        <v>0</v>
      </c>
      <c r="AH10" s="8">
        <f t="shared" si="3"/>
        <v>0</v>
      </c>
      <c r="AI10" s="8">
        <f t="shared" si="4"/>
        <v>0</v>
      </c>
      <c r="AJ10" s="8">
        <f t="shared" si="5"/>
        <v>0</v>
      </c>
      <c r="AK10" s="23"/>
      <c r="AL10" s="30" t="s">
        <v>99</v>
      </c>
      <c r="AM10" s="25" t="s">
        <v>110</v>
      </c>
      <c r="AN10" s="2"/>
      <c r="AO10" s="2"/>
    </row>
    <row r="11" spans="1:41" s="3" customFormat="1" ht="25.15" customHeight="1" x14ac:dyDescent="0.55000000000000004">
      <c r="A11" s="10" t="s">
        <v>39</v>
      </c>
      <c r="B11" s="13"/>
      <c r="C11" s="22"/>
      <c r="D11" s="22"/>
      <c r="E11" s="22"/>
      <c r="F11" s="22"/>
      <c r="G11" s="22"/>
      <c r="H11" s="13"/>
      <c r="I11" s="13"/>
      <c r="J11" s="22" t="s">
        <v>109</v>
      </c>
      <c r="K11" s="22"/>
      <c r="L11" s="22"/>
      <c r="M11" s="22"/>
      <c r="N11" s="22"/>
      <c r="O11" s="13"/>
      <c r="P11" s="13"/>
      <c r="Q11" s="22"/>
      <c r="R11" s="22"/>
      <c r="S11" s="22"/>
      <c r="T11" s="22"/>
      <c r="U11" s="22"/>
      <c r="V11" s="13"/>
      <c r="W11" s="13"/>
      <c r="X11" s="22"/>
      <c r="Y11" s="22"/>
      <c r="Z11" s="22"/>
      <c r="AA11" s="22"/>
      <c r="AB11" s="22"/>
      <c r="AC11" s="13"/>
      <c r="AD11" s="13"/>
      <c r="AE11" s="22"/>
      <c r="AF11" s="8">
        <f t="shared" si="1"/>
        <v>0</v>
      </c>
      <c r="AG11" s="8">
        <f t="shared" si="2"/>
        <v>0</v>
      </c>
      <c r="AH11" s="8">
        <f t="shared" si="3"/>
        <v>0</v>
      </c>
      <c r="AI11" s="8">
        <f t="shared" si="4"/>
        <v>0</v>
      </c>
      <c r="AJ11" s="8">
        <f t="shared" si="5"/>
        <v>0</v>
      </c>
      <c r="AK11" s="23"/>
      <c r="AL11" s="11"/>
      <c r="AM11" s="40"/>
      <c r="AN11" s="2"/>
      <c r="AO11" s="2"/>
    </row>
    <row r="12" spans="1:41" s="3" customFormat="1" ht="25.15" customHeight="1" x14ac:dyDescent="0.55000000000000004">
      <c r="A12" s="10" t="s">
        <v>42</v>
      </c>
      <c r="B12" s="13"/>
      <c r="C12" s="22"/>
      <c r="D12" s="22"/>
      <c r="E12" s="22"/>
      <c r="F12" s="22"/>
      <c r="G12" s="22"/>
      <c r="H12" s="13"/>
      <c r="I12" s="13"/>
      <c r="J12" s="22" t="s">
        <v>109</v>
      </c>
      <c r="K12" s="22"/>
      <c r="L12" s="22"/>
      <c r="M12" s="22"/>
      <c r="N12" s="22"/>
      <c r="O12" s="13"/>
      <c r="P12" s="13"/>
      <c r="Q12" s="22"/>
      <c r="R12" s="22"/>
      <c r="S12" s="22"/>
      <c r="T12" s="22"/>
      <c r="U12" s="22"/>
      <c r="V12" s="13"/>
      <c r="W12" s="13"/>
      <c r="X12" s="22"/>
      <c r="Y12" s="22"/>
      <c r="Z12" s="22"/>
      <c r="AA12" s="22"/>
      <c r="AB12" s="22"/>
      <c r="AC12" s="13"/>
      <c r="AD12" s="13"/>
      <c r="AE12" s="22"/>
      <c r="AF12" s="8">
        <f t="shared" si="1"/>
        <v>0</v>
      </c>
      <c r="AG12" s="8">
        <f t="shared" si="2"/>
        <v>0</v>
      </c>
      <c r="AH12" s="8">
        <f t="shared" si="3"/>
        <v>0</v>
      </c>
      <c r="AI12" s="8">
        <f t="shared" si="4"/>
        <v>0</v>
      </c>
      <c r="AJ12" s="8">
        <f t="shared" si="5"/>
        <v>0</v>
      </c>
      <c r="AK12" s="23"/>
      <c r="AL12" s="11"/>
      <c r="AM12" s="40"/>
      <c r="AN12" s="2"/>
      <c r="AO12" s="2"/>
    </row>
    <row r="13" spans="1:41" s="3" customFormat="1" ht="25.15" customHeight="1" x14ac:dyDescent="0.55000000000000004">
      <c r="A13" s="10" t="s">
        <v>31</v>
      </c>
      <c r="B13" s="13"/>
      <c r="C13" s="22"/>
      <c r="D13" s="22"/>
      <c r="E13" s="22"/>
      <c r="F13" s="22"/>
      <c r="G13" s="22"/>
      <c r="H13" s="13"/>
      <c r="I13" s="13"/>
      <c r="J13" s="22" t="s">
        <v>109</v>
      </c>
      <c r="K13" s="22"/>
      <c r="L13" s="22"/>
      <c r="M13" s="22"/>
      <c r="N13" s="22"/>
      <c r="O13" s="13"/>
      <c r="P13" s="13"/>
      <c r="Q13" s="22"/>
      <c r="R13" s="22"/>
      <c r="S13" s="22"/>
      <c r="T13" s="22"/>
      <c r="U13" s="22"/>
      <c r="V13" s="13"/>
      <c r="W13" s="13"/>
      <c r="X13" s="22"/>
      <c r="Y13" s="22"/>
      <c r="Z13" s="22"/>
      <c r="AA13" s="22"/>
      <c r="AB13" s="22"/>
      <c r="AC13" s="13"/>
      <c r="AD13" s="13"/>
      <c r="AE13" s="22"/>
      <c r="AF13" s="8">
        <f t="shared" si="1"/>
        <v>0</v>
      </c>
      <c r="AG13" s="8">
        <f t="shared" si="2"/>
        <v>0</v>
      </c>
      <c r="AH13" s="8">
        <f t="shared" si="3"/>
        <v>0</v>
      </c>
      <c r="AI13" s="8">
        <f t="shared" si="4"/>
        <v>0</v>
      </c>
      <c r="AJ13" s="8">
        <f t="shared" si="5"/>
        <v>0</v>
      </c>
      <c r="AK13" s="23"/>
      <c r="AL13" s="2"/>
      <c r="AM13" s="2"/>
      <c r="AN13" s="2"/>
      <c r="AO13" s="2"/>
    </row>
    <row r="14" spans="1:41" s="3" customFormat="1" ht="25.15" customHeight="1" x14ac:dyDescent="0.55000000000000004">
      <c r="A14" s="10" t="s">
        <v>36</v>
      </c>
      <c r="B14" s="13"/>
      <c r="C14" s="22"/>
      <c r="D14" s="22"/>
      <c r="E14" s="22"/>
      <c r="F14" s="22"/>
      <c r="G14" s="22"/>
      <c r="H14" s="13"/>
      <c r="I14" s="13"/>
      <c r="J14" s="22" t="s">
        <v>109</v>
      </c>
      <c r="K14" s="22"/>
      <c r="L14" s="22"/>
      <c r="M14" s="22"/>
      <c r="N14" s="22"/>
      <c r="O14" s="13"/>
      <c r="P14" s="13"/>
      <c r="Q14" s="22"/>
      <c r="R14" s="22"/>
      <c r="S14" s="22"/>
      <c r="T14" s="22"/>
      <c r="U14" s="22"/>
      <c r="V14" s="13"/>
      <c r="W14" s="13"/>
      <c r="X14" s="22"/>
      <c r="Y14" s="22"/>
      <c r="Z14" s="22"/>
      <c r="AA14" s="22"/>
      <c r="AB14" s="22"/>
      <c r="AC14" s="13"/>
      <c r="AD14" s="13"/>
      <c r="AE14" s="22"/>
      <c r="AF14" s="8">
        <f t="shared" si="1"/>
        <v>0</v>
      </c>
      <c r="AG14" s="8">
        <f t="shared" si="2"/>
        <v>0</v>
      </c>
      <c r="AH14" s="8">
        <f t="shared" si="3"/>
        <v>0</v>
      </c>
      <c r="AI14" s="8">
        <f t="shared" si="4"/>
        <v>0</v>
      </c>
      <c r="AJ14" s="8">
        <f t="shared" si="5"/>
        <v>0</v>
      </c>
      <c r="AK14" s="23"/>
      <c r="AL14" s="2"/>
      <c r="AM14" s="2"/>
      <c r="AN14" s="2"/>
      <c r="AO14" s="2"/>
    </row>
    <row r="15" spans="1:41" s="3" customFormat="1" ht="25.15" customHeight="1" x14ac:dyDescent="0.55000000000000004">
      <c r="A15" s="10" t="s">
        <v>32</v>
      </c>
      <c r="B15" s="13"/>
      <c r="C15" s="22"/>
      <c r="D15" s="22"/>
      <c r="E15" s="22"/>
      <c r="F15" s="22"/>
      <c r="G15" s="22"/>
      <c r="H15" s="13"/>
      <c r="I15" s="13"/>
      <c r="J15" s="22" t="s">
        <v>109</v>
      </c>
      <c r="K15" s="22"/>
      <c r="L15" s="22"/>
      <c r="M15" s="22"/>
      <c r="N15" s="22"/>
      <c r="O15" s="13"/>
      <c r="P15" s="13"/>
      <c r="Q15" s="22"/>
      <c r="R15" s="22"/>
      <c r="S15" s="22"/>
      <c r="T15" s="22"/>
      <c r="U15" s="22"/>
      <c r="V15" s="13"/>
      <c r="W15" s="13"/>
      <c r="X15" s="22"/>
      <c r="Y15" s="22"/>
      <c r="Z15" s="22"/>
      <c r="AA15" s="22"/>
      <c r="AB15" s="22"/>
      <c r="AC15" s="13"/>
      <c r="AD15" s="13"/>
      <c r="AE15" s="22"/>
      <c r="AF15" s="8">
        <f t="shared" si="1"/>
        <v>0</v>
      </c>
      <c r="AG15" s="8">
        <f t="shared" si="2"/>
        <v>0</v>
      </c>
      <c r="AH15" s="8">
        <f t="shared" si="3"/>
        <v>0</v>
      </c>
      <c r="AI15" s="8">
        <f t="shared" si="4"/>
        <v>0</v>
      </c>
      <c r="AJ15" s="8">
        <f t="shared" si="5"/>
        <v>0</v>
      </c>
      <c r="AK15" s="2"/>
      <c r="AL15" s="2"/>
      <c r="AM15" s="2"/>
      <c r="AN15" s="2"/>
      <c r="AO15" s="2"/>
    </row>
    <row r="16" spans="1:41" ht="23.5" customHeight="1" x14ac:dyDescent="0.55000000000000004">
      <c r="A16" s="10" t="s">
        <v>28</v>
      </c>
      <c r="B16" s="13"/>
      <c r="C16" s="22"/>
      <c r="D16" s="22"/>
      <c r="E16" s="22"/>
      <c r="F16" s="22"/>
      <c r="G16" s="22"/>
      <c r="H16" s="13"/>
      <c r="I16" s="13"/>
      <c r="J16" s="22" t="s">
        <v>109</v>
      </c>
      <c r="K16" s="22"/>
      <c r="L16" s="22"/>
      <c r="M16" s="22"/>
      <c r="N16" s="22"/>
      <c r="O16" s="13"/>
      <c r="P16" s="13"/>
      <c r="Q16" s="22"/>
      <c r="R16" s="22"/>
      <c r="S16" s="22"/>
      <c r="T16" s="22"/>
      <c r="U16" s="22"/>
      <c r="V16" s="13"/>
      <c r="W16" s="13"/>
      <c r="X16" s="22"/>
      <c r="Y16" s="22"/>
      <c r="Z16" s="22"/>
      <c r="AA16" s="22"/>
      <c r="AB16" s="22"/>
      <c r="AC16" s="13"/>
      <c r="AD16" s="13"/>
      <c r="AE16" s="22"/>
      <c r="AF16" s="8">
        <f t="shared" si="1"/>
        <v>0</v>
      </c>
      <c r="AG16" s="8">
        <f t="shared" si="2"/>
        <v>0</v>
      </c>
      <c r="AH16" s="8">
        <f t="shared" si="3"/>
        <v>0</v>
      </c>
      <c r="AI16" s="8">
        <f t="shared" si="4"/>
        <v>0</v>
      </c>
      <c r="AJ16" s="8">
        <f t="shared" si="5"/>
        <v>0</v>
      </c>
      <c r="AN16" s="2"/>
      <c r="AO16" s="2"/>
    </row>
    <row r="17" spans="1:36" ht="23.5" customHeight="1" x14ac:dyDescent="0.55000000000000004">
      <c r="A17" s="10" t="s">
        <v>111</v>
      </c>
      <c r="B17" s="13"/>
      <c r="C17" s="22"/>
      <c r="D17" s="22"/>
      <c r="E17" s="22"/>
      <c r="F17" s="22"/>
      <c r="G17" s="22"/>
      <c r="H17" s="13"/>
      <c r="I17" s="13"/>
      <c r="J17" s="22" t="s">
        <v>109</v>
      </c>
      <c r="K17" s="22"/>
      <c r="L17" s="22"/>
      <c r="M17" s="22"/>
      <c r="N17" s="22"/>
      <c r="O17" s="13"/>
      <c r="P17" s="13"/>
      <c r="Q17" s="22"/>
      <c r="R17" s="22"/>
      <c r="S17" s="22"/>
      <c r="T17" s="22"/>
      <c r="U17" s="22"/>
      <c r="V17" s="13"/>
      <c r="W17" s="13"/>
      <c r="X17" s="22"/>
      <c r="Y17" s="22"/>
      <c r="Z17" s="22"/>
      <c r="AA17" s="22"/>
      <c r="AB17" s="22"/>
      <c r="AC17" s="13"/>
      <c r="AD17" s="13"/>
      <c r="AE17" s="22"/>
      <c r="AF17" s="8">
        <f t="shared" si="1"/>
        <v>0</v>
      </c>
      <c r="AG17" s="8">
        <f t="shared" si="2"/>
        <v>0</v>
      </c>
      <c r="AH17" s="8">
        <f t="shared" si="3"/>
        <v>0</v>
      </c>
      <c r="AI17" s="8">
        <f t="shared" si="4"/>
        <v>0</v>
      </c>
      <c r="AJ17" s="8">
        <f t="shared" si="5"/>
        <v>0</v>
      </c>
    </row>
    <row r="18" spans="1:36" ht="23.5" customHeight="1" x14ac:dyDescent="0.55000000000000004">
      <c r="A18" s="10" t="s">
        <v>21</v>
      </c>
      <c r="B18" s="13"/>
      <c r="C18" s="22"/>
      <c r="D18" s="22"/>
      <c r="E18" s="22"/>
      <c r="F18" s="22"/>
      <c r="G18" s="22"/>
      <c r="H18" s="13"/>
      <c r="I18" s="13"/>
      <c r="J18" s="22" t="s">
        <v>109</v>
      </c>
      <c r="K18" s="22"/>
      <c r="L18" s="22"/>
      <c r="M18" s="22"/>
      <c r="N18" s="22"/>
      <c r="O18" s="13"/>
      <c r="P18" s="13"/>
      <c r="Q18" s="22"/>
      <c r="R18" s="22"/>
      <c r="S18" s="22"/>
      <c r="T18" s="22"/>
      <c r="U18" s="22"/>
      <c r="V18" s="13"/>
      <c r="W18" s="13"/>
      <c r="X18" s="22"/>
      <c r="Y18" s="22"/>
      <c r="Z18" s="22"/>
      <c r="AA18" s="22"/>
      <c r="AB18" s="22"/>
      <c r="AC18" s="13"/>
      <c r="AD18" s="13"/>
      <c r="AE18" s="22"/>
      <c r="AF18" s="8">
        <f t="shared" si="1"/>
        <v>0</v>
      </c>
      <c r="AG18" s="8">
        <f t="shared" si="2"/>
        <v>0</v>
      </c>
      <c r="AH18" s="8">
        <f t="shared" si="3"/>
        <v>0</v>
      </c>
      <c r="AI18" s="8">
        <f t="shared" si="4"/>
        <v>0</v>
      </c>
      <c r="AJ18" s="8">
        <f t="shared" si="5"/>
        <v>0</v>
      </c>
    </row>
    <row r="19" spans="1:36" ht="23.5" customHeight="1" x14ac:dyDescent="0.55000000000000004">
      <c r="A19" s="10" t="s">
        <v>35</v>
      </c>
      <c r="B19" s="13"/>
      <c r="C19" s="22"/>
      <c r="D19" s="22"/>
      <c r="E19" s="22"/>
      <c r="F19" s="22"/>
      <c r="G19" s="22"/>
      <c r="H19" s="13"/>
      <c r="I19" s="13"/>
      <c r="J19" s="22" t="s">
        <v>109</v>
      </c>
      <c r="K19" s="22"/>
      <c r="L19" s="22"/>
      <c r="M19" s="22"/>
      <c r="N19" s="22"/>
      <c r="O19" s="13"/>
      <c r="P19" s="13"/>
      <c r="Q19" s="22"/>
      <c r="R19" s="22"/>
      <c r="S19" s="22"/>
      <c r="T19" s="22"/>
      <c r="U19" s="22"/>
      <c r="V19" s="13"/>
      <c r="W19" s="13"/>
      <c r="X19" s="22"/>
      <c r="Y19" s="22"/>
      <c r="Z19" s="22"/>
      <c r="AA19" s="22"/>
      <c r="AB19" s="22"/>
      <c r="AC19" s="13"/>
      <c r="AD19" s="13"/>
      <c r="AE19" s="22"/>
      <c r="AF19" s="8">
        <f t="shared" si="1"/>
        <v>0</v>
      </c>
      <c r="AG19" s="8">
        <f t="shared" si="2"/>
        <v>0</v>
      </c>
      <c r="AH19" s="8">
        <f t="shared" si="3"/>
        <v>0</v>
      </c>
      <c r="AI19" s="8">
        <f t="shared" si="4"/>
        <v>0</v>
      </c>
      <c r="AJ19" s="8">
        <f t="shared" si="5"/>
        <v>0</v>
      </c>
    </row>
    <row r="20" spans="1:36" ht="23.5" customHeight="1" x14ac:dyDescent="0.55000000000000004">
      <c r="A20" s="10" t="s">
        <v>43</v>
      </c>
      <c r="B20" s="13"/>
      <c r="C20" s="22"/>
      <c r="D20" s="22"/>
      <c r="E20" s="22"/>
      <c r="F20" s="22"/>
      <c r="G20" s="22"/>
      <c r="H20" s="13"/>
      <c r="I20" s="13"/>
      <c r="J20" s="22" t="s">
        <v>109</v>
      </c>
      <c r="K20" s="22"/>
      <c r="L20" s="22"/>
      <c r="M20" s="22"/>
      <c r="N20" s="22"/>
      <c r="O20" s="13"/>
      <c r="P20" s="13"/>
      <c r="Q20" s="22"/>
      <c r="R20" s="22"/>
      <c r="S20" s="22"/>
      <c r="T20" s="22"/>
      <c r="U20" s="22"/>
      <c r="V20" s="13"/>
      <c r="W20" s="13"/>
      <c r="X20" s="22"/>
      <c r="Y20" s="22"/>
      <c r="Z20" s="22"/>
      <c r="AA20" s="22"/>
      <c r="AB20" s="22"/>
      <c r="AC20" s="13"/>
      <c r="AD20" s="13"/>
      <c r="AE20" s="22"/>
      <c r="AF20" s="8">
        <f t="shared" si="1"/>
        <v>0</v>
      </c>
      <c r="AG20" s="8">
        <f t="shared" si="2"/>
        <v>0</v>
      </c>
      <c r="AH20" s="8">
        <f t="shared" si="3"/>
        <v>0</v>
      </c>
      <c r="AI20" s="8">
        <f t="shared" si="4"/>
        <v>0</v>
      </c>
      <c r="AJ20" s="8">
        <f t="shared" si="5"/>
        <v>0</v>
      </c>
    </row>
    <row r="21" spans="1:36" ht="23.5" customHeight="1" x14ac:dyDescent="0.55000000000000004">
      <c r="A21" s="10" t="s">
        <v>112</v>
      </c>
      <c r="B21" s="13"/>
      <c r="C21" s="22"/>
      <c r="D21" s="22"/>
      <c r="E21" s="22"/>
      <c r="F21" s="22"/>
      <c r="G21" s="22"/>
      <c r="H21" s="13"/>
      <c r="I21" s="13"/>
      <c r="J21" s="22" t="s">
        <v>109</v>
      </c>
      <c r="K21" s="22"/>
      <c r="L21" s="22"/>
      <c r="M21" s="22"/>
      <c r="N21" s="22"/>
      <c r="O21" s="13"/>
      <c r="P21" s="13"/>
      <c r="Q21" s="22"/>
      <c r="R21" s="22"/>
      <c r="S21" s="22"/>
      <c r="T21" s="22"/>
      <c r="U21" s="22"/>
      <c r="V21" s="13"/>
      <c r="W21" s="13"/>
      <c r="X21" s="22"/>
      <c r="Y21" s="22"/>
      <c r="Z21" s="22"/>
      <c r="AA21" s="22"/>
      <c r="AB21" s="22"/>
      <c r="AC21" s="13"/>
      <c r="AD21" s="13"/>
      <c r="AE21" s="22"/>
      <c r="AF21" s="8">
        <f t="shared" si="1"/>
        <v>0</v>
      </c>
      <c r="AG21" s="8">
        <f t="shared" si="2"/>
        <v>0</v>
      </c>
      <c r="AH21" s="8">
        <f t="shared" si="3"/>
        <v>0</v>
      </c>
      <c r="AI21" s="8">
        <f t="shared" si="4"/>
        <v>0</v>
      </c>
      <c r="AJ21" s="8">
        <f t="shared" si="5"/>
        <v>0</v>
      </c>
    </row>
    <row r="22" spans="1:36" ht="23.5" customHeight="1" x14ac:dyDescent="0.55000000000000004">
      <c r="A22" s="10" t="s">
        <v>26</v>
      </c>
      <c r="B22" s="13"/>
      <c r="C22" s="22"/>
      <c r="D22" s="22"/>
      <c r="E22" s="22"/>
      <c r="F22" s="22"/>
      <c r="G22" s="22"/>
      <c r="H22" s="13"/>
      <c r="I22" s="13"/>
      <c r="J22" s="22" t="s">
        <v>109</v>
      </c>
      <c r="K22" s="22"/>
      <c r="L22" s="22"/>
      <c r="M22" s="22"/>
      <c r="N22" s="22"/>
      <c r="O22" s="13"/>
      <c r="P22" s="13"/>
      <c r="Q22" s="22"/>
      <c r="R22" s="22"/>
      <c r="S22" s="22"/>
      <c r="T22" s="22"/>
      <c r="U22" s="22"/>
      <c r="V22" s="13"/>
      <c r="W22" s="13"/>
      <c r="X22" s="22"/>
      <c r="Y22" s="22"/>
      <c r="Z22" s="22"/>
      <c r="AA22" s="22"/>
      <c r="AB22" s="22"/>
      <c r="AC22" s="13"/>
      <c r="AD22" s="13"/>
      <c r="AE22" s="22"/>
      <c r="AF22" s="8">
        <f t="shared" si="1"/>
        <v>0</v>
      </c>
      <c r="AG22" s="8">
        <f t="shared" si="2"/>
        <v>0</v>
      </c>
      <c r="AH22" s="8">
        <f t="shared" si="3"/>
        <v>0</v>
      </c>
      <c r="AI22" s="8">
        <f t="shared" si="4"/>
        <v>0</v>
      </c>
      <c r="AJ22" s="8">
        <f t="shared" si="5"/>
        <v>0</v>
      </c>
    </row>
    <row r="23" spans="1:36" ht="23.5" customHeight="1" x14ac:dyDescent="0.55000000000000004">
      <c r="A23" s="10" t="s">
        <v>27</v>
      </c>
      <c r="B23" s="13"/>
      <c r="C23" s="22"/>
      <c r="D23" s="22"/>
      <c r="E23" s="22"/>
      <c r="F23" s="22"/>
      <c r="G23" s="22"/>
      <c r="H23" s="13"/>
      <c r="I23" s="13"/>
      <c r="J23" s="22" t="s">
        <v>109</v>
      </c>
      <c r="K23" s="22"/>
      <c r="L23" s="22"/>
      <c r="M23" s="22"/>
      <c r="N23" s="22"/>
      <c r="O23" s="13"/>
      <c r="P23" s="13"/>
      <c r="Q23" s="22"/>
      <c r="R23" s="22"/>
      <c r="S23" s="22"/>
      <c r="T23" s="22"/>
      <c r="U23" s="22"/>
      <c r="V23" s="13"/>
      <c r="W23" s="13"/>
      <c r="X23" s="22"/>
      <c r="Y23" s="22"/>
      <c r="Z23" s="22"/>
      <c r="AA23" s="22"/>
      <c r="AB23" s="22"/>
      <c r="AC23" s="13"/>
      <c r="AD23" s="13"/>
      <c r="AE23" s="22"/>
      <c r="AF23" s="8">
        <f t="shared" si="1"/>
        <v>0</v>
      </c>
      <c r="AG23" s="8">
        <f t="shared" si="2"/>
        <v>0</v>
      </c>
      <c r="AH23" s="8">
        <f t="shared" si="3"/>
        <v>0</v>
      </c>
      <c r="AI23" s="8">
        <f t="shared" si="4"/>
        <v>0</v>
      </c>
      <c r="AJ23" s="8">
        <f t="shared" si="5"/>
        <v>0</v>
      </c>
    </row>
    <row r="24" spans="1:36" ht="23.5" customHeight="1" x14ac:dyDescent="0.55000000000000004">
      <c r="A24" s="10" t="s">
        <v>20</v>
      </c>
      <c r="B24" s="13"/>
      <c r="C24" s="22"/>
      <c r="D24" s="22"/>
      <c r="E24" s="22"/>
      <c r="F24" s="22"/>
      <c r="G24" s="22"/>
      <c r="H24" s="13"/>
      <c r="I24" s="13"/>
      <c r="J24" s="22" t="s">
        <v>109</v>
      </c>
      <c r="K24" s="22"/>
      <c r="L24" s="22"/>
      <c r="M24" s="22"/>
      <c r="N24" s="22"/>
      <c r="O24" s="13"/>
      <c r="P24" s="13"/>
      <c r="Q24" s="22"/>
      <c r="R24" s="22"/>
      <c r="S24" s="22"/>
      <c r="T24" s="22"/>
      <c r="U24" s="22"/>
      <c r="V24" s="13"/>
      <c r="W24" s="13"/>
      <c r="X24" s="22"/>
      <c r="Y24" s="22"/>
      <c r="Z24" s="22"/>
      <c r="AA24" s="22"/>
      <c r="AB24" s="22"/>
      <c r="AC24" s="13"/>
      <c r="AD24" s="13"/>
      <c r="AE24" s="22"/>
      <c r="AF24" s="8">
        <f t="shared" si="1"/>
        <v>0</v>
      </c>
      <c r="AG24" s="8">
        <f t="shared" si="2"/>
        <v>0</v>
      </c>
      <c r="AH24" s="8">
        <f t="shared" si="3"/>
        <v>0</v>
      </c>
      <c r="AI24" s="8">
        <f t="shared" si="4"/>
        <v>0</v>
      </c>
      <c r="AJ24" s="8">
        <f t="shared" si="5"/>
        <v>0</v>
      </c>
    </row>
    <row r="25" spans="1:36" ht="23.5" customHeight="1" x14ac:dyDescent="0.55000000000000004">
      <c r="A25" s="10" t="s">
        <v>38</v>
      </c>
      <c r="B25" s="13"/>
      <c r="C25" s="22"/>
      <c r="D25" s="22"/>
      <c r="E25" s="22"/>
      <c r="F25" s="22"/>
      <c r="G25" s="22"/>
      <c r="H25" s="13"/>
      <c r="I25" s="13"/>
      <c r="J25" s="22" t="s">
        <v>109</v>
      </c>
      <c r="K25" s="22"/>
      <c r="L25" s="22"/>
      <c r="M25" s="22"/>
      <c r="N25" s="22"/>
      <c r="O25" s="13"/>
      <c r="P25" s="13"/>
      <c r="Q25" s="22"/>
      <c r="R25" s="22"/>
      <c r="S25" s="22"/>
      <c r="T25" s="22"/>
      <c r="U25" s="22"/>
      <c r="V25" s="13"/>
      <c r="W25" s="13"/>
      <c r="X25" s="22"/>
      <c r="Y25" s="22"/>
      <c r="Z25" s="22"/>
      <c r="AA25" s="22"/>
      <c r="AB25" s="22"/>
      <c r="AC25" s="13"/>
      <c r="AD25" s="13"/>
      <c r="AE25" s="22"/>
      <c r="AF25" s="8">
        <f t="shared" si="1"/>
        <v>0</v>
      </c>
      <c r="AG25" s="8">
        <f t="shared" si="2"/>
        <v>0</v>
      </c>
      <c r="AH25" s="8">
        <f t="shared" si="3"/>
        <v>0</v>
      </c>
      <c r="AI25" s="8">
        <f t="shared" si="4"/>
        <v>0</v>
      </c>
      <c r="AJ25" s="8">
        <f t="shared" si="5"/>
        <v>0</v>
      </c>
    </row>
    <row r="26" spans="1:36" ht="23.5" customHeight="1" x14ac:dyDescent="0.55000000000000004">
      <c r="A26" s="10" t="s">
        <v>25</v>
      </c>
      <c r="B26" s="13"/>
      <c r="C26" s="22"/>
      <c r="D26" s="22"/>
      <c r="E26" s="22"/>
      <c r="F26" s="22"/>
      <c r="G26" s="22"/>
      <c r="H26" s="13"/>
      <c r="I26" s="13"/>
      <c r="J26" s="22" t="s">
        <v>109</v>
      </c>
      <c r="K26" s="22"/>
      <c r="L26" s="22"/>
      <c r="M26" s="22"/>
      <c r="N26" s="22"/>
      <c r="O26" s="13"/>
      <c r="P26" s="13"/>
      <c r="Q26" s="22"/>
      <c r="R26" s="22"/>
      <c r="S26" s="22"/>
      <c r="T26" s="22"/>
      <c r="U26" s="22"/>
      <c r="V26" s="13"/>
      <c r="W26" s="13"/>
      <c r="X26" s="22"/>
      <c r="Y26" s="22"/>
      <c r="Z26" s="22"/>
      <c r="AA26" s="22"/>
      <c r="AB26" s="22"/>
      <c r="AC26" s="13"/>
      <c r="AD26" s="13"/>
      <c r="AE26" s="22"/>
      <c r="AF26" s="8">
        <f t="shared" si="1"/>
        <v>0</v>
      </c>
      <c r="AG26" s="8">
        <f t="shared" si="2"/>
        <v>0</v>
      </c>
      <c r="AH26" s="8">
        <f t="shared" si="3"/>
        <v>0</v>
      </c>
      <c r="AI26" s="8">
        <f t="shared" si="4"/>
        <v>0</v>
      </c>
      <c r="AJ26" s="8">
        <f t="shared" si="5"/>
        <v>0</v>
      </c>
    </row>
    <row r="27" spans="1:36" ht="23.5" customHeight="1" x14ac:dyDescent="0.55000000000000004">
      <c r="A27" s="10" t="s">
        <v>40</v>
      </c>
      <c r="B27" s="13"/>
      <c r="C27" s="22"/>
      <c r="D27" s="22"/>
      <c r="E27" s="22"/>
      <c r="F27" s="22"/>
      <c r="G27" s="22"/>
      <c r="H27" s="13"/>
      <c r="I27" s="13"/>
      <c r="J27" s="22" t="s">
        <v>109</v>
      </c>
      <c r="K27" s="22"/>
      <c r="L27" s="22"/>
      <c r="M27" s="22"/>
      <c r="N27" s="22"/>
      <c r="O27" s="13"/>
      <c r="P27" s="13"/>
      <c r="Q27" s="22"/>
      <c r="R27" s="22"/>
      <c r="S27" s="22"/>
      <c r="T27" s="22"/>
      <c r="U27" s="22"/>
      <c r="V27" s="13"/>
      <c r="W27" s="13"/>
      <c r="X27" s="22"/>
      <c r="Y27" s="22"/>
      <c r="Z27" s="22"/>
      <c r="AA27" s="22"/>
      <c r="AB27" s="22"/>
      <c r="AC27" s="13"/>
      <c r="AD27" s="13"/>
      <c r="AE27" s="22"/>
      <c r="AF27" s="8">
        <f t="shared" si="1"/>
        <v>0</v>
      </c>
      <c r="AG27" s="8">
        <f t="shared" si="2"/>
        <v>0</v>
      </c>
      <c r="AH27" s="8">
        <f t="shared" si="3"/>
        <v>0</v>
      </c>
      <c r="AI27" s="8">
        <f t="shared" si="4"/>
        <v>0</v>
      </c>
      <c r="AJ27" s="8">
        <f t="shared" si="5"/>
        <v>0</v>
      </c>
    </row>
    <row r="28" spans="1:36" ht="23.5" customHeight="1" x14ac:dyDescent="0.55000000000000004">
      <c r="A28" s="10" t="s">
        <v>24</v>
      </c>
      <c r="B28" s="13"/>
      <c r="C28" s="22"/>
      <c r="D28" s="22"/>
      <c r="E28" s="22"/>
      <c r="F28" s="22"/>
      <c r="G28" s="22"/>
      <c r="H28" s="13"/>
      <c r="I28" s="13"/>
      <c r="J28" s="22" t="s">
        <v>109</v>
      </c>
      <c r="K28" s="22"/>
      <c r="L28" s="22"/>
      <c r="M28" s="22"/>
      <c r="N28" s="22"/>
      <c r="O28" s="13"/>
      <c r="P28" s="13"/>
      <c r="Q28" s="22"/>
      <c r="R28" s="22"/>
      <c r="S28" s="22"/>
      <c r="T28" s="22"/>
      <c r="U28" s="22"/>
      <c r="V28" s="13"/>
      <c r="W28" s="13"/>
      <c r="X28" s="22"/>
      <c r="Y28" s="22"/>
      <c r="Z28" s="22"/>
      <c r="AA28" s="22"/>
      <c r="AB28" s="22"/>
      <c r="AC28" s="13"/>
      <c r="AD28" s="13"/>
      <c r="AE28" s="22"/>
      <c r="AF28" s="8">
        <f t="shared" si="1"/>
        <v>0</v>
      </c>
      <c r="AG28" s="8">
        <f t="shared" si="2"/>
        <v>0</v>
      </c>
      <c r="AH28" s="8">
        <f t="shared" si="3"/>
        <v>0</v>
      </c>
      <c r="AI28" s="8">
        <f t="shared" si="4"/>
        <v>0</v>
      </c>
      <c r="AJ28" s="8">
        <f t="shared" si="5"/>
        <v>0</v>
      </c>
    </row>
    <row r="29" spans="1:36" ht="23.5" customHeight="1" x14ac:dyDescent="0.55000000000000004">
      <c r="A29" s="10" t="s">
        <v>23</v>
      </c>
      <c r="B29" s="13"/>
      <c r="C29" s="22"/>
      <c r="D29" s="22"/>
      <c r="E29" s="22"/>
      <c r="F29" s="22"/>
      <c r="G29" s="22"/>
      <c r="H29" s="13"/>
      <c r="I29" s="13"/>
      <c r="J29" s="22" t="s">
        <v>109</v>
      </c>
      <c r="K29" s="22"/>
      <c r="L29" s="22"/>
      <c r="M29" s="22"/>
      <c r="N29" s="22"/>
      <c r="O29" s="13"/>
      <c r="P29" s="13"/>
      <c r="Q29" s="22"/>
      <c r="R29" s="22"/>
      <c r="S29" s="22"/>
      <c r="T29" s="22"/>
      <c r="U29" s="22"/>
      <c r="V29" s="13"/>
      <c r="W29" s="13"/>
      <c r="X29" s="22"/>
      <c r="Y29" s="22"/>
      <c r="Z29" s="22"/>
      <c r="AA29" s="22"/>
      <c r="AB29" s="22"/>
      <c r="AC29" s="13"/>
      <c r="AD29" s="13"/>
      <c r="AE29" s="22"/>
      <c r="AF29" s="8">
        <f t="shared" si="1"/>
        <v>0</v>
      </c>
      <c r="AG29" s="8">
        <f t="shared" si="2"/>
        <v>0</v>
      </c>
      <c r="AH29" s="8">
        <f t="shared" si="3"/>
        <v>0</v>
      </c>
      <c r="AI29" s="8">
        <f t="shared" si="4"/>
        <v>0</v>
      </c>
      <c r="AJ29" s="8">
        <f t="shared" si="5"/>
        <v>0</v>
      </c>
    </row>
    <row r="30" spans="1:36" ht="23.5" customHeight="1" x14ac:dyDescent="0.55000000000000004">
      <c r="A30" s="10" t="s">
        <v>50</v>
      </c>
      <c r="B30" s="13"/>
      <c r="C30" s="22"/>
      <c r="D30" s="22"/>
      <c r="E30" s="22"/>
      <c r="F30" s="22"/>
      <c r="G30" s="22"/>
      <c r="H30" s="13"/>
      <c r="I30" s="13"/>
      <c r="J30" s="22" t="s">
        <v>109</v>
      </c>
      <c r="K30" s="22"/>
      <c r="L30" s="22"/>
      <c r="M30" s="22"/>
      <c r="N30" s="22"/>
      <c r="O30" s="13"/>
      <c r="P30" s="13"/>
      <c r="Q30" s="22"/>
      <c r="R30" s="22"/>
      <c r="S30" s="22"/>
      <c r="T30" s="22"/>
      <c r="U30" s="22"/>
      <c r="V30" s="13"/>
      <c r="W30" s="13"/>
      <c r="X30" s="22"/>
      <c r="Y30" s="22"/>
      <c r="Z30" s="22"/>
      <c r="AA30" s="22"/>
      <c r="AB30" s="22"/>
      <c r="AC30" s="13"/>
      <c r="AD30" s="13"/>
      <c r="AE30" s="22"/>
      <c r="AF30" s="8">
        <f t="shared" si="1"/>
        <v>0</v>
      </c>
      <c r="AG30" s="8">
        <f t="shared" si="2"/>
        <v>0</v>
      </c>
      <c r="AH30" s="8">
        <f t="shared" si="3"/>
        <v>0</v>
      </c>
      <c r="AI30" s="8">
        <f t="shared" si="4"/>
        <v>0</v>
      </c>
      <c r="AJ30" s="8">
        <f t="shared" si="5"/>
        <v>0</v>
      </c>
    </row>
    <row r="31" spans="1:36" ht="23.5" customHeight="1" x14ac:dyDescent="0.55000000000000004">
      <c r="A31" s="10" t="s">
        <v>45</v>
      </c>
      <c r="B31" s="13"/>
      <c r="C31" s="22"/>
      <c r="D31" s="22"/>
      <c r="E31" s="22"/>
      <c r="F31" s="22"/>
      <c r="G31" s="22"/>
      <c r="H31" s="13"/>
      <c r="I31" s="13"/>
      <c r="J31" s="22" t="s">
        <v>109</v>
      </c>
      <c r="K31" s="22"/>
      <c r="L31" s="22"/>
      <c r="M31" s="22"/>
      <c r="N31" s="22"/>
      <c r="O31" s="13"/>
      <c r="P31" s="13"/>
      <c r="Q31" s="22"/>
      <c r="R31" s="22"/>
      <c r="S31" s="22"/>
      <c r="T31" s="22"/>
      <c r="U31" s="22"/>
      <c r="V31" s="13"/>
      <c r="W31" s="13"/>
      <c r="X31" s="22"/>
      <c r="Y31" s="22"/>
      <c r="Z31" s="22"/>
      <c r="AA31" s="22"/>
      <c r="AB31" s="22"/>
      <c r="AC31" s="13"/>
      <c r="AD31" s="13"/>
      <c r="AE31" s="22"/>
      <c r="AF31" s="8">
        <f t="shared" si="1"/>
        <v>0</v>
      </c>
      <c r="AG31" s="8">
        <f t="shared" si="2"/>
        <v>0</v>
      </c>
      <c r="AH31" s="8">
        <f t="shared" si="3"/>
        <v>0</v>
      </c>
      <c r="AI31" s="8">
        <f t="shared" si="4"/>
        <v>0</v>
      </c>
      <c r="AJ31" s="8">
        <f t="shared" si="5"/>
        <v>0</v>
      </c>
    </row>
    <row r="32" spans="1:36" ht="23.5" customHeight="1" x14ac:dyDescent="0.55000000000000004">
      <c r="A32" s="10" t="s">
        <v>113</v>
      </c>
      <c r="B32" s="13"/>
      <c r="C32" s="22"/>
      <c r="D32" s="22"/>
      <c r="E32" s="22"/>
      <c r="F32" s="22"/>
      <c r="G32" s="22"/>
      <c r="H32" s="13"/>
      <c r="I32" s="13"/>
      <c r="J32" s="22" t="s">
        <v>109</v>
      </c>
      <c r="K32" s="22"/>
      <c r="L32" s="22"/>
      <c r="M32" s="22"/>
      <c r="N32" s="22"/>
      <c r="O32" s="13"/>
      <c r="P32" s="13"/>
      <c r="Q32" s="22"/>
      <c r="R32" s="22"/>
      <c r="S32" s="22"/>
      <c r="T32" s="22"/>
      <c r="U32" s="22"/>
      <c r="V32" s="13"/>
      <c r="W32" s="13"/>
      <c r="X32" s="22"/>
      <c r="Y32" s="22"/>
      <c r="Z32" s="22"/>
      <c r="AA32" s="22"/>
      <c r="AB32" s="22"/>
      <c r="AC32" s="13"/>
      <c r="AD32" s="13"/>
      <c r="AE32" s="22"/>
      <c r="AF32" s="8">
        <f t="shared" si="1"/>
        <v>0</v>
      </c>
      <c r="AG32" s="8">
        <f t="shared" si="2"/>
        <v>0</v>
      </c>
      <c r="AH32" s="8">
        <f t="shared" si="3"/>
        <v>0</v>
      </c>
      <c r="AI32" s="8">
        <f t="shared" si="4"/>
        <v>0</v>
      </c>
      <c r="AJ32" s="8">
        <f t="shared" si="5"/>
        <v>0</v>
      </c>
    </row>
    <row r="33" spans="1:36" ht="23.5" customHeight="1" x14ac:dyDescent="0.55000000000000004">
      <c r="A33" s="10" t="s">
        <v>46</v>
      </c>
      <c r="B33" s="13"/>
      <c r="C33" s="22"/>
      <c r="D33" s="22"/>
      <c r="E33" s="22"/>
      <c r="F33" s="22"/>
      <c r="G33" s="22"/>
      <c r="H33" s="13"/>
      <c r="I33" s="13"/>
      <c r="J33" s="22" t="s">
        <v>109</v>
      </c>
      <c r="K33" s="22"/>
      <c r="L33" s="22"/>
      <c r="M33" s="22"/>
      <c r="N33" s="22"/>
      <c r="O33" s="13"/>
      <c r="P33" s="13"/>
      <c r="Q33" s="22"/>
      <c r="R33" s="22"/>
      <c r="S33" s="22"/>
      <c r="T33" s="22"/>
      <c r="U33" s="22"/>
      <c r="V33" s="13"/>
      <c r="W33" s="13"/>
      <c r="X33" s="22"/>
      <c r="Y33" s="22"/>
      <c r="Z33" s="22"/>
      <c r="AA33" s="22"/>
      <c r="AB33" s="22"/>
      <c r="AC33" s="13"/>
      <c r="AD33" s="13"/>
      <c r="AE33" s="22"/>
      <c r="AF33" s="8">
        <f t="shared" si="1"/>
        <v>0</v>
      </c>
      <c r="AG33" s="8">
        <f t="shared" si="2"/>
        <v>0</v>
      </c>
      <c r="AH33" s="8">
        <f t="shared" si="3"/>
        <v>0</v>
      </c>
      <c r="AI33" s="8">
        <f t="shared" si="4"/>
        <v>0</v>
      </c>
      <c r="AJ33" s="8">
        <f t="shared" si="5"/>
        <v>0</v>
      </c>
    </row>
    <row r="34" spans="1:36" ht="23.5" customHeight="1" x14ac:dyDescent="0.55000000000000004">
      <c r="A34" s="10" t="s">
        <v>53</v>
      </c>
      <c r="B34" s="13"/>
      <c r="C34" s="22"/>
      <c r="D34" s="22"/>
      <c r="E34" s="22"/>
      <c r="F34" s="22"/>
      <c r="G34" s="22"/>
      <c r="H34" s="13"/>
      <c r="I34" s="13"/>
      <c r="J34" s="22" t="s">
        <v>109</v>
      </c>
      <c r="K34" s="22"/>
      <c r="L34" s="22"/>
      <c r="M34" s="22"/>
      <c r="N34" s="22"/>
      <c r="O34" s="13"/>
      <c r="P34" s="13"/>
      <c r="Q34" s="22"/>
      <c r="R34" s="22"/>
      <c r="S34" s="22"/>
      <c r="T34" s="22"/>
      <c r="U34" s="22"/>
      <c r="V34" s="13"/>
      <c r="W34" s="13"/>
      <c r="X34" s="22"/>
      <c r="Y34" s="22"/>
      <c r="Z34" s="22"/>
      <c r="AA34" s="22"/>
      <c r="AB34" s="22"/>
      <c r="AC34" s="13"/>
      <c r="AD34" s="13"/>
      <c r="AE34" s="22"/>
      <c r="AF34" s="8">
        <f t="shared" si="1"/>
        <v>0</v>
      </c>
      <c r="AG34" s="8">
        <f t="shared" si="2"/>
        <v>0</v>
      </c>
      <c r="AH34" s="8">
        <f t="shared" si="3"/>
        <v>0</v>
      </c>
      <c r="AI34" s="8">
        <f t="shared" si="4"/>
        <v>0</v>
      </c>
      <c r="AJ34" s="8">
        <f t="shared" si="5"/>
        <v>0</v>
      </c>
    </row>
    <row r="35" spans="1:36" ht="23.5" customHeight="1" x14ac:dyDescent="0.55000000000000004">
      <c r="A35" s="10" t="s">
        <v>114</v>
      </c>
      <c r="B35" s="13"/>
      <c r="C35" s="22"/>
      <c r="D35" s="22"/>
      <c r="E35" s="22"/>
      <c r="F35" s="22"/>
      <c r="G35" s="22"/>
      <c r="H35" s="13"/>
      <c r="I35" s="13"/>
      <c r="J35" s="22" t="s">
        <v>109</v>
      </c>
      <c r="K35" s="22"/>
      <c r="L35" s="22"/>
      <c r="M35" s="22"/>
      <c r="N35" s="22"/>
      <c r="O35" s="13"/>
      <c r="P35" s="13"/>
      <c r="Q35" s="22"/>
      <c r="R35" s="22"/>
      <c r="S35" s="22"/>
      <c r="T35" s="22"/>
      <c r="U35" s="22"/>
      <c r="V35" s="13"/>
      <c r="W35" s="13"/>
      <c r="X35" s="22"/>
      <c r="Y35" s="22"/>
      <c r="Z35" s="22"/>
      <c r="AA35" s="22"/>
      <c r="AB35" s="22"/>
      <c r="AC35" s="13"/>
      <c r="AD35" s="13"/>
      <c r="AE35" s="22"/>
      <c r="AF35" s="8">
        <f t="shared" si="1"/>
        <v>0</v>
      </c>
      <c r="AG35" s="8">
        <f t="shared" si="2"/>
        <v>0</v>
      </c>
      <c r="AH35" s="8">
        <f t="shared" si="3"/>
        <v>0</v>
      </c>
      <c r="AI35" s="8">
        <f t="shared" si="4"/>
        <v>0</v>
      </c>
      <c r="AJ35" s="8">
        <f t="shared" si="5"/>
        <v>0</v>
      </c>
    </row>
    <row r="36" spans="1:36" ht="15.5" customHeight="1" x14ac:dyDescent="0.35">
      <c r="B36" s="41"/>
      <c r="C36" s="41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">
        <f t="shared" si="1"/>
        <v>0</v>
      </c>
      <c r="AG36" s="4">
        <f t="shared" si="2"/>
        <v>0</v>
      </c>
      <c r="AH36" s="4">
        <f t="shared" si="3"/>
        <v>0</v>
      </c>
      <c r="AI36" s="5">
        <f t="shared" si="4"/>
        <v>0</v>
      </c>
      <c r="AJ36" s="4">
        <f t="shared" si="5"/>
        <v>0</v>
      </c>
    </row>
    <row r="37" spans="1:36" ht="15.5" customHeight="1" x14ac:dyDescent="0.35">
      <c r="B37" s="41"/>
      <c r="C37" s="41"/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">
        <f t="shared" si="1"/>
        <v>0</v>
      </c>
      <c r="AG37" s="4">
        <f t="shared" si="2"/>
        <v>0</v>
      </c>
      <c r="AH37" s="4">
        <f t="shared" si="3"/>
        <v>0</v>
      </c>
      <c r="AI37" s="5">
        <f t="shared" si="4"/>
        <v>0</v>
      </c>
      <c r="AJ37" s="6">
        <f t="shared" si="5"/>
        <v>0</v>
      </c>
    </row>
  </sheetData>
  <mergeCells count="9">
    <mergeCell ref="AL3:AL4"/>
    <mergeCell ref="AM3:AM4"/>
    <mergeCell ref="A1:AJ2"/>
    <mergeCell ref="A3:A4"/>
    <mergeCell ref="AF3:AF4"/>
    <mergeCell ref="AG3:AG4"/>
    <mergeCell ref="AH3:AH4"/>
    <mergeCell ref="AI3:AI4"/>
    <mergeCell ref="AJ3:AJ4"/>
  </mergeCells>
  <conditionalFormatting sqref="B5:AE37">
    <cfRule type="cellIs" dxfId="10" priority="2" operator="equal">
      <formula>"U"</formula>
    </cfRule>
    <cfRule type="cellIs" dxfId="9" priority="3" operator="equal">
      <formula>"M"</formula>
    </cfRule>
    <cfRule type="beginsWith" dxfId="8" priority="4" operator="beginsWith" text="S">
      <formula>LEFT(B5,1)="S"</formula>
    </cfRule>
    <cfRule type="beginsWith" dxfId="7" priority="5" operator="beginsWith" text="V">
      <formula>LEFT(B5,1)="V"</formula>
    </cfRule>
  </conditionalFormatting>
  <conditionalFormatting sqref="AF5:AJ37">
    <cfRule type="cellIs" dxfId="6" priority="1" operator="equal">
      <formula>0</formula>
    </cfRule>
  </conditionalFormatting>
  <dataValidations count="1">
    <dataValidation type="list" allowBlank="1" showInputMessage="1" showErrorMessage="1" sqref="B5:AE37" xr:uid="{00000000-0002-0000-0D00-000000000000}">
      <formula1>$AM$5:$AM$12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412CAF-4DA4-4F6A-83D3-CC4F5F0B9104}">
  <sheetPr codeName="Sheet14"/>
  <dimension ref="A1:AP35"/>
  <sheetViews>
    <sheetView zoomScale="40" zoomScaleNormal="40" workbookViewId="0">
      <selection activeCell="P13" sqref="P13"/>
    </sheetView>
  </sheetViews>
  <sheetFormatPr defaultRowHeight="14.5" x14ac:dyDescent="0.35"/>
  <cols>
    <col min="1" max="1" width="33.81640625" customWidth="1"/>
    <col min="2" max="2" width="5.26953125" bestFit="1" customWidth="1"/>
    <col min="3" max="32" width="5.7265625" customWidth="1"/>
    <col min="33" max="33" width="17.453125" customWidth="1"/>
    <col min="34" max="37" width="11.26953125" customWidth="1"/>
    <col min="38" max="38" width="9.1796875" customWidth="1"/>
    <col min="39" max="39" width="29.26953125" bestFit="1" customWidth="1"/>
  </cols>
  <sheetData>
    <row r="1" spans="1:42" s="3" customFormat="1" ht="25.15" customHeight="1" x14ac:dyDescent="0.35">
      <c r="A1" s="67" t="s">
        <v>128</v>
      </c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2"/>
      <c r="AM1" s="2"/>
      <c r="AN1" s="2"/>
      <c r="AO1" s="2"/>
      <c r="AP1" s="2"/>
    </row>
    <row r="2" spans="1:42" s="3" customFormat="1" ht="12.4" customHeight="1" x14ac:dyDescent="0.35">
      <c r="A2" s="68"/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  <c r="AA2" s="68"/>
      <c r="AB2" s="68"/>
      <c r="AC2" s="68"/>
      <c r="AD2" s="68"/>
      <c r="AE2" s="68"/>
      <c r="AF2" s="68"/>
      <c r="AG2" s="68"/>
      <c r="AH2" s="68"/>
      <c r="AI2" s="68"/>
      <c r="AJ2" s="68"/>
      <c r="AK2" s="68"/>
      <c r="AL2" s="2"/>
      <c r="AM2" s="2"/>
      <c r="AN2" s="2"/>
      <c r="AO2" s="2"/>
      <c r="AP2" s="2"/>
    </row>
    <row r="3" spans="1:42" s="3" customFormat="1" ht="25.15" customHeight="1" x14ac:dyDescent="0.35">
      <c r="A3" s="77" t="s">
        <v>119</v>
      </c>
      <c r="B3" s="38" t="str">
        <f>IF(B4="","",INDEX({"Sun";"Mon";"Tue";"Wed";"Thu";"Fri";"Sat"},WEEKDAY(B4,1)))</f>
        <v>Tue</v>
      </c>
      <c r="C3" s="38" t="str">
        <f>IF(C4="","",INDEX({"Sun";"Mon";"Tue";"Wed";"Thu";"Fri";"Sat"},WEEKDAY(C4,1)))</f>
        <v>Wed</v>
      </c>
      <c r="D3" s="38" t="str">
        <f>IF(D4="","",INDEX({"Sun";"Mon";"Tue";"Wed";"Thu";"Fri";"Sat"},WEEKDAY(D4,1)))</f>
        <v>Thu</v>
      </c>
      <c r="E3" s="38" t="str">
        <f>IF(E4="","",INDEX({"Sun";"Mon";"Tue";"Wed";"Thu";"Fri";"Sat"},WEEKDAY(E4,1)))</f>
        <v>Fri</v>
      </c>
      <c r="F3" s="38" t="str">
        <f>IF(F4="","",INDEX({"Sun";"Mon";"Tue";"Wed";"Thu";"Fri";"Sat"},WEEKDAY(F4,1)))</f>
        <v>Sat</v>
      </c>
      <c r="G3" s="38" t="str">
        <f>IF(G4="","",INDEX({"Sun";"Mon";"Tue";"Wed";"Thu";"Fri";"Sat"},WEEKDAY(G4,1)))</f>
        <v>Sun</v>
      </c>
      <c r="H3" s="38" t="str">
        <f>IF(H4="","",INDEX({"Sun";"Mon";"Tue";"Wed";"Thu";"Fri";"Sat"},WEEKDAY(H4,1)))</f>
        <v>Mon</v>
      </c>
      <c r="I3" s="38" t="str">
        <f>IF(I4="","",INDEX({"Sun";"Mon";"Tue";"Wed";"Thu";"Fri";"Sat"},WEEKDAY(I4,1)))</f>
        <v>Tue</v>
      </c>
      <c r="J3" s="38" t="str">
        <f>IF(J4="","",INDEX({"Sun";"Mon";"Tue";"Wed";"Thu";"Fri";"Sat"},WEEKDAY(J4,1)))</f>
        <v>Wed</v>
      </c>
      <c r="K3" s="38" t="str">
        <f>IF(K4="","",INDEX({"Sun";"Mon";"Tue";"Wed";"Thu";"Fri";"Sat"},WEEKDAY(K4,1)))</f>
        <v>Thu</v>
      </c>
      <c r="L3" s="38" t="str">
        <f>IF(L4="","",INDEX({"Sun";"Mon";"Tue";"Wed";"Thu";"Fri";"Sat"},WEEKDAY(L4,1)))</f>
        <v>Fri</v>
      </c>
      <c r="M3" s="38" t="str">
        <f>IF(M4="","",INDEX({"Sun";"Mon";"Tue";"Wed";"Thu";"Fri";"Sat"},WEEKDAY(M4,1)))</f>
        <v>Sat</v>
      </c>
      <c r="N3" s="38" t="str">
        <f>IF(N4="","",INDEX({"Sun";"Mon";"Tue";"Wed";"Thu";"Fri";"Sat"},WEEKDAY(N4,1)))</f>
        <v>Sun</v>
      </c>
      <c r="O3" s="38" t="str">
        <f>IF(O4="","",INDEX({"Sun";"Mon";"Tue";"Wed";"Thu";"Fri";"Sat"},WEEKDAY(O4,1)))</f>
        <v>Mon</v>
      </c>
      <c r="P3" s="38" t="str">
        <f>IF(P4="","",INDEX({"Sun";"Mon";"Tue";"Wed";"Thu";"Fri";"Sat"},WEEKDAY(P4,1)))</f>
        <v>Tue</v>
      </c>
      <c r="Q3" s="38" t="str">
        <f>IF(Q4="","",INDEX({"Sun";"Mon";"Tue";"Wed";"Thu";"Fri";"Sat"},WEEKDAY(Q4,1)))</f>
        <v>Wed</v>
      </c>
      <c r="R3" s="38" t="str">
        <f>IF(R4="","",INDEX({"Sun";"Mon";"Tue";"Wed";"Thu";"Fri";"Sat"},WEEKDAY(R4,1)))</f>
        <v>Thu</v>
      </c>
      <c r="S3" s="38" t="str">
        <f>IF(S4="","",INDEX({"Sun";"Mon";"Tue";"Wed";"Thu";"Fri";"Sat"},WEEKDAY(S4,1)))</f>
        <v>Fri</v>
      </c>
      <c r="T3" s="38" t="str">
        <f>IF(T4="","",INDEX({"Sun";"Mon";"Tue";"Wed";"Thu";"Fri";"Sat"},WEEKDAY(T4,1)))</f>
        <v>Sat</v>
      </c>
      <c r="U3" s="38" t="str">
        <f>IF(U4="","",INDEX({"Sun";"Mon";"Tue";"Wed";"Thu";"Fri";"Sat"},WEEKDAY(U4,1)))</f>
        <v>Sun</v>
      </c>
      <c r="V3" s="38" t="str">
        <f>IF(V4="","",INDEX({"Sun";"Mon";"Tue";"Wed";"Thu";"Fri";"Sat"},WEEKDAY(V4,1)))</f>
        <v>Mon</v>
      </c>
      <c r="W3" s="38" t="str">
        <f>IF(W4="","",INDEX({"Sun";"Mon";"Tue";"Wed";"Thu";"Fri";"Sat"},WEEKDAY(W4,1)))</f>
        <v>Tue</v>
      </c>
      <c r="X3" s="38" t="str">
        <f>IF(X4="","",INDEX({"Sun";"Mon";"Tue";"Wed";"Thu";"Fri";"Sat"},WEEKDAY(X4,1)))</f>
        <v>Wed</v>
      </c>
      <c r="Y3" s="38" t="str">
        <f>IF(Y4="","",INDEX({"Sun";"Mon";"Tue";"Wed";"Thu";"Fri";"Sat"},WEEKDAY(Y4,1)))</f>
        <v>Thu</v>
      </c>
      <c r="Z3" s="38" t="str">
        <f>IF(Z4="","",INDEX({"Sun";"Mon";"Tue";"Wed";"Thu";"Fri";"Sat"},WEEKDAY(Z4,1)))</f>
        <v>Fri</v>
      </c>
      <c r="AA3" s="38" t="str">
        <f>IF(AA4="","",INDEX({"Sun";"Mon";"Tue";"Wed";"Thu";"Fri";"Sat"},WEEKDAY(AA4,1)))</f>
        <v>Sat</v>
      </c>
      <c r="AB3" s="38" t="str">
        <f>IF(AB4="","",INDEX({"Sun";"Mon";"Tue";"Wed";"Thu";"Fri";"Sat"},WEEKDAY(AB4,1)))</f>
        <v>Sun</v>
      </c>
      <c r="AC3" s="38" t="str">
        <f>IF(AC4="","",INDEX({"Sun";"Mon";"Tue";"Wed";"Thu";"Fri";"Sat"},WEEKDAY(AC4,1)))</f>
        <v>Mon</v>
      </c>
      <c r="AD3" s="38" t="str">
        <f>IF(AD4="","",INDEX({"Sun";"Mon";"Tue";"Wed";"Thu";"Fri";"Sat"},WEEKDAY(AD4,1)))</f>
        <v>Tue</v>
      </c>
      <c r="AE3" s="38" t="str">
        <f>IF(AE4="","",INDEX({"Sun";"Mon";"Tue";"Wed";"Thu";"Fri";"Sat"},WEEKDAY(AE4,1)))</f>
        <v>Wed</v>
      </c>
      <c r="AF3" s="38" t="str">
        <f>IF(AF4="","",INDEX({"Sun";"Mon";"Tue";"Wed";"Thu";"Fri";"Sat"},WEEKDAY(AF4,1)))</f>
        <v>Thu</v>
      </c>
      <c r="AG3" s="82" t="s">
        <v>95</v>
      </c>
      <c r="AH3" s="71" t="s">
        <v>96</v>
      </c>
      <c r="AI3" s="83" t="s">
        <v>116</v>
      </c>
      <c r="AJ3" s="84" t="s">
        <v>98</v>
      </c>
      <c r="AK3" s="78" t="s">
        <v>99</v>
      </c>
      <c r="AL3" s="19"/>
      <c r="AM3" s="75" t="s">
        <v>117</v>
      </c>
      <c r="AN3" s="75" t="s">
        <v>101</v>
      </c>
      <c r="AO3" s="2"/>
      <c r="AP3" s="2"/>
    </row>
    <row r="4" spans="1:42" s="3" customFormat="1" ht="25.15" customHeight="1" x14ac:dyDescent="0.35">
      <c r="A4" s="77"/>
      <c r="B4" s="39">
        <f>DATE(Year!$B$2,12,1)</f>
        <v>46357</v>
      </c>
      <c r="C4" s="39">
        <f t="shared" ref="C4:AF4" si="0">B4+1</f>
        <v>46358</v>
      </c>
      <c r="D4" s="39">
        <f t="shared" si="0"/>
        <v>46359</v>
      </c>
      <c r="E4" s="39">
        <f t="shared" si="0"/>
        <v>46360</v>
      </c>
      <c r="F4" s="39">
        <f t="shared" si="0"/>
        <v>46361</v>
      </c>
      <c r="G4" s="39">
        <f t="shared" si="0"/>
        <v>46362</v>
      </c>
      <c r="H4" s="39">
        <f t="shared" si="0"/>
        <v>46363</v>
      </c>
      <c r="I4" s="39">
        <f t="shared" si="0"/>
        <v>46364</v>
      </c>
      <c r="J4" s="39">
        <f t="shared" si="0"/>
        <v>46365</v>
      </c>
      <c r="K4" s="39">
        <f t="shared" si="0"/>
        <v>46366</v>
      </c>
      <c r="L4" s="39">
        <f t="shared" si="0"/>
        <v>46367</v>
      </c>
      <c r="M4" s="39">
        <f t="shared" si="0"/>
        <v>46368</v>
      </c>
      <c r="N4" s="39">
        <f t="shared" si="0"/>
        <v>46369</v>
      </c>
      <c r="O4" s="39">
        <f t="shared" si="0"/>
        <v>46370</v>
      </c>
      <c r="P4" s="39">
        <f t="shared" si="0"/>
        <v>46371</v>
      </c>
      <c r="Q4" s="39">
        <f t="shared" si="0"/>
        <v>46372</v>
      </c>
      <c r="R4" s="39">
        <f t="shared" si="0"/>
        <v>46373</v>
      </c>
      <c r="S4" s="39">
        <f t="shared" si="0"/>
        <v>46374</v>
      </c>
      <c r="T4" s="39">
        <f t="shared" si="0"/>
        <v>46375</v>
      </c>
      <c r="U4" s="39">
        <f t="shared" si="0"/>
        <v>46376</v>
      </c>
      <c r="V4" s="39">
        <f t="shared" si="0"/>
        <v>46377</v>
      </c>
      <c r="W4" s="39">
        <f t="shared" si="0"/>
        <v>46378</v>
      </c>
      <c r="X4" s="39">
        <f t="shared" si="0"/>
        <v>46379</v>
      </c>
      <c r="Y4" s="39">
        <f t="shared" si="0"/>
        <v>46380</v>
      </c>
      <c r="Z4" s="39">
        <f t="shared" si="0"/>
        <v>46381</v>
      </c>
      <c r="AA4" s="39">
        <f t="shared" si="0"/>
        <v>46382</v>
      </c>
      <c r="AB4" s="39">
        <f t="shared" si="0"/>
        <v>46383</v>
      </c>
      <c r="AC4" s="39">
        <f t="shared" si="0"/>
        <v>46384</v>
      </c>
      <c r="AD4" s="39">
        <f t="shared" si="0"/>
        <v>46385</v>
      </c>
      <c r="AE4" s="39">
        <f t="shared" si="0"/>
        <v>46386</v>
      </c>
      <c r="AF4" s="39">
        <f t="shared" si="0"/>
        <v>46387</v>
      </c>
      <c r="AG4" s="82"/>
      <c r="AH4" s="71"/>
      <c r="AI4" s="83"/>
      <c r="AJ4" s="84"/>
      <c r="AK4" s="78"/>
      <c r="AL4" s="19"/>
      <c r="AM4" s="76"/>
      <c r="AN4" s="76"/>
      <c r="AO4" s="2"/>
      <c r="AP4" s="2"/>
    </row>
    <row r="5" spans="1:42" s="3" customFormat="1" ht="24.75" customHeight="1" x14ac:dyDescent="0.55000000000000004">
      <c r="A5" s="9" t="s">
        <v>13</v>
      </c>
      <c r="B5" s="22"/>
      <c r="C5" s="22"/>
      <c r="D5" s="22"/>
      <c r="E5" s="22"/>
      <c r="F5" s="13"/>
      <c r="G5" s="13"/>
      <c r="H5" s="22"/>
      <c r="I5" s="22"/>
      <c r="J5" s="22"/>
      <c r="K5" s="22"/>
      <c r="L5" s="22"/>
      <c r="M5" s="13"/>
      <c r="N5" s="13"/>
      <c r="O5" s="22"/>
      <c r="P5" s="22"/>
      <c r="Q5" s="22"/>
      <c r="R5" s="22"/>
      <c r="S5" s="22"/>
      <c r="T5" s="13"/>
      <c r="U5" s="13"/>
      <c r="V5" s="22"/>
      <c r="W5" s="22"/>
      <c r="X5" s="22"/>
      <c r="Y5" s="22"/>
      <c r="Z5" s="22" t="s">
        <v>109</v>
      </c>
      <c r="AA5" s="13"/>
      <c r="AB5" s="13"/>
      <c r="AC5" s="22" t="s">
        <v>109</v>
      </c>
      <c r="AD5" s="22" t="s">
        <v>109</v>
      </c>
      <c r="AE5" s="22" t="s">
        <v>109</v>
      </c>
      <c r="AF5" s="22" t="s">
        <v>109</v>
      </c>
      <c r="AG5" s="8">
        <f t="shared" ref="AG5:AG35" si="1">SUM(AH5:AK5)</f>
        <v>0</v>
      </c>
      <c r="AH5" s="8">
        <f t="shared" ref="AH5:AH35" si="2">COUNTIF(B5:AF5,"V")+COUNTIF(B5:AF5,"V1")/2+COUNTIF(B5:AF5,"V2")/2</f>
        <v>0</v>
      </c>
      <c r="AI5" s="8">
        <f t="shared" ref="AI5:AI35" si="3">COUNTIF(B5:AF5,"S")+COUNTIF(B5:AF5,"S1")/2+COUNTIF(B5:AF5,"S2")/2</f>
        <v>0</v>
      </c>
      <c r="AJ5" s="8">
        <f t="shared" ref="AJ5:AJ35" si="4">COUNTIF(B5:AF5,"M")</f>
        <v>0</v>
      </c>
      <c r="AK5" s="8">
        <f t="shared" ref="AK5:AK35" si="5">COUNTIF(B5:AF5,"U")</f>
        <v>0</v>
      </c>
      <c r="AL5" s="23"/>
      <c r="AM5" s="32" t="s">
        <v>14</v>
      </c>
      <c r="AN5" s="25" t="s">
        <v>102</v>
      </c>
      <c r="AO5" s="2"/>
      <c r="AP5" s="2"/>
    </row>
    <row r="6" spans="1:42" s="3" customFormat="1" ht="25.15" customHeight="1" x14ac:dyDescent="0.55000000000000004">
      <c r="A6" s="10" t="s">
        <v>34</v>
      </c>
      <c r="B6" s="22"/>
      <c r="C6" s="22"/>
      <c r="D6" s="22"/>
      <c r="E6" s="22"/>
      <c r="F6" s="13"/>
      <c r="G6" s="13"/>
      <c r="H6" s="22"/>
      <c r="I6" s="22"/>
      <c r="J6" s="22"/>
      <c r="K6" s="22"/>
      <c r="L6" s="22"/>
      <c r="M6" s="13"/>
      <c r="N6" s="13"/>
      <c r="O6" s="22"/>
      <c r="P6" s="22"/>
      <c r="Q6" s="22"/>
      <c r="R6" s="22"/>
      <c r="S6" s="22"/>
      <c r="T6" s="13"/>
      <c r="U6" s="13"/>
      <c r="V6" s="22"/>
      <c r="W6" s="22"/>
      <c r="X6" s="22"/>
      <c r="Y6" s="22"/>
      <c r="Z6" s="22" t="s">
        <v>109</v>
      </c>
      <c r="AA6" s="13"/>
      <c r="AB6" s="13"/>
      <c r="AC6" s="22" t="s">
        <v>109</v>
      </c>
      <c r="AD6" s="22" t="s">
        <v>109</v>
      </c>
      <c r="AE6" s="22" t="s">
        <v>109</v>
      </c>
      <c r="AF6" s="22" t="s">
        <v>109</v>
      </c>
      <c r="AG6" s="8">
        <f t="shared" si="1"/>
        <v>0</v>
      </c>
      <c r="AH6" s="8">
        <f t="shared" si="2"/>
        <v>0</v>
      </c>
      <c r="AI6" s="8">
        <f t="shared" si="3"/>
        <v>0</v>
      </c>
      <c r="AJ6" s="8">
        <f t="shared" si="4"/>
        <v>0</v>
      </c>
      <c r="AK6" s="8">
        <f t="shared" si="5"/>
        <v>0</v>
      </c>
      <c r="AL6" s="23"/>
      <c r="AM6" s="33" t="s">
        <v>103</v>
      </c>
      <c r="AN6" s="25" t="s">
        <v>104</v>
      </c>
      <c r="AO6" s="2"/>
      <c r="AP6" s="2"/>
    </row>
    <row r="7" spans="1:42" s="3" customFormat="1" ht="25.15" customHeight="1" x14ac:dyDescent="0.55000000000000004">
      <c r="A7" s="10" t="s">
        <v>16</v>
      </c>
      <c r="B7" s="22"/>
      <c r="C7" s="22"/>
      <c r="D7" s="22"/>
      <c r="E7" s="22"/>
      <c r="F7" s="13"/>
      <c r="G7" s="13"/>
      <c r="H7" s="22"/>
      <c r="I7" s="22"/>
      <c r="J7" s="22"/>
      <c r="K7" s="22"/>
      <c r="L7" s="22"/>
      <c r="M7" s="13"/>
      <c r="N7" s="13"/>
      <c r="O7" s="22"/>
      <c r="P7" s="22"/>
      <c r="Q7" s="22"/>
      <c r="R7" s="22"/>
      <c r="S7" s="22"/>
      <c r="T7" s="13"/>
      <c r="U7" s="13"/>
      <c r="V7" s="22"/>
      <c r="W7" s="22"/>
      <c r="X7" s="22"/>
      <c r="Y7" s="22"/>
      <c r="Z7" s="22" t="s">
        <v>109</v>
      </c>
      <c r="AA7" s="13"/>
      <c r="AB7" s="13"/>
      <c r="AC7" s="22" t="s">
        <v>109</v>
      </c>
      <c r="AD7" s="22" t="s">
        <v>109</v>
      </c>
      <c r="AE7" s="22" t="s">
        <v>109</v>
      </c>
      <c r="AF7" s="22" t="s">
        <v>109</v>
      </c>
      <c r="AG7" s="8">
        <f t="shared" si="1"/>
        <v>0</v>
      </c>
      <c r="AH7" s="8">
        <f t="shared" si="2"/>
        <v>0</v>
      </c>
      <c r="AI7" s="8">
        <f t="shared" si="3"/>
        <v>0</v>
      </c>
      <c r="AJ7" s="8">
        <f t="shared" si="4"/>
        <v>0</v>
      </c>
      <c r="AK7" s="8">
        <f t="shared" si="5"/>
        <v>0</v>
      </c>
      <c r="AL7" s="23"/>
      <c r="AM7" s="34" t="s">
        <v>22</v>
      </c>
      <c r="AN7" s="25" t="s">
        <v>105</v>
      </c>
      <c r="AO7" s="2"/>
      <c r="AP7" s="2"/>
    </row>
    <row r="8" spans="1:42" s="3" customFormat="1" ht="25.15" customHeight="1" x14ac:dyDescent="0.55000000000000004">
      <c r="A8" s="10" t="s">
        <v>37</v>
      </c>
      <c r="B8" s="22"/>
      <c r="C8" s="22"/>
      <c r="D8" s="22"/>
      <c r="E8" s="22"/>
      <c r="F8" s="13"/>
      <c r="G8" s="13"/>
      <c r="H8" s="22"/>
      <c r="I8" s="22"/>
      <c r="J8" s="22"/>
      <c r="K8" s="22"/>
      <c r="L8" s="22"/>
      <c r="M8" s="13"/>
      <c r="N8" s="13"/>
      <c r="O8" s="22"/>
      <c r="P8" s="22"/>
      <c r="Q8" s="22"/>
      <c r="R8" s="22"/>
      <c r="S8" s="22"/>
      <c r="T8" s="13"/>
      <c r="U8" s="13"/>
      <c r="V8" s="22"/>
      <c r="W8" s="22"/>
      <c r="X8" s="22"/>
      <c r="Y8" s="22"/>
      <c r="Z8" s="22" t="s">
        <v>109</v>
      </c>
      <c r="AA8" s="13"/>
      <c r="AB8" s="13"/>
      <c r="AC8" s="22" t="s">
        <v>109</v>
      </c>
      <c r="AD8" s="22" t="s">
        <v>109</v>
      </c>
      <c r="AE8" s="22" t="s">
        <v>109</v>
      </c>
      <c r="AF8" s="22" t="s">
        <v>109</v>
      </c>
      <c r="AG8" s="8">
        <f t="shared" si="1"/>
        <v>0</v>
      </c>
      <c r="AH8" s="8">
        <f t="shared" si="2"/>
        <v>0</v>
      </c>
      <c r="AI8" s="8">
        <f t="shared" si="3"/>
        <v>0</v>
      </c>
      <c r="AJ8" s="8">
        <f t="shared" si="4"/>
        <v>0</v>
      </c>
      <c r="AK8" s="8">
        <f t="shared" si="5"/>
        <v>0</v>
      </c>
      <c r="AL8" s="23"/>
      <c r="AM8" s="35" t="s">
        <v>106</v>
      </c>
      <c r="AN8" s="25" t="s">
        <v>107</v>
      </c>
      <c r="AO8" s="2"/>
      <c r="AP8" s="2"/>
    </row>
    <row r="9" spans="1:42" s="3" customFormat="1" ht="25.15" customHeight="1" x14ac:dyDescent="0.55000000000000004">
      <c r="A9" s="10" t="s">
        <v>33</v>
      </c>
      <c r="B9" s="22"/>
      <c r="C9" s="22"/>
      <c r="D9" s="22"/>
      <c r="E9" s="22"/>
      <c r="F9" s="13"/>
      <c r="G9" s="13"/>
      <c r="H9" s="22"/>
      <c r="I9" s="22"/>
      <c r="J9" s="22"/>
      <c r="K9" s="22"/>
      <c r="L9" s="22"/>
      <c r="M9" s="13"/>
      <c r="N9" s="13"/>
      <c r="O9" s="22"/>
      <c r="P9" s="22"/>
      <c r="Q9" s="22"/>
      <c r="R9" s="22"/>
      <c r="S9" s="22"/>
      <c r="T9" s="13"/>
      <c r="U9" s="13"/>
      <c r="V9" s="22"/>
      <c r="W9" s="22"/>
      <c r="X9" s="22"/>
      <c r="Y9" s="22"/>
      <c r="Z9" s="22" t="s">
        <v>109</v>
      </c>
      <c r="AA9" s="13"/>
      <c r="AB9" s="13"/>
      <c r="AC9" s="22" t="s">
        <v>109</v>
      </c>
      <c r="AD9" s="22" t="s">
        <v>109</v>
      </c>
      <c r="AE9" s="22" t="s">
        <v>109</v>
      </c>
      <c r="AF9" s="22" t="s">
        <v>109</v>
      </c>
      <c r="AG9" s="8">
        <f t="shared" si="1"/>
        <v>0</v>
      </c>
      <c r="AH9" s="8">
        <f t="shared" si="2"/>
        <v>0</v>
      </c>
      <c r="AI9" s="8">
        <f t="shared" si="3"/>
        <v>0</v>
      </c>
      <c r="AJ9" s="8">
        <f t="shared" si="4"/>
        <v>0</v>
      </c>
      <c r="AK9" s="8">
        <f t="shared" si="5"/>
        <v>0</v>
      </c>
      <c r="AL9" s="23"/>
      <c r="AM9" s="29" t="s">
        <v>108</v>
      </c>
      <c r="AN9" s="25" t="s">
        <v>109</v>
      </c>
      <c r="AO9" s="2"/>
      <c r="AP9" s="2"/>
    </row>
    <row r="10" spans="1:42" s="3" customFormat="1" ht="25.15" customHeight="1" x14ac:dyDescent="0.55000000000000004">
      <c r="A10" s="10" t="s">
        <v>41</v>
      </c>
      <c r="B10" s="22"/>
      <c r="C10" s="22"/>
      <c r="D10" s="22"/>
      <c r="E10" s="22"/>
      <c r="F10" s="13"/>
      <c r="G10" s="13"/>
      <c r="H10" s="22"/>
      <c r="I10" s="22"/>
      <c r="J10" s="22"/>
      <c r="K10" s="22"/>
      <c r="L10" s="22"/>
      <c r="M10" s="13"/>
      <c r="N10" s="13"/>
      <c r="O10" s="22"/>
      <c r="P10" s="22"/>
      <c r="Q10" s="22"/>
      <c r="R10" s="22"/>
      <c r="S10" s="22"/>
      <c r="T10" s="13"/>
      <c r="U10" s="13"/>
      <c r="V10" s="22"/>
      <c r="W10" s="22"/>
      <c r="X10" s="22"/>
      <c r="Y10" s="22"/>
      <c r="Z10" s="22" t="s">
        <v>109</v>
      </c>
      <c r="AA10" s="13"/>
      <c r="AB10" s="13"/>
      <c r="AC10" s="22" t="s">
        <v>109</v>
      </c>
      <c r="AD10" s="22" t="s">
        <v>109</v>
      </c>
      <c r="AE10" s="22" t="s">
        <v>109</v>
      </c>
      <c r="AF10" s="22" t="s">
        <v>109</v>
      </c>
      <c r="AG10" s="8">
        <f t="shared" si="1"/>
        <v>0</v>
      </c>
      <c r="AH10" s="8">
        <f t="shared" si="2"/>
        <v>0</v>
      </c>
      <c r="AI10" s="8">
        <f t="shared" si="3"/>
        <v>0</v>
      </c>
      <c r="AJ10" s="8">
        <f t="shared" si="4"/>
        <v>0</v>
      </c>
      <c r="AK10" s="8">
        <f t="shared" si="5"/>
        <v>0</v>
      </c>
      <c r="AL10" s="23"/>
      <c r="AM10" s="45" t="s">
        <v>99</v>
      </c>
      <c r="AN10" s="46" t="s">
        <v>110</v>
      </c>
      <c r="AO10" s="2"/>
      <c r="AP10" s="2"/>
    </row>
    <row r="11" spans="1:42" s="3" customFormat="1" ht="25.15" customHeight="1" x14ac:dyDescent="0.55000000000000004">
      <c r="A11" s="10" t="s">
        <v>39</v>
      </c>
      <c r="B11" s="22"/>
      <c r="C11" s="22"/>
      <c r="D11" s="22"/>
      <c r="E11" s="22"/>
      <c r="F11" s="13"/>
      <c r="G11" s="13"/>
      <c r="H11" s="22"/>
      <c r="I11" s="22"/>
      <c r="J11" s="22"/>
      <c r="K11" s="22"/>
      <c r="L11" s="22"/>
      <c r="M11" s="13"/>
      <c r="N11" s="13"/>
      <c r="O11" s="22"/>
      <c r="P11" s="22"/>
      <c r="Q11" s="22"/>
      <c r="R11" s="22"/>
      <c r="S11" s="22"/>
      <c r="T11" s="13"/>
      <c r="U11" s="13"/>
      <c r="V11" s="22"/>
      <c r="W11" s="22"/>
      <c r="X11" s="22"/>
      <c r="Y11" s="22"/>
      <c r="Z11" s="22" t="s">
        <v>109</v>
      </c>
      <c r="AA11" s="13"/>
      <c r="AB11" s="13"/>
      <c r="AC11" s="22" t="s">
        <v>109</v>
      </c>
      <c r="AD11" s="22" t="s">
        <v>109</v>
      </c>
      <c r="AE11" s="22" t="s">
        <v>109</v>
      </c>
      <c r="AF11" s="22" t="s">
        <v>109</v>
      </c>
      <c r="AG11" s="8">
        <f t="shared" si="1"/>
        <v>0</v>
      </c>
      <c r="AH11" s="8">
        <f t="shared" si="2"/>
        <v>0</v>
      </c>
      <c r="AI11" s="8">
        <f t="shared" si="3"/>
        <v>0</v>
      </c>
      <c r="AJ11" s="8">
        <f t="shared" si="4"/>
        <v>0</v>
      </c>
      <c r="AK11" s="8">
        <f t="shared" si="5"/>
        <v>0</v>
      </c>
      <c r="AL11" s="23"/>
      <c r="AM11" s="36"/>
      <c r="AN11" s="47"/>
      <c r="AO11" s="2"/>
      <c r="AP11" s="2"/>
    </row>
    <row r="12" spans="1:42" s="3" customFormat="1" ht="25.15" customHeight="1" x14ac:dyDescent="0.55000000000000004">
      <c r="A12" s="10" t="s">
        <v>42</v>
      </c>
      <c r="B12" s="22"/>
      <c r="C12" s="22"/>
      <c r="D12" s="22"/>
      <c r="E12" s="22"/>
      <c r="F12" s="13"/>
      <c r="G12" s="13"/>
      <c r="H12" s="22"/>
      <c r="I12" s="22"/>
      <c r="J12" s="22"/>
      <c r="K12" s="22"/>
      <c r="L12" s="22"/>
      <c r="M12" s="13"/>
      <c r="N12" s="13"/>
      <c r="O12" s="22"/>
      <c r="P12" s="22"/>
      <c r="Q12" s="22"/>
      <c r="R12" s="22"/>
      <c r="S12" s="22"/>
      <c r="T12" s="13"/>
      <c r="U12" s="13"/>
      <c r="V12" s="22"/>
      <c r="W12" s="22"/>
      <c r="X12" s="22"/>
      <c r="Y12" s="22"/>
      <c r="Z12" s="22" t="s">
        <v>109</v>
      </c>
      <c r="AA12" s="13"/>
      <c r="AB12" s="13"/>
      <c r="AC12" s="22" t="s">
        <v>109</v>
      </c>
      <c r="AD12" s="22" t="s">
        <v>109</v>
      </c>
      <c r="AE12" s="22" t="s">
        <v>109</v>
      </c>
      <c r="AF12" s="22" t="s">
        <v>109</v>
      </c>
      <c r="AG12" s="8">
        <f t="shared" si="1"/>
        <v>0</v>
      </c>
      <c r="AH12" s="8">
        <f t="shared" si="2"/>
        <v>0</v>
      </c>
      <c r="AI12" s="8">
        <f t="shared" si="3"/>
        <v>0</v>
      </c>
      <c r="AJ12" s="8">
        <f t="shared" si="4"/>
        <v>0</v>
      </c>
      <c r="AK12" s="8">
        <f t="shared" si="5"/>
        <v>0</v>
      </c>
      <c r="AL12" s="23"/>
      <c r="AM12" s="36"/>
      <c r="AN12" s="47"/>
      <c r="AO12" s="2"/>
      <c r="AP12" s="2"/>
    </row>
    <row r="13" spans="1:42" s="3" customFormat="1" ht="25.15" customHeight="1" x14ac:dyDescent="0.55000000000000004">
      <c r="A13" s="10" t="s">
        <v>31</v>
      </c>
      <c r="B13" s="22"/>
      <c r="C13" s="22"/>
      <c r="D13" s="22"/>
      <c r="E13" s="22"/>
      <c r="F13" s="13"/>
      <c r="G13" s="13"/>
      <c r="H13" s="22"/>
      <c r="I13" s="22"/>
      <c r="J13" s="22"/>
      <c r="K13" s="22"/>
      <c r="L13" s="22"/>
      <c r="M13" s="13"/>
      <c r="N13" s="13"/>
      <c r="O13" s="22"/>
      <c r="P13" s="22"/>
      <c r="Q13" s="22"/>
      <c r="R13" s="22"/>
      <c r="S13" s="22"/>
      <c r="T13" s="13"/>
      <c r="U13" s="13"/>
      <c r="V13" s="22"/>
      <c r="W13" s="22"/>
      <c r="X13" s="22"/>
      <c r="Y13" s="22"/>
      <c r="Z13" s="22" t="s">
        <v>109</v>
      </c>
      <c r="AA13" s="13"/>
      <c r="AB13" s="13"/>
      <c r="AC13" s="22" t="s">
        <v>109</v>
      </c>
      <c r="AD13" s="22" t="s">
        <v>109</v>
      </c>
      <c r="AE13" s="22" t="s">
        <v>109</v>
      </c>
      <c r="AF13" s="22" t="s">
        <v>109</v>
      </c>
      <c r="AG13" s="8">
        <f t="shared" si="1"/>
        <v>0</v>
      </c>
      <c r="AH13" s="8">
        <f t="shared" si="2"/>
        <v>0</v>
      </c>
      <c r="AI13" s="8">
        <f t="shared" si="3"/>
        <v>0</v>
      </c>
      <c r="AJ13" s="8">
        <f t="shared" si="4"/>
        <v>0</v>
      </c>
      <c r="AK13" s="8">
        <f t="shared" si="5"/>
        <v>0</v>
      </c>
      <c r="AL13" s="23"/>
      <c r="AM13" s="2"/>
      <c r="AN13" s="2"/>
      <c r="AO13" s="2"/>
      <c r="AP13" s="2"/>
    </row>
    <row r="14" spans="1:42" s="3" customFormat="1" ht="25.15" customHeight="1" x14ac:dyDescent="0.55000000000000004">
      <c r="A14" s="10" t="s">
        <v>36</v>
      </c>
      <c r="B14" s="22"/>
      <c r="C14" s="22"/>
      <c r="D14" s="22"/>
      <c r="E14" s="22"/>
      <c r="F14" s="13"/>
      <c r="G14" s="13"/>
      <c r="H14" s="22"/>
      <c r="I14" s="22"/>
      <c r="J14" s="22"/>
      <c r="K14" s="22"/>
      <c r="L14" s="22"/>
      <c r="M14" s="13"/>
      <c r="N14" s="13"/>
      <c r="O14" s="22"/>
      <c r="P14" s="22"/>
      <c r="Q14" s="22"/>
      <c r="R14" s="22"/>
      <c r="S14" s="22"/>
      <c r="T14" s="13"/>
      <c r="U14" s="13"/>
      <c r="V14" s="22"/>
      <c r="W14" s="22"/>
      <c r="X14" s="22"/>
      <c r="Y14" s="22"/>
      <c r="Z14" s="22" t="s">
        <v>109</v>
      </c>
      <c r="AA14" s="13"/>
      <c r="AB14" s="13"/>
      <c r="AC14" s="22" t="s">
        <v>109</v>
      </c>
      <c r="AD14" s="22" t="s">
        <v>109</v>
      </c>
      <c r="AE14" s="22" t="s">
        <v>109</v>
      </c>
      <c r="AF14" s="22" t="s">
        <v>109</v>
      </c>
      <c r="AG14" s="8">
        <f t="shared" si="1"/>
        <v>0</v>
      </c>
      <c r="AH14" s="8">
        <f t="shared" si="2"/>
        <v>0</v>
      </c>
      <c r="AI14" s="8">
        <f t="shared" si="3"/>
        <v>0</v>
      </c>
      <c r="AJ14" s="8">
        <f t="shared" si="4"/>
        <v>0</v>
      </c>
      <c r="AK14" s="8">
        <f t="shared" si="5"/>
        <v>0</v>
      </c>
      <c r="AL14" s="23"/>
      <c r="AM14" s="2"/>
      <c r="AN14" s="2"/>
      <c r="AO14" s="2"/>
      <c r="AP14" s="2"/>
    </row>
    <row r="15" spans="1:42" s="3" customFormat="1" ht="25.15" customHeight="1" x14ac:dyDescent="0.55000000000000004">
      <c r="A15" s="10" t="s">
        <v>32</v>
      </c>
      <c r="B15" s="22"/>
      <c r="C15" s="22"/>
      <c r="D15" s="22"/>
      <c r="E15" s="22"/>
      <c r="F15" s="13"/>
      <c r="G15" s="13"/>
      <c r="H15" s="22"/>
      <c r="I15" s="22"/>
      <c r="J15" s="22"/>
      <c r="K15" s="22"/>
      <c r="L15" s="22"/>
      <c r="M15" s="13"/>
      <c r="N15" s="13"/>
      <c r="O15" s="22"/>
      <c r="P15" s="22"/>
      <c r="Q15" s="22"/>
      <c r="R15" s="22"/>
      <c r="S15" s="22"/>
      <c r="T15" s="13"/>
      <c r="U15" s="13"/>
      <c r="V15" s="22"/>
      <c r="W15" s="22"/>
      <c r="X15" s="22"/>
      <c r="Y15" s="22"/>
      <c r="Z15" s="22" t="s">
        <v>109</v>
      </c>
      <c r="AA15" s="13"/>
      <c r="AB15" s="13"/>
      <c r="AC15" s="22" t="s">
        <v>109</v>
      </c>
      <c r="AD15" s="22" t="s">
        <v>109</v>
      </c>
      <c r="AE15" s="22" t="s">
        <v>109</v>
      </c>
      <c r="AF15" s="22" t="s">
        <v>109</v>
      </c>
      <c r="AG15" s="8">
        <f t="shared" si="1"/>
        <v>0</v>
      </c>
      <c r="AH15" s="8">
        <f t="shared" si="2"/>
        <v>0</v>
      </c>
      <c r="AI15" s="8">
        <f t="shared" si="3"/>
        <v>0</v>
      </c>
      <c r="AJ15" s="8">
        <f t="shared" si="4"/>
        <v>0</v>
      </c>
      <c r="AK15" s="8">
        <f t="shared" si="5"/>
        <v>0</v>
      </c>
      <c r="AL15" s="2"/>
      <c r="AM15" s="2"/>
      <c r="AN15" s="2"/>
      <c r="AO15" s="2"/>
      <c r="AP15" s="2"/>
    </row>
    <row r="16" spans="1:42" ht="23.5" customHeight="1" x14ac:dyDescent="0.55000000000000004">
      <c r="A16" s="10" t="s">
        <v>28</v>
      </c>
      <c r="B16" s="22"/>
      <c r="C16" s="22"/>
      <c r="D16" s="22"/>
      <c r="E16" s="22"/>
      <c r="F16" s="13"/>
      <c r="G16" s="13"/>
      <c r="H16" s="22"/>
      <c r="I16" s="22"/>
      <c r="J16" s="22"/>
      <c r="K16" s="22"/>
      <c r="L16" s="22"/>
      <c r="M16" s="13"/>
      <c r="N16" s="13"/>
      <c r="O16" s="22"/>
      <c r="P16" s="22"/>
      <c r="Q16" s="22"/>
      <c r="R16" s="22"/>
      <c r="S16" s="22"/>
      <c r="T16" s="13"/>
      <c r="U16" s="13"/>
      <c r="V16" s="22"/>
      <c r="W16" s="22"/>
      <c r="X16" s="22"/>
      <c r="Y16" s="22"/>
      <c r="Z16" s="22" t="s">
        <v>109</v>
      </c>
      <c r="AA16" s="13"/>
      <c r="AB16" s="13"/>
      <c r="AC16" s="22" t="s">
        <v>109</v>
      </c>
      <c r="AD16" s="22" t="s">
        <v>109</v>
      </c>
      <c r="AE16" s="22" t="s">
        <v>109</v>
      </c>
      <c r="AF16" s="22" t="s">
        <v>109</v>
      </c>
      <c r="AG16" s="8">
        <f t="shared" si="1"/>
        <v>0</v>
      </c>
      <c r="AH16" s="8">
        <f t="shared" si="2"/>
        <v>0</v>
      </c>
      <c r="AI16" s="8">
        <f t="shared" si="3"/>
        <v>0</v>
      </c>
      <c r="AJ16" s="8">
        <f t="shared" si="4"/>
        <v>0</v>
      </c>
      <c r="AK16" s="8">
        <f t="shared" si="5"/>
        <v>0</v>
      </c>
      <c r="AO16" s="2"/>
      <c r="AP16" s="2"/>
    </row>
    <row r="17" spans="1:37" ht="23.5" customHeight="1" x14ac:dyDescent="0.55000000000000004">
      <c r="A17" s="10" t="s">
        <v>111</v>
      </c>
      <c r="B17" s="22"/>
      <c r="C17" s="22"/>
      <c r="D17" s="22"/>
      <c r="E17" s="22"/>
      <c r="F17" s="13"/>
      <c r="G17" s="13"/>
      <c r="H17" s="22"/>
      <c r="I17" s="22"/>
      <c r="J17" s="22"/>
      <c r="K17" s="22"/>
      <c r="L17" s="22"/>
      <c r="M17" s="13"/>
      <c r="N17" s="13"/>
      <c r="O17" s="22"/>
      <c r="P17" s="22"/>
      <c r="Q17" s="22"/>
      <c r="R17" s="22"/>
      <c r="S17" s="22"/>
      <c r="T17" s="13"/>
      <c r="U17" s="13"/>
      <c r="V17" s="22"/>
      <c r="W17" s="22"/>
      <c r="X17" s="22"/>
      <c r="Y17" s="22"/>
      <c r="Z17" s="22" t="s">
        <v>109</v>
      </c>
      <c r="AA17" s="13"/>
      <c r="AB17" s="13"/>
      <c r="AC17" s="22" t="s">
        <v>109</v>
      </c>
      <c r="AD17" s="22" t="s">
        <v>109</v>
      </c>
      <c r="AE17" s="22" t="s">
        <v>109</v>
      </c>
      <c r="AF17" s="22" t="s">
        <v>109</v>
      </c>
      <c r="AG17" s="8">
        <f t="shared" si="1"/>
        <v>0</v>
      </c>
      <c r="AH17" s="8">
        <f t="shared" si="2"/>
        <v>0</v>
      </c>
      <c r="AI17" s="8">
        <f t="shared" si="3"/>
        <v>0</v>
      </c>
      <c r="AJ17" s="8">
        <f t="shared" si="4"/>
        <v>0</v>
      </c>
      <c r="AK17" s="8">
        <f t="shared" si="5"/>
        <v>0</v>
      </c>
    </row>
    <row r="18" spans="1:37" ht="23.5" customHeight="1" x14ac:dyDescent="0.55000000000000004">
      <c r="A18" s="10" t="s">
        <v>21</v>
      </c>
      <c r="B18" s="22"/>
      <c r="C18" s="22"/>
      <c r="D18" s="22"/>
      <c r="E18" s="22"/>
      <c r="F18" s="13"/>
      <c r="G18" s="13"/>
      <c r="H18" s="22"/>
      <c r="I18" s="22"/>
      <c r="J18" s="22"/>
      <c r="K18" s="22"/>
      <c r="L18" s="22"/>
      <c r="M18" s="13"/>
      <c r="N18" s="13"/>
      <c r="O18" s="22"/>
      <c r="P18" s="22"/>
      <c r="Q18" s="22"/>
      <c r="R18" s="22"/>
      <c r="S18" s="22"/>
      <c r="T18" s="13"/>
      <c r="U18" s="13"/>
      <c r="V18" s="22"/>
      <c r="W18" s="22"/>
      <c r="X18" s="22"/>
      <c r="Y18" s="22"/>
      <c r="Z18" s="22" t="s">
        <v>109</v>
      </c>
      <c r="AA18" s="13"/>
      <c r="AB18" s="13"/>
      <c r="AC18" s="22" t="s">
        <v>109</v>
      </c>
      <c r="AD18" s="22" t="s">
        <v>109</v>
      </c>
      <c r="AE18" s="22" t="s">
        <v>109</v>
      </c>
      <c r="AF18" s="22" t="s">
        <v>109</v>
      </c>
      <c r="AG18" s="8">
        <f t="shared" si="1"/>
        <v>0</v>
      </c>
      <c r="AH18" s="8">
        <f t="shared" si="2"/>
        <v>0</v>
      </c>
      <c r="AI18" s="8">
        <f t="shared" si="3"/>
        <v>0</v>
      </c>
      <c r="AJ18" s="8">
        <f t="shared" si="4"/>
        <v>0</v>
      </c>
      <c r="AK18" s="8">
        <f t="shared" si="5"/>
        <v>0</v>
      </c>
    </row>
    <row r="19" spans="1:37" ht="23.5" customHeight="1" x14ac:dyDescent="0.55000000000000004">
      <c r="A19" s="10" t="s">
        <v>35</v>
      </c>
      <c r="B19" s="22"/>
      <c r="C19" s="22"/>
      <c r="D19" s="22"/>
      <c r="E19" s="22"/>
      <c r="F19" s="13"/>
      <c r="G19" s="13"/>
      <c r="H19" s="22"/>
      <c r="I19" s="22"/>
      <c r="J19" s="22"/>
      <c r="K19" s="22"/>
      <c r="L19" s="22"/>
      <c r="M19" s="13"/>
      <c r="N19" s="13"/>
      <c r="O19" s="22"/>
      <c r="P19" s="22"/>
      <c r="Q19" s="22"/>
      <c r="R19" s="22"/>
      <c r="S19" s="22"/>
      <c r="T19" s="13"/>
      <c r="U19" s="13"/>
      <c r="V19" s="22"/>
      <c r="W19" s="22"/>
      <c r="X19" s="22"/>
      <c r="Y19" s="22"/>
      <c r="Z19" s="22" t="s">
        <v>109</v>
      </c>
      <c r="AA19" s="13"/>
      <c r="AB19" s="13"/>
      <c r="AC19" s="22" t="s">
        <v>109</v>
      </c>
      <c r="AD19" s="22" t="s">
        <v>109</v>
      </c>
      <c r="AE19" s="22" t="s">
        <v>109</v>
      </c>
      <c r="AF19" s="22" t="s">
        <v>109</v>
      </c>
      <c r="AG19" s="8">
        <f t="shared" si="1"/>
        <v>0</v>
      </c>
      <c r="AH19" s="8">
        <f t="shared" si="2"/>
        <v>0</v>
      </c>
      <c r="AI19" s="8">
        <f t="shared" si="3"/>
        <v>0</v>
      </c>
      <c r="AJ19" s="8">
        <f t="shared" si="4"/>
        <v>0</v>
      </c>
      <c r="AK19" s="8">
        <f t="shared" si="5"/>
        <v>0</v>
      </c>
    </row>
    <row r="20" spans="1:37" ht="23.5" customHeight="1" x14ac:dyDescent="0.55000000000000004">
      <c r="A20" s="10" t="s">
        <v>43</v>
      </c>
      <c r="B20" s="22"/>
      <c r="C20" s="22"/>
      <c r="D20" s="22"/>
      <c r="E20" s="22"/>
      <c r="F20" s="13"/>
      <c r="G20" s="13"/>
      <c r="H20" s="22"/>
      <c r="I20" s="22"/>
      <c r="J20" s="22"/>
      <c r="K20" s="22"/>
      <c r="L20" s="22"/>
      <c r="M20" s="13"/>
      <c r="N20" s="13"/>
      <c r="O20" s="22"/>
      <c r="P20" s="22"/>
      <c r="Q20" s="22"/>
      <c r="R20" s="22"/>
      <c r="S20" s="22"/>
      <c r="T20" s="13"/>
      <c r="U20" s="13"/>
      <c r="V20" s="22"/>
      <c r="W20" s="22"/>
      <c r="X20" s="22"/>
      <c r="Y20" s="22"/>
      <c r="Z20" s="22" t="s">
        <v>109</v>
      </c>
      <c r="AA20" s="13"/>
      <c r="AB20" s="13"/>
      <c r="AC20" s="22" t="s">
        <v>109</v>
      </c>
      <c r="AD20" s="22" t="s">
        <v>109</v>
      </c>
      <c r="AE20" s="22" t="s">
        <v>109</v>
      </c>
      <c r="AF20" s="22" t="s">
        <v>109</v>
      </c>
      <c r="AG20" s="8">
        <f t="shared" si="1"/>
        <v>0</v>
      </c>
      <c r="AH20" s="8">
        <f t="shared" si="2"/>
        <v>0</v>
      </c>
      <c r="AI20" s="8">
        <f t="shared" si="3"/>
        <v>0</v>
      </c>
      <c r="AJ20" s="8">
        <f t="shared" si="4"/>
        <v>0</v>
      </c>
      <c r="AK20" s="8">
        <f t="shared" si="5"/>
        <v>0</v>
      </c>
    </row>
    <row r="21" spans="1:37" ht="23.5" customHeight="1" x14ac:dyDescent="0.55000000000000004">
      <c r="A21" s="10" t="s">
        <v>112</v>
      </c>
      <c r="B21" s="22"/>
      <c r="C21" s="22"/>
      <c r="D21" s="22"/>
      <c r="E21" s="22"/>
      <c r="F21" s="13"/>
      <c r="G21" s="13"/>
      <c r="H21" s="22"/>
      <c r="I21" s="22"/>
      <c r="J21" s="22"/>
      <c r="K21" s="22"/>
      <c r="L21" s="22"/>
      <c r="M21" s="13"/>
      <c r="N21" s="13"/>
      <c r="O21" s="22"/>
      <c r="P21" s="22"/>
      <c r="Q21" s="22"/>
      <c r="R21" s="22"/>
      <c r="S21" s="22"/>
      <c r="T21" s="13"/>
      <c r="U21" s="13"/>
      <c r="V21" s="22"/>
      <c r="W21" s="22"/>
      <c r="X21" s="22"/>
      <c r="Y21" s="22"/>
      <c r="Z21" s="22" t="s">
        <v>109</v>
      </c>
      <c r="AA21" s="13"/>
      <c r="AB21" s="13"/>
      <c r="AC21" s="22" t="s">
        <v>109</v>
      </c>
      <c r="AD21" s="22" t="s">
        <v>109</v>
      </c>
      <c r="AE21" s="22" t="s">
        <v>109</v>
      </c>
      <c r="AF21" s="22" t="s">
        <v>109</v>
      </c>
      <c r="AG21" s="8">
        <f t="shared" si="1"/>
        <v>0</v>
      </c>
      <c r="AH21" s="8">
        <f t="shared" si="2"/>
        <v>0</v>
      </c>
      <c r="AI21" s="8">
        <f t="shared" si="3"/>
        <v>0</v>
      </c>
      <c r="AJ21" s="8">
        <f t="shared" si="4"/>
        <v>0</v>
      </c>
      <c r="AK21" s="8">
        <f t="shared" si="5"/>
        <v>0</v>
      </c>
    </row>
    <row r="22" spans="1:37" ht="23.5" customHeight="1" x14ac:dyDescent="0.55000000000000004">
      <c r="A22" s="10" t="s">
        <v>26</v>
      </c>
      <c r="B22" s="22"/>
      <c r="C22" s="22"/>
      <c r="D22" s="22"/>
      <c r="E22" s="22"/>
      <c r="F22" s="13"/>
      <c r="G22" s="13"/>
      <c r="H22" s="22"/>
      <c r="I22" s="22"/>
      <c r="J22" s="22"/>
      <c r="K22" s="22"/>
      <c r="L22" s="22"/>
      <c r="M22" s="13"/>
      <c r="N22" s="13"/>
      <c r="O22" s="22"/>
      <c r="P22" s="22"/>
      <c r="Q22" s="22"/>
      <c r="R22" s="22"/>
      <c r="S22" s="22"/>
      <c r="T22" s="13"/>
      <c r="U22" s="13"/>
      <c r="V22" s="22"/>
      <c r="W22" s="22"/>
      <c r="X22" s="22"/>
      <c r="Y22" s="22"/>
      <c r="Z22" s="22" t="s">
        <v>109</v>
      </c>
      <c r="AA22" s="13"/>
      <c r="AB22" s="13"/>
      <c r="AC22" s="22" t="s">
        <v>109</v>
      </c>
      <c r="AD22" s="22" t="s">
        <v>109</v>
      </c>
      <c r="AE22" s="22" t="s">
        <v>109</v>
      </c>
      <c r="AF22" s="22" t="s">
        <v>109</v>
      </c>
      <c r="AG22" s="8">
        <f t="shared" si="1"/>
        <v>0</v>
      </c>
      <c r="AH22" s="8">
        <f t="shared" si="2"/>
        <v>0</v>
      </c>
      <c r="AI22" s="8">
        <f t="shared" si="3"/>
        <v>0</v>
      </c>
      <c r="AJ22" s="8">
        <f t="shared" si="4"/>
        <v>0</v>
      </c>
      <c r="AK22" s="8">
        <f t="shared" si="5"/>
        <v>0</v>
      </c>
    </row>
    <row r="23" spans="1:37" ht="23.5" customHeight="1" x14ac:dyDescent="0.55000000000000004">
      <c r="A23" s="10" t="s">
        <v>27</v>
      </c>
      <c r="B23" s="22"/>
      <c r="C23" s="22"/>
      <c r="D23" s="22"/>
      <c r="E23" s="22"/>
      <c r="F23" s="13"/>
      <c r="G23" s="13"/>
      <c r="H23" s="22"/>
      <c r="I23" s="22"/>
      <c r="J23" s="22"/>
      <c r="K23" s="22"/>
      <c r="L23" s="22"/>
      <c r="M23" s="13"/>
      <c r="N23" s="13"/>
      <c r="O23" s="22"/>
      <c r="P23" s="22"/>
      <c r="Q23" s="22"/>
      <c r="R23" s="22"/>
      <c r="S23" s="22"/>
      <c r="T23" s="13"/>
      <c r="U23" s="13"/>
      <c r="V23" s="22"/>
      <c r="W23" s="22"/>
      <c r="X23" s="22"/>
      <c r="Y23" s="22"/>
      <c r="Z23" s="22" t="s">
        <v>109</v>
      </c>
      <c r="AA23" s="13"/>
      <c r="AB23" s="13"/>
      <c r="AC23" s="22" t="s">
        <v>109</v>
      </c>
      <c r="AD23" s="22" t="s">
        <v>109</v>
      </c>
      <c r="AE23" s="22" t="s">
        <v>109</v>
      </c>
      <c r="AF23" s="22" t="s">
        <v>109</v>
      </c>
      <c r="AG23" s="8">
        <f t="shared" si="1"/>
        <v>0</v>
      </c>
      <c r="AH23" s="8">
        <f t="shared" si="2"/>
        <v>0</v>
      </c>
      <c r="AI23" s="8">
        <f t="shared" si="3"/>
        <v>0</v>
      </c>
      <c r="AJ23" s="8">
        <f t="shared" si="4"/>
        <v>0</v>
      </c>
      <c r="AK23" s="8">
        <f t="shared" si="5"/>
        <v>0</v>
      </c>
    </row>
    <row r="24" spans="1:37" ht="23.5" customHeight="1" x14ac:dyDescent="0.55000000000000004">
      <c r="A24" s="10" t="s">
        <v>20</v>
      </c>
      <c r="B24" s="22"/>
      <c r="C24" s="22"/>
      <c r="D24" s="22"/>
      <c r="E24" s="22"/>
      <c r="F24" s="13"/>
      <c r="G24" s="13"/>
      <c r="H24" s="22"/>
      <c r="I24" s="22"/>
      <c r="J24" s="22"/>
      <c r="K24" s="22"/>
      <c r="L24" s="22"/>
      <c r="M24" s="13"/>
      <c r="N24" s="13"/>
      <c r="O24" s="22"/>
      <c r="P24" s="22"/>
      <c r="Q24" s="22"/>
      <c r="R24" s="22"/>
      <c r="S24" s="22"/>
      <c r="T24" s="13"/>
      <c r="U24" s="13"/>
      <c r="V24" s="22"/>
      <c r="W24" s="22"/>
      <c r="X24" s="22"/>
      <c r="Y24" s="22"/>
      <c r="Z24" s="22" t="s">
        <v>109</v>
      </c>
      <c r="AA24" s="13"/>
      <c r="AB24" s="13"/>
      <c r="AC24" s="22" t="s">
        <v>109</v>
      </c>
      <c r="AD24" s="22" t="s">
        <v>109</v>
      </c>
      <c r="AE24" s="22" t="s">
        <v>109</v>
      </c>
      <c r="AF24" s="22" t="s">
        <v>109</v>
      </c>
      <c r="AG24" s="8">
        <f t="shared" si="1"/>
        <v>0</v>
      </c>
      <c r="AH24" s="8">
        <f t="shared" si="2"/>
        <v>0</v>
      </c>
      <c r="AI24" s="8">
        <f t="shared" si="3"/>
        <v>0</v>
      </c>
      <c r="AJ24" s="8">
        <f t="shared" si="4"/>
        <v>0</v>
      </c>
      <c r="AK24" s="8">
        <f t="shared" si="5"/>
        <v>0</v>
      </c>
    </row>
    <row r="25" spans="1:37" ht="23.5" customHeight="1" x14ac:dyDescent="0.55000000000000004">
      <c r="A25" s="10" t="s">
        <v>38</v>
      </c>
      <c r="B25" s="22"/>
      <c r="C25" s="22"/>
      <c r="D25" s="22"/>
      <c r="E25" s="22"/>
      <c r="F25" s="13"/>
      <c r="G25" s="13"/>
      <c r="H25" s="22"/>
      <c r="I25" s="22"/>
      <c r="J25" s="22"/>
      <c r="K25" s="22"/>
      <c r="L25" s="22"/>
      <c r="M25" s="13"/>
      <c r="N25" s="13"/>
      <c r="O25" s="22"/>
      <c r="P25" s="22"/>
      <c r="Q25" s="22"/>
      <c r="R25" s="22"/>
      <c r="S25" s="22"/>
      <c r="T25" s="13"/>
      <c r="U25" s="13"/>
      <c r="V25" s="22"/>
      <c r="W25" s="22"/>
      <c r="X25" s="22"/>
      <c r="Y25" s="22"/>
      <c r="Z25" s="22" t="s">
        <v>109</v>
      </c>
      <c r="AA25" s="13"/>
      <c r="AB25" s="13"/>
      <c r="AC25" s="22" t="s">
        <v>109</v>
      </c>
      <c r="AD25" s="22" t="s">
        <v>109</v>
      </c>
      <c r="AE25" s="22" t="s">
        <v>109</v>
      </c>
      <c r="AF25" s="22" t="s">
        <v>109</v>
      </c>
      <c r="AG25" s="8">
        <f t="shared" si="1"/>
        <v>0</v>
      </c>
      <c r="AH25" s="8">
        <f t="shared" si="2"/>
        <v>0</v>
      </c>
      <c r="AI25" s="8">
        <f t="shared" si="3"/>
        <v>0</v>
      </c>
      <c r="AJ25" s="8">
        <f t="shared" si="4"/>
        <v>0</v>
      </c>
      <c r="AK25" s="8">
        <f t="shared" si="5"/>
        <v>0</v>
      </c>
    </row>
    <row r="26" spans="1:37" ht="23.5" customHeight="1" x14ac:dyDescent="0.55000000000000004">
      <c r="A26" s="10" t="s">
        <v>25</v>
      </c>
      <c r="B26" s="22"/>
      <c r="C26" s="22"/>
      <c r="D26" s="22"/>
      <c r="E26" s="22"/>
      <c r="F26" s="13"/>
      <c r="G26" s="13"/>
      <c r="H26" s="22"/>
      <c r="I26" s="22"/>
      <c r="J26" s="22"/>
      <c r="K26" s="22"/>
      <c r="L26" s="22"/>
      <c r="M26" s="13"/>
      <c r="N26" s="13"/>
      <c r="O26" s="22"/>
      <c r="P26" s="22"/>
      <c r="Q26" s="22"/>
      <c r="R26" s="22"/>
      <c r="S26" s="22"/>
      <c r="T26" s="13"/>
      <c r="U26" s="13"/>
      <c r="V26" s="22"/>
      <c r="W26" s="22"/>
      <c r="X26" s="22"/>
      <c r="Y26" s="22"/>
      <c r="Z26" s="22" t="s">
        <v>109</v>
      </c>
      <c r="AA26" s="13"/>
      <c r="AB26" s="13"/>
      <c r="AC26" s="22" t="s">
        <v>109</v>
      </c>
      <c r="AD26" s="22" t="s">
        <v>109</v>
      </c>
      <c r="AE26" s="22" t="s">
        <v>109</v>
      </c>
      <c r="AF26" s="22" t="s">
        <v>109</v>
      </c>
      <c r="AG26" s="8">
        <f t="shared" si="1"/>
        <v>0</v>
      </c>
      <c r="AH26" s="8">
        <f t="shared" si="2"/>
        <v>0</v>
      </c>
      <c r="AI26" s="8">
        <f t="shared" si="3"/>
        <v>0</v>
      </c>
      <c r="AJ26" s="8">
        <f t="shared" si="4"/>
        <v>0</v>
      </c>
      <c r="AK26" s="8">
        <f t="shared" si="5"/>
        <v>0</v>
      </c>
    </row>
    <row r="27" spans="1:37" ht="23.5" customHeight="1" x14ac:dyDescent="0.55000000000000004">
      <c r="A27" s="10" t="s">
        <v>40</v>
      </c>
      <c r="B27" s="22"/>
      <c r="C27" s="22"/>
      <c r="D27" s="22"/>
      <c r="E27" s="22"/>
      <c r="F27" s="13"/>
      <c r="G27" s="13"/>
      <c r="H27" s="22"/>
      <c r="I27" s="22"/>
      <c r="J27" s="22"/>
      <c r="K27" s="22"/>
      <c r="L27" s="22"/>
      <c r="M27" s="13"/>
      <c r="N27" s="13"/>
      <c r="O27" s="22"/>
      <c r="P27" s="22"/>
      <c r="Q27" s="22"/>
      <c r="R27" s="22"/>
      <c r="S27" s="22"/>
      <c r="T27" s="13"/>
      <c r="U27" s="13"/>
      <c r="V27" s="22"/>
      <c r="W27" s="22"/>
      <c r="X27" s="22"/>
      <c r="Y27" s="22"/>
      <c r="Z27" s="22" t="s">
        <v>109</v>
      </c>
      <c r="AA27" s="13"/>
      <c r="AB27" s="13"/>
      <c r="AC27" s="22" t="s">
        <v>109</v>
      </c>
      <c r="AD27" s="22" t="s">
        <v>109</v>
      </c>
      <c r="AE27" s="22" t="s">
        <v>109</v>
      </c>
      <c r="AF27" s="22" t="s">
        <v>109</v>
      </c>
      <c r="AG27" s="8">
        <f t="shared" si="1"/>
        <v>0</v>
      </c>
      <c r="AH27" s="8">
        <f t="shared" si="2"/>
        <v>0</v>
      </c>
      <c r="AI27" s="8">
        <f t="shared" si="3"/>
        <v>0</v>
      </c>
      <c r="AJ27" s="8">
        <f t="shared" si="4"/>
        <v>0</v>
      </c>
      <c r="AK27" s="8">
        <f t="shared" si="5"/>
        <v>0</v>
      </c>
    </row>
    <row r="28" spans="1:37" ht="23.5" customHeight="1" x14ac:dyDescent="0.55000000000000004">
      <c r="A28" s="10" t="s">
        <v>24</v>
      </c>
      <c r="B28" s="22"/>
      <c r="C28" s="22"/>
      <c r="D28" s="22"/>
      <c r="E28" s="22"/>
      <c r="F28" s="13"/>
      <c r="G28" s="13"/>
      <c r="H28" s="22"/>
      <c r="I28" s="22"/>
      <c r="J28" s="22"/>
      <c r="K28" s="22"/>
      <c r="L28" s="22"/>
      <c r="M28" s="13"/>
      <c r="N28" s="13"/>
      <c r="O28" s="22"/>
      <c r="P28" s="22"/>
      <c r="Q28" s="22"/>
      <c r="R28" s="22"/>
      <c r="S28" s="22"/>
      <c r="T28" s="13"/>
      <c r="U28" s="13"/>
      <c r="V28" s="22"/>
      <c r="W28" s="22"/>
      <c r="X28" s="22"/>
      <c r="Y28" s="22"/>
      <c r="Z28" s="22" t="s">
        <v>109</v>
      </c>
      <c r="AA28" s="13"/>
      <c r="AB28" s="13"/>
      <c r="AC28" s="22" t="s">
        <v>109</v>
      </c>
      <c r="AD28" s="22" t="s">
        <v>109</v>
      </c>
      <c r="AE28" s="22" t="s">
        <v>109</v>
      </c>
      <c r="AF28" s="22" t="s">
        <v>109</v>
      </c>
      <c r="AG28" s="8">
        <f t="shared" si="1"/>
        <v>0</v>
      </c>
      <c r="AH28" s="8">
        <f t="shared" si="2"/>
        <v>0</v>
      </c>
      <c r="AI28" s="8">
        <f t="shared" si="3"/>
        <v>0</v>
      </c>
      <c r="AJ28" s="8">
        <f t="shared" si="4"/>
        <v>0</v>
      </c>
      <c r="AK28" s="8">
        <f t="shared" si="5"/>
        <v>0</v>
      </c>
    </row>
    <row r="29" spans="1:37" ht="23.5" customHeight="1" x14ac:dyDescent="0.55000000000000004">
      <c r="A29" s="10" t="s">
        <v>23</v>
      </c>
      <c r="B29" s="22"/>
      <c r="C29" s="22"/>
      <c r="D29" s="22"/>
      <c r="E29" s="22"/>
      <c r="F29" s="13"/>
      <c r="G29" s="13"/>
      <c r="H29" s="22"/>
      <c r="I29" s="22"/>
      <c r="J29" s="22"/>
      <c r="K29" s="22"/>
      <c r="L29" s="22"/>
      <c r="M29" s="13"/>
      <c r="N29" s="13"/>
      <c r="O29" s="22"/>
      <c r="P29" s="22"/>
      <c r="Q29" s="22"/>
      <c r="R29" s="22"/>
      <c r="S29" s="22"/>
      <c r="T29" s="13"/>
      <c r="U29" s="13"/>
      <c r="V29" s="22"/>
      <c r="W29" s="22"/>
      <c r="X29" s="22"/>
      <c r="Y29" s="22"/>
      <c r="Z29" s="22" t="s">
        <v>109</v>
      </c>
      <c r="AA29" s="13"/>
      <c r="AB29" s="13"/>
      <c r="AC29" s="22" t="s">
        <v>109</v>
      </c>
      <c r="AD29" s="22" t="s">
        <v>109</v>
      </c>
      <c r="AE29" s="22" t="s">
        <v>109</v>
      </c>
      <c r="AF29" s="22" t="s">
        <v>109</v>
      </c>
      <c r="AG29" s="8">
        <f t="shared" si="1"/>
        <v>0</v>
      </c>
      <c r="AH29" s="8">
        <f t="shared" si="2"/>
        <v>0</v>
      </c>
      <c r="AI29" s="8">
        <f t="shared" si="3"/>
        <v>0</v>
      </c>
      <c r="AJ29" s="8">
        <f t="shared" si="4"/>
        <v>0</v>
      </c>
      <c r="AK29" s="8">
        <f t="shared" si="5"/>
        <v>0</v>
      </c>
    </row>
    <row r="30" spans="1:37" ht="23.5" customHeight="1" x14ac:dyDescent="0.55000000000000004">
      <c r="A30" s="10" t="s">
        <v>50</v>
      </c>
      <c r="B30" s="22"/>
      <c r="C30" s="22"/>
      <c r="D30" s="22"/>
      <c r="E30" s="22"/>
      <c r="F30" s="13"/>
      <c r="G30" s="13"/>
      <c r="H30" s="22"/>
      <c r="I30" s="22"/>
      <c r="J30" s="22"/>
      <c r="K30" s="22"/>
      <c r="L30" s="22"/>
      <c r="M30" s="13"/>
      <c r="N30" s="13"/>
      <c r="O30" s="22"/>
      <c r="P30" s="22"/>
      <c r="Q30" s="22"/>
      <c r="R30" s="22"/>
      <c r="S30" s="22"/>
      <c r="T30" s="13"/>
      <c r="U30" s="13"/>
      <c r="V30" s="22"/>
      <c r="W30" s="22"/>
      <c r="X30" s="22"/>
      <c r="Y30" s="22"/>
      <c r="Z30" s="22" t="s">
        <v>109</v>
      </c>
      <c r="AA30" s="13"/>
      <c r="AB30" s="13"/>
      <c r="AC30" s="22" t="s">
        <v>109</v>
      </c>
      <c r="AD30" s="22" t="s">
        <v>109</v>
      </c>
      <c r="AE30" s="22" t="s">
        <v>109</v>
      </c>
      <c r="AF30" s="22" t="s">
        <v>109</v>
      </c>
      <c r="AG30" s="8">
        <f t="shared" si="1"/>
        <v>0</v>
      </c>
      <c r="AH30" s="8">
        <f t="shared" si="2"/>
        <v>0</v>
      </c>
      <c r="AI30" s="8">
        <f t="shared" si="3"/>
        <v>0</v>
      </c>
      <c r="AJ30" s="8">
        <f t="shared" si="4"/>
        <v>0</v>
      </c>
      <c r="AK30" s="8">
        <f t="shared" si="5"/>
        <v>0</v>
      </c>
    </row>
    <row r="31" spans="1:37" ht="23.5" customHeight="1" x14ac:dyDescent="0.55000000000000004">
      <c r="A31" s="10" t="s">
        <v>45</v>
      </c>
      <c r="B31" s="22"/>
      <c r="C31" s="22"/>
      <c r="D31" s="22"/>
      <c r="E31" s="22"/>
      <c r="F31" s="13"/>
      <c r="G31" s="13"/>
      <c r="H31" s="22"/>
      <c r="I31" s="22"/>
      <c r="J31" s="22"/>
      <c r="K31" s="22"/>
      <c r="L31" s="22"/>
      <c r="M31" s="13"/>
      <c r="N31" s="13"/>
      <c r="O31" s="22"/>
      <c r="P31" s="22"/>
      <c r="Q31" s="22"/>
      <c r="R31" s="22"/>
      <c r="S31" s="22"/>
      <c r="T31" s="13"/>
      <c r="U31" s="13"/>
      <c r="V31" s="22"/>
      <c r="W31" s="22"/>
      <c r="X31" s="22"/>
      <c r="Y31" s="22"/>
      <c r="Z31" s="22" t="s">
        <v>109</v>
      </c>
      <c r="AA31" s="13"/>
      <c r="AB31" s="13"/>
      <c r="AC31" s="22" t="s">
        <v>109</v>
      </c>
      <c r="AD31" s="22" t="s">
        <v>109</v>
      </c>
      <c r="AE31" s="22" t="s">
        <v>109</v>
      </c>
      <c r="AF31" s="22" t="s">
        <v>109</v>
      </c>
      <c r="AG31" s="8">
        <f t="shared" si="1"/>
        <v>0</v>
      </c>
      <c r="AH31" s="8">
        <f t="shared" si="2"/>
        <v>0</v>
      </c>
      <c r="AI31" s="8">
        <f t="shared" si="3"/>
        <v>0</v>
      </c>
      <c r="AJ31" s="8">
        <f t="shared" si="4"/>
        <v>0</v>
      </c>
      <c r="AK31" s="8">
        <f t="shared" si="5"/>
        <v>0</v>
      </c>
    </row>
    <row r="32" spans="1:37" ht="23.5" customHeight="1" x14ac:dyDescent="0.55000000000000004">
      <c r="A32" s="10" t="s">
        <v>113</v>
      </c>
      <c r="B32" s="22"/>
      <c r="C32" s="22"/>
      <c r="D32" s="22"/>
      <c r="E32" s="22"/>
      <c r="F32" s="13"/>
      <c r="G32" s="13"/>
      <c r="H32" s="22"/>
      <c r="I32" s="22"/>
      <c r="J32" s="22"/>
      <c r="K32" s="22"/>
      <c r="L32" s="22"/>
      <c r="M32" s="13"/>
      <c r="N32" s="13"/>
      <c r="O32" s="22"/>
      <c r="P32" s="22"/>
      <c r="Q32" s="22"/>
      <c r="R32" s="22"/>
      <c r="S32" s="22"/>
      <c r="T32" s="13"/>
      <c r="U32" s="13"/>
      <c r="V32" s="22"/>
      <c r="W32" s="22"/>
      <c r="X32" s="22"/>
      <c r="Y32" s="22"/>
      <c r="Z32" s="22" t="s">
        <v>109</v>
      </c>
      <c r="AA32" s="13"/>
      <c r="AB32" s="13"/>
      <c r="AC32" s="22" t="s">
        <v>109</v>
      </c>
      <c r="AD32" s="22" t="s">
        <v>109</v>
      </c>
      <c r="AE32" s="22" t="s">
        <v>109</v>
      </c>
      <c r="AF32" s="22" t="s">
        <v>109</v>
      </c>
      <c r="AG32" s="8">
        <f t="shared" si="1"/>
        <v>0</v>
      </c>
      <c r="AH32" s="8">
        <f t="shared" si="2"/>
        <v>0</v>
      </c>
      <c r="AI32" s="8">
        <f t="shared" si="3"/>
        <v>0</v>
      </c>
      <c r="AJ32" s="8">
        <f t="shared" si="4"/>
        <v>0</v>
      </c>
      <c r="AK32" s="8">
        <f t="shared" si="5"/>
        <v>0</v>
      </c>
    </row>
    <row r="33" spans="1:37" ht="23.5" customHeight="1" x14ac:dyDescent="0.55000000000000004">
      <c r="A33" s="10" t="s">
        <v>46</v>
      </c>
      <c r="B33" s="22"/>
      <c r="C33" s="22"/>
      <c r="D33" s="22"/>
      <c r="E33" s="22"/>
      <c r="F33" s="13"/>
      <c r="G33" s="13"/>
      <c r="H33" s="22"/>
      <c r="I33" s="22"/>
      <c r="J33" s="22"/>
      <c r="K33" s="22"/>
      <c r="L33" s="22"/>
      <c r="M33" s="13"/>
      <c r="N33" s="13"/>
      <c r="O33" s="22"/>
      <c r="P33" s="22"/>
      <c r="Q33" s="22"/>
      <c r="R33" s="22"/>
      <c r="S33" s="22"/>
      <c r="T33" s="13"/>
      <c r="U33" s="13"/>
      <c r="V33" s="22"/>
      <c r="W33" s="22"/>
      <c r="X33" s="22"/>
      <c r="Y33" s="22"/>
      <c r="Z33" s="22" t="s">
        <v>109</v>
      </c>
      <c r="AA33" s="13"/>
      <c r="AB33" s="13"/>
      <c r="AC33" s="22" t="s">
        <v>109</v>
      </c>
      <c r="AD33" s="22" t="s">
        <v>109</v>
      </c>
      <c r="AE33" s="22" t="s">
        <v>109</v>
      </c>
      <c r="AF33" s="22" t="s">
        <v>109</v>
      </c>
      <c r="AG33" s="8">
        <f t="shared" si="1"/>
        <v>0</v>
      </c>
      <c r="AH33" s="8">
        <f t="shared" si="2"/>
        <v>0</v>
      </c>
      <c r="AI33" s="8">
        <f t="shared" si="3"/>
        <v>0</v>
      </c>
      <c r="AJ33" s="8">
        <f t="shared" si="4"/>
        <v>0</v>
      </c>
      <c r="AK33" s="8">
        <f t="shared" si="5"/>
        <v>0</v>
      </c>
    </row>
    <row r="34" spans="1:37" ht="23.5" customHeight="1" x14ac:dyDescent="0.55000000000000004">
      <c r="A34" s="10" t="s">
        <v>53</v>
      </c>
      <c r="B34" s="22"/>
      <c r="C34" s="22"/>
      <c r="D34" s="22"/>
      <c r="E34" s="22"/>
      <c r="F34" s="13"/>
      <c r="G34" s="13"/>
      <c r="H34" s="22"/>
      <c r="I34" s="22"/>
      <c r="J34" s="22"/>
      <c r="K34" s="22"/>
      <c r="L34" s="22"/>
      <c r="M34" s="13"/>
      <c r="N34" s="13"/>
      <c r="O34" s="22"/>
      <c r="P34" s="22"/>
      <c r="Q34" s="22"/>
      <c r="R34" s="22"/>
      <c r="S34" s="22"/>
      <c r="T34" s="13"/>
      <c r="U34" s="13"/>
      <c r="V34" s="22"/>
      <c r="W34" s="22"/>
      <c r="X34" s="22"/>
      <c r="Y34" s="22"/>
      <c r="Z34" s="22" t="s">
        <v>109</v>
      </c>
      <c r="AA34" s="13"/>
      <c r="AB34" s="13"/>
      <c r="AC34" s="22" t="s">
        <v>109</v>
      </c>
      <c r="AD34" s="22" t="s">
        <v>109</v>
      </c>
      <c r="AE34" s="22" t="s">
        <v>109</v>
      </c>
      <c r="AF34" s="22" t="s">
        <v>109</v>
      </c>
      <c r="AG34" s="8">
        <f t="shared" si="1"/>
        <v>0</v>
      </c>
      <c r="AH34" s="8">
        <f t="shared" si="2"/>
        <v>0</v>
      </c>
      <c r="AI34" s="8">
        <f t="shared" si="3"/>
        <v>0</v>
      </c>
      <c r="AJ34" s="8">
        <f t="shared" si="4"/>
        <v>0</v>
      </c>
      <c r="AK34" s="8">
        <f t="shared" si="5"/>
        <v>0</v>
      </c>
    </row>
    <row r="35" spans="1:37" ht="23.5" customHeight="1" x14ac:dyDescent="0.55000000000000004">
      <c r="A35" s="14" t="s">
        <v>114</v>
      </c>
      <c r="B35" s="41"/>
      <c r="C35" s="41"/>
      <c r="D35" s="41"/>
      <c r="E35" s="41"/>
      <c r="F35" s="12"/>
      <c r="G35" s="12"/>
      <c r="H35" s="41"/>
      <c r="I35" s="41"/>
      <c r="J35" s="41"/>
      <c r="K35" s="41"/>
      <c r="L35" s="41"/>
      <c r="M35" s="12"/>
      <c r="N35" s="12"/>
      <c r="O35" s="41"/>
      <c r="P35" s="41"/>
      <c r="Q35" s="41"/>
      <c r="R35" s="41"/>
      <c r="S35" s="41"/>
      <c r="T35" s="12"/>
      <c r="U35" s="12"/>
      <c r="V35" s="41"/>
      <c r="W35" s="41"/>
      <c r="X35" s="41"/>
      <c r="Y35" s="41"/>
      <c r="Z35" s="41" t="s">
        <v>109</v>
      </c>
      <c r="AA35" s="12"/>
      <c r="AB35" s="12"/>
      <c r="AC35" s="41" t="s">
        <v>109</v>
      </c>
      <c r="AD35" s="41" t="s">
        <v>109</v>
      </c>
      <c r="AE35" s="41" t="s">
        <v>109</v>
      </c>
      <c r="AF35" s="41" t="s">
        <v>109</v>
      </c>
      <c r="AG35" s="4">
        <f t="shared" si="1"/>
        <v>0</v>
      </c>
      <c r="AH35" s="4">
        <f t="shared" si="2"/>
        <v>0</v>
      </c>
      <c r="AI35" s="4">
        <f t="shared" si="3"/>
        <v>0</v>
      </c>
      <c r="AJ35" s="5">
        <f t="shared" si="4"/>
        <v>0</v>
      </c>
      <c r="AK35" s="4">
        <f t="shared" si="5"/>
        <v>0</v>
      </c>
    </row>
  </sheetData>
  <mergeCells count="9">
    <mergeCell ref="AM3:AM4"/>
    <mergeCell ref="AN3:AN4"/>
    <mergeCell ref="A1:AK2"/>
    <mergeCell ref="A3:A4"/>
    <mergeCell ref="AG3:AG4"/>
    <mergeCell ref="AH3:AH4"/>
    <mergeCell ref="AI3:AI4"/>
    <mergeCell ref="AJ3:AJ4"/>
    <mergeCell ref="AK3:AK4"/>
  </mergeCells>
  <conditionalFormatting sqref="B5:AF35">
    <cfRule type="cellIs" dxfId="5" priority="2" operator="equal">
      <formula>"U"</formula>
    </cfRule>
    <cfRule type="cellIs" dxfId="4" priority="3" operator="equal">
      <formula>"M"</formula>
    </cfRule>
    <cfRule type="beginsWith" dxfId="3" priority="4" operator="beginsWith" text="S">
      <formula>LEFT(B5,1)="S"</formula>
    </cfRule>
    <cfRule type="beginsWith" dxfId="2" priority="5" operator="beginsWith" text="V">
      <formula>LEFT(B5,1)="V"</formula>
    </cfRule>
  </conditionalFormatting>
  <conditionalFormatting sqref="AG5:AK35">
    <cfRule type="cellIs" dxfId="1" priority="1" operator="equal">
      <formula>0</formula>
    </cfRule>
  </conditionalFormatting>
  <dataValidations count="1">
    <dataValidation type="list" allowBlank="1" showInputMessage="1" showErrorMessage="1" sqref="B5:AF35" xr:uid="{00000000-0002-0000-0E00-000000000000}">
      <formula1>$AN$5:$AN$12</formula1>
    </dataValidation>
  </dataValidation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23E8E-4C5E-4BA9-B958-642D86AA22BB}">
  <sheetPr codeName="Sheet15"/>
  <dimension ref="A2:G17"/>
  <sheetViews>
    <sheetView topLeftCell="A7" zoomScale="88" zoomScaleNormal="88" workbookViewId="0">
      <selection activeCell="B8" sqref="B8"/>
    </sheetView>
  </sheetViews>
  <sheetFormatPr defaultRowHeight="14.5" x14ac:dyDescent="0.35"/>
  <cols>
    <col min="1" max="1" width="16.26953125" bestFit="1" customWidth="1"/>
    <col min="2" max="6" width="17.26953125" customWidth="1"/>
  </cols>
  <sheetData>
    <row r="2" spans="1:7" ht="46" customHeight="1" x14ac:dyDescent="0.35">
      <c r="A2" s="87" t="s">
        <v>129</v>
      </c>
      <c r="B2" s="87"/>
      <c r="C2" s="87"/>
      <c r="D2" s="87"/>
      <c r="E2" s="87"/>
      <c r="F2" s="87"/>
    </row>
    <row r="5" spans="1:7" s="3" customFormat="1" ht="25.15" customHeight="1" x14ac:dyDescent="0.35">
      <c r="A5" s="95" t="s">
        <v>119</v>
      </c>
      <c r="B5" s="96" t="s">
        <v>95</v>
      </c>
      <c r="C5" s="90" t="s">
        <v>96</v>
      </c>
      <c r="D5" s="91" t="s">
        <v>116</v>
      </c>
      <c r="E5" s="92" t="s">
        <v>98</v>
      </c>
      <c r="F5" s="93" t="s">
        <v>99</v>
      </c>
      <c r="G5" s="2"/>
    </row>
    <row r="6" spans="1:7" s="3" customFormat="1" ht="25.15" customHeight="1" x14ac:dyDescent="0.35">
      <c r="A6" s="95"/>
      <c r="B6" s="96"/>
      <c r="C6" s="90"/>
      <c r="D6" s="91"/>
      <c r="E6" s="92"/>
      <c r="F6" s="93"/>
      <c r="G6" s="2"/>
    </row>
    <row r="7" spans="1:7" s="3" customFormat="1" ht="25.15" customHeight="1" x14ac:dyDescent="0.35">
      <c r="A7" s="95"/>
      <c r="B7" s="96"/>
      <c r="C7" s="90"/>
      <c r="D7" s="91"/>
      <c r="E7" s="92"/>
      <c r="F7" s="93"/>
      <c r="G7" s="2"/>
    </row>
    <row r="8" spans="1:7" s="3" customFormat="1" ht="24.75" customHeight="1" x14ac:dyDescent="0.35">
      <c r="A8" s="48"/>
      <c r="B8" s="4"/>
      <c r="C8" s="4"/>
      <c r="D8" s="4"/>
      <c r="E8" s="4"/>
      <c r="F8" s="4"/>
      <c r="G8" s="2"/>
    </row>
    <row r="9" spans="1:7" s="3" customFormat="1" ht="25.15" customHeight="1" x14ac:dyDescent="0.35">
      <c r="A9" s="48"/>
      <c r="B9" s="4"/>
      <c r="C9" s="4"/>
      <c r="D9" s="4">
        <f>Jan!AI7+Feb!AF6+Mar!AI7+Apr!AH6+May!AI6+Jun!AH6+Jul!AI6+Aug!AI6+Sep!AH6+Oct!AI6+Nov!AH6+Dec!AI6</f>
        <v>0</v>
      </c>
      <c r="E9" s="4"/>
      <c r="F9" s="4">
        <f>Jan!AK7+Feb!AH6+Mar!AK7+Apr!AJ6+May!AK6+Jun!AJ6+Jul!AK6+Aug!AK6+Sep!AJ6+Oct!AK6+Nov!AJ6+Dec!AK6</f>
        <v>0</v>
      </c>
      <c r="G9" s="2"/>
    </row>
    <row r="10" spans="1:7" s="3" customFormat="1" ht="25.15" customHeight="1" x14ac:dyDescent="0.35">
      <c r="A10" s="48"/>
      <c r="B10" s="4"/>
      <c r="C10" s="4">
        <f>Jan!AH8+Feb!AE7+Mar!AH8+Apr!AG7+May!AH7+Jun!AG7+Jul!AH7+Aug!AH7+Sep!AG7+Oct!AH7+Nov!AG7+Dec!AH7</f>
        <v>0</v>
      </c>
      <c r="D10" s="4"/>
      <c r="E10" s="4"/>
      <c r="F10" s="4"/>
      <c r="G10" s="2"/>
    </row>
    <row r="11" spans="1:7" s="3" customFormat="1" ht="25.15" customHeight="1" x14ac:dyDescent="0.35">
      <c r="A11" s="48"/>
      <c r="B11" s="4"/>
      <c r="C11" s="4">
        <f>Jan!AH9+Feb!AE8+Mar!AH9+Apr!AG8+May!AH8+Jun!AG8+Jul!AH8+Aug!AH8+Sep!AG8+Oct!AH8+Nov!AG8+Dec!AH8</f>
        <v>0</v>
      </c>
      <c r="D11" s="4"/>
      <c r="E11" s="4">
        <f>Jan!AJ9+Feb!AG8+Mar!AJ9+Apr!AI8+May!AJ8+Jun!AI8+Jul!AJ8+Aug!AJ8+Sep!AI8+Oct!AJ8+Nov!AI8+Dec!AJ8</f>
        <v>0</v>
      </c>
      <c r="F11" s="4"/>
      <c r="G11" s="2"/>
    </row>
    <row r="12" spans="1:7" s="3" customFormat="1" ht="25.15" customHeight="1" x14ac:dyDescent="0.35">
      <c r="A12" s="48"/>
      <c r="B12" s="4"/>
      <c r="C12" s="4"/>
      <c r="D12" s="4"/>
      <c r="E12" s="4">
        <f>Jan!AJ10+Feb!AG9+Mar!AJ10+Apr!AI9+May!AJ9+Jun!AI9+Jul!AJ9+Aug!AJ9+Sep!AI9+Oct!AJ9+Nov!AI9+Dec!AJ9</f>
        <v>0</v>
      </c>
      <c r="F12" s="4"/>
      <c r="G12" s="2"/>
    </row>
    <row r="13" spans="1:7" s="3" customFormat="1" ht="25.15" customHeight="1" x14ac:dyDescent="0.35">
      <c r="A13" s="48"/>
      <c r="B13" s="4"/>
      <c r="C13" s="4"/>
      <c r="D13" s="4"/>
      <c r="E13" s="4"/>
      <c r="F13" s="4"/>
      <c r="G13" s="2"/>
    </row>
    <row r="14" spans="1:7" s="3" customFormat="1" ht="25.15" customHeight="1" x14ac:dyDescent="0.35">
      <c r="A14" s="48"/>
      <c r="B14" s="4"/>
      <c r="C14" s="4"/>
      <c r="D14" s="4"/>
      <c r="E14" s="4"/>
      <c r="F14" s="4"/>
      <c r="G14" s="2"/>
    </row>
    <row r="15" spans="1:7" s="3" customFormat="1" ht="25.15" customHeight="1" x14ac:dyDescent="0.35">
      <c r="A15" s="48"/>
      <c r="B15" s="4"/>
      <c r="C15" s="4"/>
      <c r="D15" s="4"/>
      <c r="E15" s="4"/>
      <c r="F15" s="4"/>
      <c r="G15" s="2"/>
    </row>
    <row r="16" spans="1:7" s="3" customFormat="1" ht="25.15" customHeight="1" x14ac:dyDescent="0.35">
      <c r="A16" s="48"/>
      <c r="B16" s="4"/>
      <c r="C16" s="4"/>
      <c r="D16" s="4"/>
      <c r="E16" s="4">
        <f>Jan!AJ12+Feb!AG13+Mar!AJ14+Apr!AI13+May!AJ13+Jun!AI13+Jul!AJ13+Aug!AJ13+Sep!AI13+Oct!AJ13+Nov!AI13+Dec!AJ13</f>
        <v>0</v>
      </c>
      <c r="F16" s="4"/>
      <c r="G16" s="2"/>
    </row>
    <row r="17" spans="1:7" s="3" customFormat="1" ht="25.15" customHeight="1" x14ac:dyDescent="0.35">
      <c r="A17" s="48"/>
      <c r="B17" s="4"/>
      <c r="C17" s="4">
        <f>Jan!AH13+Feb!AE14+Mar!AH15+Apr!AG14+May!AH14+Jun!AG14+Jul!AH14+Aug!AH14+Sep!AG14+Oct!AH14+Nov!AG14+Dec!AH14</f>
        <v>0</v>
      </c>
      <c r="D17" s="4"/>
      <c r="E17" s="4">
        <f>Jan!AJ13+Feb!AG14+Mar!AJ15+Apr!AI14+May!AJ14+Jun!AI14+Jul!AJ14+Aug!AJ14+Sep!AI14+Oct!AJ14+Nov!AI14+Dec!AJ14</f>
        <v>0</v>
      </c>
      <c r="F17" s="4">
        <f>Jan!AK13+Feb!AH14+Mar!AK15+Apr!AJ14+May!AK14+Jun!AJ14+Jul!AK14+Aug!AK14+Sep!AJ14+Oct!AK14+Nov!AJ14+Dec!AK14</f>
        <v>0</v>
      </c>
      <c r="G17" s="2"/>
    </row>
  </sheetData>
  <mergeCells count="7">
    <mergeCell ref="A2:F2"/>
    <mergeCell ref="A5:A7"/>
    <mergeCell ref="B5:B7"/>
    <mergeCell ref="C5:C7"/>
    <mergeCell ref="D5:D7"/>
    <mergeCell ref="E5:E7"/>
    <mergeCell ref="F5:F7"/>
  </mergeCells>
  <conditionalFormatting sqref="B8:F17">
    <cfRule type="cellIs" dxfId="0" priority="1" operator="equal">
      <formula>0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BDB37C8E2291242978D47FC09504399" ma:contentTypeVersion="14" ma:contentTypeDescription="Create a new document." ma:contentTypeScope="" ma:versionID="499574692d778dbeb6efea12a0174d98">
  <xsd:schema xmlns:xsd="http://www.w3.org/2001/XMLSchema" xmlns:xs="http://www.w3.org/2001/XMLSchema" xmlns:p="http://schemas.microsoft.com/office/2006/metadata/properties" xmlns:ns3="afa49c85-9e75-44e9-a9b6-528f480c5c32" xmlns:ns4="3ed342c9-8147-42be-8c5e-6a7ee4ce3896" targetNamespace="http://schemas.microsoft.com/office/2006/metadata/properties" ma:root="true" ma:fieldsID="d02b88177d11a08041b0b59392620185" ns3:_="" ns4:_="">
    <xsd:import namespace="afa49c85-9e75-44e9-a9b6-528f480c5c32"/>
    <xsd:import namespace="3ed342c9-8147-42be-8c5e-6a7ee4ce3896"/>
    <xsd:element name="properties">
      <xsd:complexType>
        <xsd:sequence>
          <xsd:element name="documentManagement">
            <xsd:complexType>
              <xsd:all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SearchProperties" minOccurs="0"/>
                <xsd:element ref="ns3:MediaServiceDateTaken" minOccurs="0"/>
                <xsd:element ref="ns3:MediaServiceSystem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a49c85-9e75-44e9-a9b6-528f480c5c32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17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ed342c9-8147-42be-8c5e-6a7ee4ce3896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1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fa49c85-9e75-44e9-a9b6-528f480c5c32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186902F-E690-4556-898A-15BE55FE9C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fa49c85-9e75-44e9-a9b6-528f480c5c32"/>
    <ds:schemaRef ds:uri="3ed342c9-8147-42be-8c5e-6a7ee4ce389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7F28B22-F57D-44D0-8FBA-C18126DF3152}">
  <ds:schemaRefs>
    <ds:schemaRef ds:uri="http://schemas.microsoft.com/office/2006/metadata/properties"/>
    <ds:schemaRef ds:uri="http://schemas.microsoft.com/office/infopath/2007/PartnerControls"/>
    <ds:schemaRef ds:uri="afa49c85-9e75-44e9-a9b6-528f480c5c32"/>
  </ds:schemaRefs>
</ds:datastoreItem>
</file>

<file path=customXml/itemProps3.xml><?xml version="1.0" encoding="utf-8"?>
<ds:datastoreItem xmlns:ds="http://schemas.openxmlformats.org/officeDocument/2006/customXml" ds:itemID="{6536F2AD-3EF4-492D-81EB-4E8EE524C83A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ea60d57e-af5b-4752-ac57-3e4f28ca11dc}" enabled="1" method="Standard" siteId="{36da45f1-dd2c-4d1f-af13-5abe46b99921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</vt:i4>
      </vt:variant>
    </vt:vector>
  </HeadingPairs>
  <TitlesOfParts>
    <vt:vector size="18" baseType="lpstr">
      <vt:lpstr>Year</vt:lpstr>
      <vt:lpstr>EmployeeData</vt:lpstr>
      <vt:lpstr>EmployeeList</vt:lpstr>
      <vt:lpstr>EmployeeFirmHolidays</vt:lpstr>
      <vt:lpstr>Jan</vt:lpstr>
      <vt:lpstr>Feb</vt:lpstr>
      <vt:lpstr>Mar</vt:lpstr>
      <vt:lpstr>Apr</vt:lpstr>
      <vt:lpstr>May</vt:lpstr>
      <vt:lpstr>Jun</vt:lpstr>
      <vt:lpstr>Jul</vt:lpstr>
      <vt:lpstr>Aug</vt:lpstr>
      <vt:lpstr>Sep</vt:lpstr>
      <vt:lpstr>Oct</vt:lpstr>
      <vt:lpstr>Nov</vt:lpstr>
      <vt:lpstr>Dec</vt:lpstr>
      <vt:lpstr>Summary</vt:lpstr>
      <vt:lpstr>pt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Admin</dc:creator>
  <cp:keywords/>
  <dc:description/>
  <cp:lastModifiedBy>Kumar S, Kiran</cp:lastModifiedBy>
  <cp:revision/>
  <dcterms:created xsi:type="dcterms:W3CDTF">2023-08-16T04:26:14Z</dcterms:created>
  <dcterms:modified xsi:type="dcterms:W3CDTF">2026-02-24T14:19:44Z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0x0101003BDB37C8E2291242978D47FC09504399</vt:lpwstr>
  </property>
</Properties>
</file>