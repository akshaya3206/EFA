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ikumars\Documents\UiPath\EFA01\"/>
    </mc:Choice>
  </mc:AlternateContent>
  <xr:revisionPtr revIDLastSave="0" documentId="13_ncr:1_{ADD7C1AD-1AC3-4E68-BA2A-B15DC4E714DA}" xr6:coauthVersionLast="47" xr6:coauthVersionMax="47" xr10:uidLastSave="{00000000-0000-0000-0000-000000000000}"/>
  <bookViews>
    <workbookView xWindow="-110" yWindow="-110" windowWidth="19420" windowHeight="10300" tabRatio="879" activeTab="2" xr2:uid="{C5EA0D49-0995-451F-9242-A88BFC306166}"/>
  </bookViews>
  <sheets>
    <sheet name="Year" sheetId="2" r:id="rId1"/>
    <sheet name="Sheet1" sheetId="16" r:id="rId2"/>
    <sheet name="EmployeeData" sheetId="17" r:id="rId3"/>
    <sheet name="Jan" sheetId="1" r:id="rId4"/>
    <sheet name="Feb" sheetId="3" r:id="rId5"/>
    <sheet name="Mar" sheetId="4" r:id="rId6"/>
    <sheet name="Apr" sheetId="5" r:id="rId7"/>
    <sheet name="May" sheetId="6" r:id="rId8"/>
    <sheet name="Jun" sheetId="7" r:id="rId9"/>
    <sheet name="Jul" sheetId="8" r:id="rId10"/>
    <sheet name="Aug" sheetId="9" r:id="rId11"/>
    <sheet name="Sep" sheetId="10" r:id="rId12"/>
    <sheet name="Oct" sheetId="11" r:id="rId13"/>
    <sheet name="Nov" sheetId="13" r:id="rId14"/>
    <sheet name="Dec" sheetId="14" r:id="rId15"/>
    <sheet name="Summary" sheetId="15" r:id="rId16"/>
  </sheets>
  <externalReferences>
    <externalReference r:id="rId17"/>
  </externalReferences>
  <definedNames>
    <definedName name="pt">Jan!$I$19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6" l="1"/>
  <c r="C2" i="16"/>
  <c r="D2" i="16"/>
  <c r="J2" i="16"/>
  <c r="L2" i="16"/>
  <c r="M2" i="16"/>
  <c r="B3" i="16"/>
  <c r="C3" i="16"/>
  <c r="D3" i="16"/>
  <c r="J3" i="16"/>
  <c r="L3" i="16"/>
  <c r="M3" i="16"/>
  <c r="B4" i="16"/>
  <c r="C4" i="16"/>
  <c r="D4" i="16"/>
  <c r="J4" i="16"/>
  <c r="L4" i="16"/>
  <c r="M4" i="16"/>
  <c r="B5" i="16"/>
  <c r="C5" i="16"/>
  <c r="D5" i="16"/>
  <c r="J5" i="16"/>
  <c r="L5" i="16"/>
  <c r="M5" i="16"/>
  <c r="B6" i="16"/>
  <c r="C6" i="16"/>
  <c r="D6" i="16"/>
  <c r="J6" i="16"/>
  <c r="L6" i="16"/>
  <c r="M6" i="16"/>
  <c r="B7" i="16"/>
  <c r="C7" i="16"/>
  <c r="D7" i="16"/>
  <c r="J7" i="16"/>
  <c r="L7" i="16"/>
  <c r="M7" i="16"/>
  <c r="B8" i="16"/>
  <c r="C8" i="16"/>
  <c r="D8" i="16"/>
  <c r="J8" i="16"/>
  <c r="L8" i="16"/>
  <c r="M8" i="16"/>
  <c r="B9" i="16"/>
  <c r="C9" i="16"/>
  <c r="D9" i="16"/>
  <c r="J9" i="16"/>
  <c r="L9" i="16"/>
  <c r="M9" i="16"/>
  <c r="B10" i="16"/>
  <c r="C10" i="16"/>
  <c r="D10" i="16"/>
  <c r="J10" i="16"/>
  <c r="L10" i="16"/>
  <c r="M10" i="16"/>
  <c r="B11" i="16"/>
  <c r="C11" i="16"/>
  <c r="D11" i="16"/>
  <c r="J11" i="16"/>
  <c r="L11" i="16"/>
  <c r="M11" i="16"/>
  <c r="B12" i="16"/>
  <c r="C12" i="16"/>
  <c r="D12" i="16"/>
  <c r="J12" i="16"/>
  <c r="L12" i="16"/>
  <c r="M12" i="16"/>
  <c r="B13" i="16"/>
  <c r="C13" i="16"/>
  <c r="D13" i="16"/>
  <c r="J13" i="16"/>
  <c r="L13" i="16"/>
  <c r="M13" i="16"/>
  <c r="B14" i="16"/>
  <c r="C14" i="16"/>
  <c r="D14" i="16"/>
  <c r="J14" i="16"/>
  <c r="L14" i="16"/>
  <c r="M14" i="16"/>
  <c r="B15" i="16"/>
  <c r="C15" i="16"/>
  <c r="D15" i="16"/>
  <c r="J15" i="16"/>
  <c r="L15" i="16"/>
  <c r="M15" i="16"/>
  <c r="B16" i="16"/>
  <c r="C16" i="16"/>
  <c r="D16" i="16"/>
  <c r="J16" i="16"/>
  <c r="L16" i="16"/>
  <c r="M16" i="16"/>
  <c r="B17" i="16"/>
  <c r="C17" i="16"/>
  <c r="D17" i="16"/>
  <c r="J17" i="16"/>
  <c r="L17" i="16"/>
  <c r="M17" i="16"/>
  <c r="B18" i="16"/>
  <c r="C18" i="16"/>
  <c r="D18" i="16"/>
  <c r="J18" i="16"/>
  <c r="L18" i="16"/>
  <c r="M18" i="16"/>
  <c r="B19" i="16"/>
  <c r="C19" i="16"/>
  <c r="D19" i="16"/>
  <c r="J19" i="16"/>
  <c r="L19" i="16"/>
  <c r="M19" i="16"/>
  <c r="B20" i="16"/>
  <c r="C20" i="16"/>
  <c r="D20" i="16"/>
  <c r="J20" i="16"/>
  <c r="L20" i="16"/>
  <c r="M20" i="16"/>
  <c r="B21" i="16"/>
  <c r="C21" i="16"/>
  <c r="D21" i="16"/>
  <c r="J21" i="16"/>
  <c r="L21" i="16"/>
  <c r="M21" i="16"/>
  <c r="B22" i="16"/>
  <c r="C22" i="16"/>
  <c r="D22" i="16"/>
  <c r="J22" i="16"/>
  <c r="L22" i="16"/>
  <c r="M22" i="16"/>
  <c r="B23" i="16"/>
  <c r="C23" i="16"/>
  <c r="D23" i="16"/>
  <c r="J23" i="16"/>
  <c r="L23" i="16"/>
  <c r="M23" i="16"/>
  <c r="B24" i="16"/>
  <c r="C24" i="16"/>
  <c r="D24" i="16"/>
  <c r="J24" i="16"/>
  <c r="L24" i="16"/>
  <c r="M24" i="16"/>
  <c r="B25" i="16"/>
  <c r="C25" i="16"/>
  <c r="D25" i="16"/>
  <c r="J25" i="16"/>
  <c r="L25" i="16"/>
  <c r="M25" i="16"/>
  <c r="B26" i="16"/>
  <c r="C26" i="16"/>
  <c r="D26" i="16"/>
  <c r="J26" i="16"/>
  <c r="L26" i="16"/>
  <c r="M26" i="16"/>
  <c r="B27" i="16"/>
  <c r="C27" i="16"/>
  <c r="D27" i="16"/>
  <c r="J27" i="16"/>
  <c r="L27" i="16"/>
  <c r="M27" i="16"/>
  <c r="B28" i="16"/>
  <c r="C28" i="16"/>
  <c r="D28" i="16"/>
  <c r="J28" i="16"/>
  <c r="L28" i="16"/>
  <c r="M28" i="16"/>
  <c r="B29" i="16"/>
  <c r="C29" i="16"/>
  <c r="D29" i="16"/>
  <c r="J29" i="16"/>
  <c r="L29" i="16"/>
  <c r="M29" i="16"/>
  <c r="B30" i="16"/>
  <c r="C30" i="16"/>
  <c r="D30" i="16"/>
  <c r="J30" i="16"/>
  <c r="L30" i="16"/>
  <c r="M30" i="16"/>
  <c r="B31" i="16"/>
  <c r="C31" i="16"/>
  <c r="D31" i="16"/>
  <c r="J31" i="16"/>
  <c r="L31" i="16"/>
  <c r="M31" i="16"/>
  <c r="B32" i="16"/>
  <c r="C32" i="16"/>
  <c r="D32" i="16"/>
  <c r="J32" i="16"/>
  <c r="L32" i="16"/>
  <c r="M32" i="16"/>
  <c r="B33" i="16"/>
  <c r="C33" i="16"/>
  <c r="D33" i="16"/>
  <c r="J33" i="16"/>
  <c r="L33" i="16"/>
  <c r="M33" i="16"/>
  <c r="B34" i="16"/>
  <c r="C34" i="16"/>
  <c r="D34" i="16"/>
  <c r="J34" i="16"/>
  <c r="L34" i="16"/>
  <c r="M34" i="16"/>
  <c r="B35" i="16"/>
  <c r="C35" i="16"/>
  <c r="D35" i="16"/>
  <c r="J35" i="16"/>
  <c r="L35" i="16"/>
  <c r="M35" i="16"/>
  <c r="B36" i="16"/>
  <c r="C36" i="16"/>
  <c r="D36" i="16"/>
  <c r="J36" i="16"/>
  <c r="L36" i="16"/>
  <c r="M36" i="16"/>
  <c r="B37" i="16"/>
  <c r="C37" i="16"/>
  <c r="D37" i="16"/>
  <c r="J37" i="16"/>
  <c r="L37" i="16"/>
  <c r="M37" i="16"/>
  <c r="B38" i="16"/>
  <c r="C38" i="16"/>
  <c r="D38" i="16"/>
  <c r="J38" i="16"/>
  <c r="L38" i="16"/>
  <c r="M38" i="16"/>
  <c r="B39" i="16"/>
  <c r="C39" i="16"/>
  <c r="D39" i="16"/>
  <c r="J39" i="16"/>
  <c r="L39" i="16"/>
  <c r="M39" i="16"/>
  <c r="B40" i="16"/>
  <c r="C40" i="16"/>
  <c r="D40" i="16"/>
  <c r="J40" i="16"/>
  <c r="L40" i="16"/>
  <c r="M40" i="16"/>
  <c r="B41" i="16"/>
  <c r="C41" i="16"/>
  <c r="D41" i="16"/>
  <c r="J41" i="16"/>
  <c r="L41" i="16"/>
  <c r="M41" i="16"/>
  <c r="B42" i="16"/>
  <c r="C42" i="16"/>
  <c r="D42" i="16"/>
  <c r="J42" i="16"/>
  <c r="L42" i="16"/>
  <c r="M42" i="16"/>
  <c r="B43" i="16"/>
  <c r="C43" i="16"/>
  <c r="D43" i="16"/>
  <c r="J43" i="16"/>
  <c r="L43" i="16"/>
  <c r="M43" i="16"/>
  <c r="B44" i="16"/>
  <c r="C44" i="16"/>
  <c r="D44" i="16"/>
  <c r="J44" i="16"/>
  <c r="L44" i="16"/>
  <c r="M44" i="16"/>
  <c r="B45" i="16"/>
  <c r="C45" i="16"/>
  <c r="D45" i="16"/>
  <c r="J45" i="16"/>
  <c r="L45" i="16"/>
  <c r="M45" i="16"/>
  <c r="B46" i="16"/>
  <c r="C46" i="16"/>
  <c r="D46" i="16"/>
  <c r="J46" i="16"/>
  <c r="L46" i="16"/>
  <c r="M46" i="16"/>
  <c r="B47" i="16"/>
  <c r="C47" i="16"/>
  <c r="D47" i="16"/>
  <c r="J47" i="16"/>
  <c r="L47" i="16"/>
  <c r="M47" i="16"/>
  <c r="B48" i="16"/>
  <c r="C48" i="16"/>
  <c r="D48" i="16"/>
  <c r="J48" i="16"/>
  <c r="L48" i="16"/>
  <c r="M48" i="16"/>
  <c r="B49" i="16"/>
  <c r="C49" i="16"/>
  <c r="D49" i="16"/>
  <c r="J49" i="16"/>
  <c r="L49" i="16"/>
  <c r="M49" i="16"/>
  <c r="B50" i="16"/>
  <c r="C50" i="16"/>
  <c r="D50" i="16"/>
  <c r="J50" i="16"/>
  <c r="L50" i="16"/>
  <c r="M50" i="16"/>
  <c r="B51" i="16"/>
  <c r="C51" i="16"/>
  <c r="D51" i="16"/>
  <c r="J51" i="16"/>
  <c r="L51" i="16"/>
  <c r="M51" i="16"/>
  <c r="B52" i="16"/>
  <c r="C52" i="16"/>
  <c r="D52" i="16"/>
  <c r="J52" i="16"/>
  <c r="L52" i="16"/>
  <c r="M52" i="16"/>
  <c r="B53" i="16"/>
  <c r="C53" i="16"/>
  <c r="D53" i="16"/>
  <c r="J53" i="16"/>
  <c r="L53" i="16"/>
  <c r="M53" i="16"/>
  <c r="B54" i="16"/>
  <c r="C54" i="16"/>
  <c r="D54" i="16"/>
  <c r="J54" i="16"/>
  <c r="L54" i="16"/>
  <c r="M54" i="16"/>
  <c r="B55" i="16"/>
  <c r="C55" i="16"/>
  <c r="D55" i="16"/>
  <c r="J55" i="16"/>
  <c r="L55" i="16"/>
  <c r="M55" i="16"/>
  <c r="B56" i="16"/>
  <c r="C56" i="16"/>
  <c r="D56" i="16"/>
  <c r="J56" i="16"/>
  <c r="L56" i="16"/>
  <c r="M56" i="16"/>
  <c r="B57" i="16"/>
  <c r="C57" i="16"/>
  <c r="D57" i="16"/>
  <c r="J57" i="16"/>
  <c r="L57" i="16"/>
  <c r="M57" i="16"/>
  <c r="B58" i="16"/>
  <c r="C58" i="16"/>
  <c r="D58" i="16"/>
  <c r="J58" i="16"/>
  <c r="L58" i="16"/>
  <c r="M58" i="16"/>
  <c r="B59" i="16"/>
  <c r="C59" i="16"/>
  <c r="D59" i="16"/>
  <c r="J59" i="16"/>
  <c r="L59" i="16"/>
  <c r="M59" i="16"/>
  <c r="B60" i="16"/>
  <c r="C60" i="16"/>
  <c r="D60" i="16"/>
  <c r="J60" i="16"/>
  <c r="L60" i="16"/>
  <c r="M60" i="16"/>
  <c r="B61" i="16"/>
  <c r="C61" i="16"/>
  <c r="D61" i="16"/>
  <c r="J61" i="16"/>
  <c r="L61" i="16"/>
  <c r="M61" i="16"/>
  <c r="B62" i="16"/>
  <c r="C62" i="16"/>
  <c r="D62" i="16"/>
  <c r="J62" i="16"/>
  <c r="L62" i="16"/>
  <c r="M62" i="16"/>
  <c r="B63" i="16"/>
  <c r="C63" i="16"/>
  <c r="D63" i="16"/>
  <c r="J63" i="16"/>
  <c r="L63" i="16"/>
  <c r="M63" i="16"/>
  <c r="B64" i="16"/>
  <c r="C64" i="16"/>
  <c r="D64" i="16"/>
  <c r="J64" i="16"/>
  <c r="L64" i="16"/>
  <c r="M64" i="16"/>
  <c r="B65" i="16"/>
  <c r="C65" i="16"/>
  <c r="D65" i="16"/>
  <c r="J65" i="16"/>
  <c r="L65" i="16"/>
  <c r="M65" i="16"/>
  <c r="B66" i="16"/>
  <c r="C66" i="16"/>
  <c r="D66" i="16"/>
  <c r="J66" i="16"/>
  <c r="L66" i="16"/>
  <c r="M66" i="16"/>
  <c r="B67" i="16"/>
  <c r="C67" i="16"/>
  <c r="D67" i="16"/>
  <c r="J67" i="16"/>
  <c r="L67" i="16"/>
  <c r="M67" i="16"/>
  <c r="B68" i="16"/>
  <c r="C68" i="16"/>
  <c r="D68" i="16"/>
  <c r="J68" i="16"/>
  <c r="L68" i="16"/>
  <c r="M68" i="16"/>
  <c r="B69" i="16"/>
  <c r="C69" i="16"/>
  <c r="D69" i="16"/>
  <c r="J69" i="16"/>
  <c r="L69" i="16"/>
  <c r="M69" i="16"/>
  <c r="B70" i="16"/>
  <c r="C70" i="16"/>
  <c r="D70" i="16"/>
  <c r="J70" i="16"/>
  <c r="L70" i="16"/>
  <c r="M70" i="16"/>
  <c r="B71" i="16"/>
  <c r="C71" i="16"/>
  <c r="D71" i="16"/>
  <c r="J71" i="16"/>
  <c r="L71" i="16"/>
  <c r="M71" i="16"/>
  <c r="B72" i="16"/>
  <c r="C72" i="16"/>
  <c r="D72" i="16"/>
  <c r="J72" i="16"/>
  <c r="L72" i="16"/>
  <c r="M72" i="16"/>
  <c r="B73" i="16"/>
  <c r="C73" i="16"/>
  <c r="D73" i="16"/>
  <c r="J73" i="16"/>
  <c r="L73" i="16"/>
  <c r="M73" i="16"/>
  <c r="B74" i="16"/>
  <c r="C74" i="16"/>
  <c r="D74" i="16"/>
  <c r="J74" i="16"/>
  <c r="L74" i="16"/>
  <c r="M74" i="16"/>
  <c r="B75" i="16"/>
  <c r="C75" i="16"/>
  <c r="D75" i="16"/>
  <c r="J75" i="16"/>
  <c r="L75" i="16"/>
  <c r="M75" i="16"/>
  <c r="B76" i="16"/>
  <c r="C76" i="16"/>
  <c r="D76" i="16"/>
  <c r="J76" i="16"/>
  <c r="L76" i="16"/>
  <c r="M76" i="16"/>
  <c r="B77" i="16"/>
  <c r="C77" i="16"/>
  <c r="D77" i="16"/>
  <c r="J77" i="16"/>
  <c r="L77" i="16"/>
  <c r="M77" i="16"/>
  <c r="B78" i="16"/>
  <c r="C78" i="16"/>
  <c r="D78" i="16"/>
  <c r="J78" i="16"/>
  <c r="L78" i="16"/>
  <c r="M78" i="16"/>
  <c r="B79" i="16"/>
  <c r="C79" i="16"/>
  <c r="D79" i="16"/>
  <c r="J79" i="16"/>
  <c r="L79" i="16"/>
  <c r="M79" i="16"/>
  <c r="B80" i="16"/>
  <c r="C80" i="16"/>
  <c r="D80" i="16"/>
  <c r="J80" i="16"/>
  <c r="L80" i="16"/>
  <c r="M80" i="16"/>
  <c r="B81" i="16"/>
  <c r="C81" i="16"/>
  <c r="D81" i="16"/>
  <c r="J81" i="16"/>
  <c r="L81" i="16"/>
  <c r="M81" i="16"/>
  <c r="B82" i="16"/>
  <c r="C82" i="16"/>
  <c r="D82" i="16"/>
  <c r="J82" i="16"/>
  <c r="L82" i="16"/>
  <c r="M82" i="16"/>
  <c r="B83" i="16"/>
  <c r="C83" i="16"/>
  <c r="D83" i="16"/>
  <c r="J83" i="16"/>
  <c r="L83" i="16"/>
  <c r="M83" i="16"/>
  <c r="B84" i="16"/>
  <c r="C84" i="16"/>
  <c r="D84" i="16"/>
  <c r="J84" i="16"/>
  <c r="L84" i="16"/>
  <c r="M84" i="16"/>
  <c r="B85" i="16"/>
  <c r="C85" i="16"/>
  <c r="D85" i="16"/>
  <c r="J85" i="16"/>
  <c r="L85" i="16"/>
  <c r="M85" i="16"/>
  <c r="B86" i="16"/>
  <c r="C86" i="16"/>
  <c r="D86" i="16"/>
  <c r="J86" i="16"/>
  <c r="L86" i="16"/>
  <c r="M86" i="16"/>
  <c r="B87" i="16"/>
  <c r="C87" i="16"/>
  <c r="D87" i="16"/>
  <c r="J87" i="16"/>
  <c r="L87" i="16"/>
  <c r="M87" i="16"/>
  <c r="B88" i="16"/>
  <c r="C88" i="16"/>
  <c r="D88" i="16"/>
  <c r="J88" i="16"/>
  <c r="L88" i="16"/>
  <c r="M88" i="16"/>
  <c r="B89" i="16"/>
  <c r="C89" i="16"/>
  <c r="D89" i="16"/>
  <c r="J89" i="16"/>
  <c r="L89" i="16"/>
  <c r="M89" i="16"/>
  <c r="B90" i="16"/>
  <c r="C90" i="16"/>
  <c r="D90" i="16"/>
  <c r="J90" i="16"/>
  <c r="L90" i="16"/>
  <c r="M90" i="16"/>
  <c r="B91" i="16"/>
  <c r="C91" i="16"/>
  <c r="D91" i="16"/>
  <c r="J91" i="16"/>
  <c r="L91" i="16"/>
  <c r="M91" i="16"/>
  <c r="B92" i="16"/>
  <c r="C92" i="16"/>
  <c r="D92" i="16"/>
  <c r="J92" i="16"/>
  <c r="L92" i="16"/>
  <c r="M92" i="16"/>
  <c r="B93" i="16"/>
  <c r="C93" i="16"/>
  <c r="D93" i="16"/>
  <c r="J93" i="16"/>
  <c r="L93" i="16"/>
  <c r="M93" i="16"/>
  <c r="B94" i="16"/>
  <c r="C94" i="16"/>
  <c r="D94" i="16"/>
  <c r="J94" i="16"/>
  <c r="L94" i="16"/>
  <c r="M94" i="16"/>
  <c r="B95" i="16"/>
  <c r="C95" i="16"/>
  <c r="D95" i="16"/>
  <c r="J95" i="16"/>
  <c r="L95" i="16"/>
  <c r="M95" i="16"/>
  <c r="B96" i="16"/>
  <c r="C96" i="16"/>
  <c r="D96" i="16"/>
  <c r="J96" i="16"/>
  <c r="L96" i="16"/>
  <c r="M96" i="16"/>
  <c r="B97" i="16"/>
  <c r="C97" i="16"/>
  <c r="D97" i="16"/>
  <c r="J97" i="16"/>
  <c r="L97" i="16"/>
  <c r="M97" i="16"/>
  <c r="B98" i="16"/>
  <c r="C98" i="16"/>
  <c r="D98" i="16"/>
  <c r="J98" i="16"/>
  <c r="L98" i="16"/>
  <c r="M98" i="16"/>
  <c r="B99" i="16"/>
  <c r="C99" i="16"/>
  <c r="D99" i="16"/>
  <c r="J99" i="16"/>
  <c r="L99" i="16"/>
  <c r="M99" i="16"/>
  <c r="B100" i="16"/>
  <c r="C100" i="16"/>
  <c r="D100" i="16"/>
  <c r="J100" i="16"/>
  <c r="L100" i="16"/>
  <c r="M100" i="16"/>
  <c r="B101" i="16"/>
  <c r="C101" i="16"/>
  <c r="D101" i="16"/>
  <c r="J101" i="16"/>
  <c r="L101" i="16"/>
  <c r="M101" i="16"/>
  <c r="B102" i="16"/>
  <c r="C102" i="16"/>
  <c r="D102" i="16"/>
  <c r="J102" i="16"/>
  <c r="L102" i="16"/>
  <c r="M102" i="16"/>
  <c r="B103" i="16"/>
  <c r="C103" i="16"/>
  <c r="D103" i="16"/>
  <c r="J103" i="16"/>
  <c r="L103" i="16"/>
  <c r="M103" i="16"/>
  <c r="B104" i="16"/>
  <c r="C104" i="16"/>
  <c r="D104" i="16"/>
  <c r="J104" i="16"/>
  <c r="L104" i="16"/>
  <c r="M104" i="16"/>
  <c r="B105" i="16"/>
  <c r="C105" i="16"/>
  <c r="D105" i="16"/>
  <c r="J105" i="16"/>
  <c r="L105" i="16"/>
  <c r="M105" i="16"/>
  <c r="B106" i="16"/>
  <c r="C106" i="16"/>
  <c r="D106" i="16"/>
  <c r="J106" i="16"/>
  <c r="L106" i="16"/>
  <c r="M106" i="16"/>
  <c r="B107" i="16"/>
  <c r="C107" i="16"/>
  <c r="D107" i="16"/>
  <c r="J107" i="16"/>
  <c r="L107" i="16"/>
  <c r="M107" i="16"/>
  <c r="B108" i="16"/>
  <c r="C108" i="16"/>
  <c r="D108" i="16"/>
  <c r="J108" i="16"/>
  <c r="L108" i="16"/>
  <c r="M108" i="16"/>
  <c r="B109" i="16"/>
  <c r="C109" i="16"/>
  <c r="D109" i="16"/>
  <c r="J109" i="16"/>
  <c r="L109" i="16"/>
  <c r="M109" i="16"/>
  <c r="B110" i="16"/>
  <c r="C110" i="16"/>
  <c r="D110" i="16"/>
  <c r="J110" i="16"/>
  <c r="L110" i="16"/>
  <c r="M110" i="16"/>
  <c r="B111" i="16"/>
  <c r="C111" i="16"/>
  <c r="D111" i="16"/>
  <c r="J111" i="16"/>
  <c r="L111" i="16"/>
  <c r="M111" i="16"/>
  <c r="B112" i="16"/>
  <c r="C112" i="16"/>
  <c r="D112" i="16"/>
  <c r="J112" i="16"/>
  <c r="L112" i="16"/>
  <c r="M112" i="16"/>
  <c r="B113" i="16"/>
  <c r="C113" i="16"/>
  <c r="D113" i="16"/>
  <c r="J113" i="16"/>
  <c r="L113" i="16"/>
  <c r="M113" i="16"/>
  <c r="B114" i="16"/>
  <c r="C114" i="16"/>
  <c r="D114" i="16"/>
  <c r="J114" i="16"/>
  <c r="L114" i="16"/>
  <c r="M114" i="16"/>
  <c r="B115" i="16"/>
  <c r="C115" i="16"/>
  <c r="D115" i="16"/>
  <c r="J115" i="16"/>
  <c r="L115" i="16"/>
  <c r="M115" i="16"/>
  <c r="B116" i="16"/>
  <c r="C116" i="16"/>
  <c r="D116" i="16"/>
  <c r="J116" i="16"/>
  <c r="L116" i="16"/>
  <c r="M116" i="16"/>
  <c r="B117" i="16"/>
  <c r="C117" i="16"/>
  <c r="D117" i="16"/>
  <c r="J117" i="16"/>
  <c r="L117" i="16"/>
  <c r="M117" i="16"/>
  <c r="B118" i="16"/>
  <c r="C118" i="16"/>
  <c r="D118" i="16"/>
  <c r="J118" i="16"/>
  <c r="L118" i="16"/>
  <c r="M118" i="16"/>
  <c r="B119" i="16"/>
  <c r="C119" i="16"/>
  <c r="D119" i="16"/>
  <c r="J119" i="16"/>
  <c r="L119" i="16"/>
  <c r="M119" i="16"/>
  <c r="B120" i="16"/>
  <c r="C120" i="16"/>
  <c r="D120" i="16"/>
  <c r="J120" i="16"/>
  <c r="L120" i="16"/>
  <c r="M120" i="16"/>
  <c r="B121" i="16"/>
  <c r="C121" i="16"/>
  <c r="D121" i="16"/>
  <c r="J121" i="16"/>
  <c r="L121" i="16"/>
  <c r="M121" i="16"/>
  <c r="B122" i="16"/>
  <c r="C122" i="16"/>
  <c r="D122" i="16"/>
  <c r="J122" i="16"/>
  <c r="L122" i="16"/>
  <c r="M122" i="16"/>
  <c r="B123" i="16"/>
  <c r="C123" i="16"/>
  <c r="D123" i="16"/>
  <c r="J123" i="16"/>
  <c r="L123" i="16"/>
  <c r="M123" i="16"/>
  <c r="B124" i="16"/>
  <c r="C124" i="16"/>
  <c r="D124" i="16"/>
  <c r="J124" i="16"/>
  <c r="L124" i="16"/>
  <c r="M124" i="16"/>
  <c r="B125" i="16"/>
  <c r="C125" i="16"/>
  <c r="D125" i="16"/>
  <c r="J125" i="16"/>
  <c r="L125" i="16"/>
  <c r="M125" i="16"/>
  <c r="B126" i="16"/>
  <c r="C126" i="16"/>
  <c r="D126" i="16"/>
  <c r="J126" i="16"/>
  <c r="L126" i="16"/>
  <c r="M126" i="16"/>
  <c r="B127" i="16"/>
  <c r="C127" i="16"/>
  <c r="D127" i="16"/>
  <c r="J127" i="16"/>
  <c r="L127" i="16"/>
  <c r="M127" i="16"/>
  <c r="B128" i="16"/>
  <c r="C128" i="16"/>
  <c r="D128" i="16"/>
  <c r="J128" i="16"/>
  <c r="L128" i="16"/>
  <c r="M128" i="16"/>
  <c r="B129" i="16"/>
  <c r="C129" i="16"/>
  <c r="D129" i="16"/>
  <c r="J129" i="16"/>
  <c r="L129" i="16"/>
  <c r="M129" i="16"/>
  <c r="B130" i="16"/>
  <c r="C130" i="16"/>
  <c r="D130" i="16"/>
  <c r="J130" i="16"/>
  <c r="L130" i="16"/>
  <c r="M130" i="16"/>
  <c r="B131" i="16"/>
  <c r="C131" i="16"/>
  <c r="D131" i="16"/>
  <c r="J131" i="16"/>
  <c r="L131" i="16"/>
  <c r="M131" i="16"/>
  <c r="B132" i="16"/>
  <c r="C132" i="16"/>
  <c r="D132" i="16"/>
  <c r="J132" i="16"/>
  <c r="L132" i="16"/>
  <c r="M132" i="16"/>
  <c r="B133" i="16"/>
  <c r="C133" i="16"/>
  <c r="D133" i="16"/>
  <c r="J133" i="16"/>
  <c r="L133" i="16"/>
  <c r="M133" i="16"/>
  <c r="B134" i="16"/>
  <c r="C134" i="16"/>
  <c r="D134" i="16"/>
  <c r="J134" i="16"/>
  <c r="L134" i="16"/>
  <c r="M134" i="16"/>
  <c r="B135" i="16"/>
  <c r="C135" i="16"/>
  <c r="D135" i="16"/>
  <c r="J135" i="16"/>
  <c r="L135" i="16"/>
  <c r="M135" i="16"/>
  <c r="B136" i="16"/>
  <c r="C136" i="16"/>
  <c r="D136" i="16"/>
  <c r="J136" i="16"/>
  <c r="L136" i="16"/>
  <c r="M136" i="16"/>
  <c r="B137" i="16"/>
  <c r="C137" i="16"/>
  <c r="D137" i="16"/>
  <c r="J137" i="16"/>
  <c r="L137" i="16"/>
  <c r="M137" i="16"/>
  <c r="B138" i="16"/>
  <c r="C138" i="16"/>
  <c r="D138" i="16"/>
  <c r="J138" i="16"/>
  <c r="L138" i="16"/>
  <c r="M138" i="16"/>
  <c r="B139" i="16"/>
  <c r="C139" i="16"/>
  <c r="D139" i="16"/>
  <c r="J139" i="16"/>
  <c r="L139" i="16"/>
  <c r="M139" i="16"/>
  <c r="B140" i="16"/>
  <c r="C140" i="16"/>
  <c r="D140" i="16"/>
  <c r="J140" i="16"/>
  <c r="L140" i="16"/>
  <c r="M140" i="16"/>
  <c r="B141" i="16"/>
  <c r="C141" i="16"/>
  <c r="D141" i="16"/>
  <c r="J141" i="16"/>
  <c r="L141" i="16"/>
  <c r="M141" i="16"/>
  <c r="B142" i="16"/>
  <c r="C142" i="16"/>
  <c r="D142" i="16"/>
  <c r="J142" i="16"/>
  <c r="L142" i="16"/>
  <c r="M142" i="16"/>
  <c r="B143" i="16"/>
  <c r="C143" i="16"/>
  <c r="D143" i="16"/>
  <c r="J143" i="16"/>
  <c r="L143" i="16"/>
  <c r="M143" i="16"/>
  <c r="B144" i="16"/>
  <c r="C144" i="16"/>
  <c r="D144" i="16"/>
  <c r="J144" i="16"/>
  <c r="L144" i="16"/>
  <c r="M144" i="16"/>
  <c r="B145" i="16"/>
  <c r="C145" i="16"/>
  <c r="D145" i="16"/>
  <c r="J145" i="16"/>
  <c r="L145" i="16"/>
  <c r="M145" i="16"/>
  <c r="B146" i="16"/>
  <c r="C146" i="16"/>
  <c r="D146" i="16"/>
  <c r="J146" i="16"/>
  <c r="L146" i="16"/>
  <c r="M146" i="16"/>
  <c r="B147" i="16"/>
  <c r="C147" i="16"/>
  <c r="D147" i="16"/>
  <c r="J147" i="16"/>
  <c r="L147" i="16"/>
  <c r="M147" i="16"/>
  <c r="B148" i="16"/>
  <c r="C148" i="16"/>
  <c r="D148" i="16"/>
  <c r="J148" i="16"/>
  <c r="L148" i="16"/>
  <c r="M148" i="16"/>
  <c r="B149" i="16"/>
  <c r="C149" i="16"/>
  <c r="D149" i="16"/>
  <c r="J149" i="16"/>
  <c r="L149" i="16"/>
  <c r="M149" i="16"/>
  <c r="B150" i="16"/>
  <c r="C150" i="16"/>
  <c r="D150" i="16"/>
  <c r="J150" i="16"/>
  <c r="L150" i="16"/>
  <c r="M150" i="16"/>
  <c r="B151" i="16"/>
  <c r="C151" i="16"/>
  <c r="D151" i="16"/>
  <c r="J151" i="16"/>
  <c r="L151" i="16"/>
  <c r="M151" i="16"/>
  <c r="B152" i="16"/>
  <c r="C152" i="16"/>
  <c r="D152" i="16"/>
  <c r="J152" i="16"/>
  <c r="L152" i="16"/>
  <c r="M152" i="16"/>
  <c r="B153" i="16"/>
  <c r="C153" i="16"/>
  <c r="D153" i="16"/>
  <c r="J153" i="16"/>
  <c r="L153" i="16"/>
  <c r="M153" i="16"/>
  <c r="B154" i="16"/>
  <c r="C154" i="16"/>
  <c r="D154" i="16"/>
  <c r="J154" i="16"/>
  <c r="L154" i="16"/>
  <c r="M154" i="16"/>
  <c r="B155" i="16"/>
  <c r="C155" i="16"/>
  <c r="D155" i="16"/>
  <c r="J155" i="16"/>
  <c r="L155" i="16"/>
  <c r="M155" i="16"/>
  <c r="B156" i="16"/>
  <c r="C156" i="16"/>
  <c r="D156" i="16"/>
  <c r="J156" i="16"/>
  <c r="L156" i="16"/>
  <c r="M156" i="16"/>
  <c r="B157" i="16"/>
  <c r="C157" i="16"/>
  <c r="D157" i="16"/>
  <c r="J157" i="16"/>
  <c r="L157" i="16"/>
  <c r="M157" i="16"/>
  <c r="B158" i="16"/>
  <c r="C158" i="16"/>
  <c r="D158" i="16"/>
  <c r="J158" i="16"/>
  <c r="L158" i="16"/>
  <c r="M158" i="16"/>
  <c r="B159" i="16"/>
  <c r="C159" i="16"/>
  <c r="D159" i="16"/>
  <c r="J159" i="16"/>
  <c r="L159" i="16"/>
  <c r="M159" i="16"/>
  <c r="B160" i="16"/>
  <c r="C160" i="16"/>
  <c r="D160" i="16"/>
  <c r="J160" i="16"/>
  <c r="L160" i="16"/>
  <c r="M160" i="16"/>
  <c r="B161" i="16"/>
  <c r="C161" i="16"/>
  <c r="D161" i="16"/>
  <c r="J161" i="16"/>
  <c r="L161" i="16"/>
  <c r="M161" i="16"/>
  <c r="B162" i="16"/>
  <c r="C162" i="16"/>
  <c r="D162" i="16"/>
  <c r="J162" i="16"/>
  <c r="L162" i="16"/>
  <c r="M162" i="16"/>
  <c r="B163" i="16"/>
  <c r="C163" i="16"/>
  <c r="D163" i="16"/>
  <c r="J163" i="16"/>
  <c r="L163" i="16"/>
  <c r="M163" i="16"/>
  <c r="B164" i="16"/>
  <c r="C164" i="16"/>
  <c r="D164" i="16"/>
  <c r="J164" i="16"/>
  <c r="L164" i="16"/>
  <c r="M164" i="16"/>
  <c r="B165" i="16"/>
  <c r="C165" i="16"/>
  <c r="D165" i="16"/>
  <c r="J165" i="16"/>
  <c r="L165" i="16"/>
  <c r="M165" i="16"/>
  <c r="B166" i="16"/>
  <c r="C166" i="16"/>
  <c r="D166" i="16"/>
  <c r="J166" i="16"/>
  <c r="L166" i="16"/>
  <c r="M166" i="16"/>
  <c r="B167" i="16"/>
  <c r="C167" i="16"/>
  <c r="D167" i="16"/>
  <c r="J167" i="16"/>
  <c r="L167" i="16"/>
  <c r="M167" i="16"/>
  <c r="B168" i="16"/>
  <c r="C168" i="16"/>
  <c r="D168" i="16"/>
  <c r="J168" i="16"/>
  <c r="L168" i="16"/>
  <c r="M168" i="16"/>
  <c r="B169" i="16"/>
  <c r="C169" i="16"/>
  <c r="D169" i="16"/>
  <c r="J169" i="16"/>
  <c r="L169" i="16"/>
  <c r="M169" i="16"/>
  <c r="B170" i="16"/>
  <c r="C170" i="16"/>
  <c r="D170" i="16"/>
  <c r="J170" i="16"/>
  <c r="L170" i="16"/>
  <c r="M170" i="16"/>
  <c r="B171" i="16"/>
  <c r="C171" i="16"/>
  <c r="D171" i="16"/>
  <c r="J171" i="16"/>
  <c r="L171" i="16"/>
  <c r="M171" i="16"/>
  <c r="B172" i="16"/>
  <c r="C172" i="16"/>
  <c r="D172" i="16"/>
  <c r="J172" i="16"/>
  <c r="L172" i="16"/>
  <c r="M172" i="16"/>
  <c r="B173" i="16"/>
  <c r="C173" i="16"/>
  <c r="D173" i="16"/>
  <c r="J173" i="16"/>
  <c r="L173" i="16"/>
  <c r="M173" i="16"/>
  <c r="B174" i="16"/>
  <c r="C174" i="16"/>
  <c r="D174" i="16"/>
  <c r="J174" i="16"/>
  <c r="L174" i="16"/>
  <c r="M174" i="16"/>
  <c r="B175" i="16"/>
  <c r="C175" i="16"/>
  <c r="D175" i="16"/>
  <c r="J175" i="16"/>
  <c r="L175" i="16"/>
  <c r="M175" i="16"/>
  <c r="B176" i="16"/>
  <c r="C176" i="16"/>
  <c r="D176" i="16"/>
  <c r="J176" i="16"/>
  <c r="L176" i="16"/>
  <c r="M176" i="16"/>
  <c r="B177" i="16"/>
  <c r="C177" i="16"/>
  <c r="D177" i="16"/>
  <c r="J177" i="16"/>
  <c r="L177" i="16"/>
  <c r="M177" i="16"/>
  <c r="B178" i="16"/>
  <c r="C178" i="16"/>
  <c r="D178" i="16"/>
  <c r="J178" i="16"/>
  <c r="L178" i="16"/>
  <c r="M178" i="16"/>
  <c r="B179" i="16"/>
  <c r="C179" i="16"/>
  <c r="D179" i="16"/>
  <c r="J179" i="16"/>
  <c r="L179" i="16"/>
  <c r="M179" i="16"/>
  <c r="B180" i="16"/>
  <c r="C180" i="16"/>
  <c r="D180" i="16"/>
  <c r="J180" i="16"/>
  <c r="L180" i="16"/>
  <c r="M180" i="16"/>
  <c r="B181" i="16"/>
  <c r="C181" i="16"/>
  <c r="D181" i="16"/>
  <c r="J181" i="16"/>
  <c r="L181" i="16"/>
  <c r="M181" i="16"/>
  <c r="B182" i="16"/>
  <c r="C182" i="16"/>
  <c r="D182" i="16"/>
  <c r="J182" i="16"/>
  <c r="L182" i="16"/>
  <c r="M182" i="16"/>
  <c r="B183" i="16"/>
  <c r="C183" i="16"/>
  <c r="D183" i="16"/>
  <c r="J183" i="16"/>
  <c r="L183" i="16"/>
  <c r="M183" i="16"/>
  <c r="B184" i="16"/>
  <c r="C184" i="16"/>
  <c r="D184" i="16"/>
  <c r="J184" i="16"/>
  <c r="L184" i="16"/>
  <c r="M184" i="16"/>
  <c r="B185" i="16"/>
  <c r="C185" i="16"/>
  <c r="D185" i="16"/>
  <c r="J185" i="16"/>
  <c r="L185" i="16"/>
  <c r="M185" i="16"/>
  <c r="B186" i="16"/>
  <c r="C186" i="16"/>
  <c r="D186" i="16"/>
  <c r="J186" i="16"/>
  <c r="L186" i="16"/>
  <c r="M186" i="16"/>
  <c r="B187" i="16"/>
  <c r="C187" i="16"/>
  <c r="D187" i="16"/>
  <c r="J187" i="16"/>
  <c r="L187" i="16"/>
  <c r="M187" i="16"/>
  <c r="B188" i="16"/>
  <c r="C188" i="16"/>
  <c r="D188" i="16"/>
  <c r="J188" i="16"/>
  <c r="L188" i="16"/>
  <c r="M188" i="16"/>
  <c r="B189" i="16"/>
  <c r="C189" i="16"/>
  <c r="D189" i="16"/>
  <c r="J189" i="16"/>
  <c r="L189" i="16"/>
  <c r="M189" i="16"/>
  <c r="B190" i="16"/>
  <c r="C190" i="16"/>
  <c r="D190" i="16"/>
  <c r="J190" i="16"/>
  <c r="L190" i="16"/>
  <c r="M190" i="16"/>
  <c r="B191" i="16"/>
  <c r="C191" i="16"/>
  <c r="D191" i="16"/>
  <c r="J191" i="16"/>
  <c r="L191" i="16"/>
  <c r="M191" i="16"/>
  <c r="B192" i="16"/>
  <c r="C192" i="16"/>
  <c r="D192" i="16"/>
  <c r="J192" i="16"/>
  <c r="L192" i="16"/>
  <c r="M192" i="16"/>
  <c r="B193" i="16"/>
  <c r="C193" i="16"/>
  <c r="D193" i="16"/>
  <c r="J193" i="16"/>
  <c r="L193" i="16"/>
  <c r="M193" i="16"/>
  <c r="B194" i="16"/>
  <c r="C194" i="16"/>
  <c r="D194" i="16"/>
  <c r="J194" i="16"/>
  <c r="L194" i="16"/>
  <c r="M194" i="16"/>
  <c r="B195" i="16"/>
  <c r="C195" i="16"/>
  <c r="D195" i="16"/>
  <c r="J195" i="16"/>
  <c r="L195" i="16"/>
  <c r="M195" i="16"/>
  <c r="B196" i="16"/>
  <c r="C196" i="16"/>
  <c r="D196" i="16"/>
  <c r="J196" i="16"/>
  <c r="L196" i="16"/>
  <c r="M196" i="16"/>
  <c r="B197" i="16"/>
  <c r="C197" i="16"/>
  <c r="D197" i="16"/>
  <c r="J197" i="16"/>
  <c r="L197" i="16"/>
  <c r="M197" i="16"/>
  <c r="B198" i="16"/>
  <c r="C198" i="16"/>
  <c r="D198" i="16"/>
  <c r="J198" i="16"/>
  <c r="L198" i="16"/>
  <c r="M198" i="16"/>
  <c r="B199" i="16"/>
  <c r="C199" i="16"/>
  <c r="D199" i="16"/>
  <c r="J199" i="16"/>
  <c r="L199" i="16"/>
  <c r="M199" i="16"/>
  <c r="B200" i="16"/>
  <c r="C200" i="16"/>
  <c r="D200" i="16"/>
  <c r="J200" i="16"/>
  <c r="L200" i="16"/>
  <c r="M200" i="16"/>
  <c r="B201" i="16"/>
  <c r="C201" i="16"/>
  <c r="D201" i="16"/>
  <c r="J201" i="16"/>
  <c r="L201" i="16"/>
  <c r="M201" i="16"/>
  <c r="B202" i="16"/>
  <c r="C202" i="16"/>
  <c r="D202" i="16"/>
  <c r="J202" i="16"/>
  <c r="L202" i="16"/>
  <c r="M202" i="16"/>
  <c r="B203" i="16"/>
  <c r="C203" i="16"/>
  <c r="D203" i="16"/>
  <c r="J203" i="16"/>
  <c r="L203" i="16"/>
  <c r="M203" i="16"/>
  <c r="B204" i="16"/>
  <c r="C204" i="16"/>
  <c r="D204" i="16"/>
  <c r="J204" i="16"/>
  <c r="L204" i="16"/>
  <c r="M204" i="16"/>
  <c r="B205" i="16"/>
  <c r="C205" i="16"/>
  <c r="D205" i="16"/>
  <c r="J205" i="16"/>
  <c r="L205" i="16"/>
  <c r="M205" i="16"/>
  <c r="B206" i="16"/>
  <c r="C206" i="16"/>
  <c r="D206" i="16"/>
  <c r="J206" i="16"/>
  <c r="L206" i="16"/>
  <c r="M206" i="16"/>
  <c r="B207" i="16"/>
  <c r="C207" i="16"/>
  <c r="D207" i="16"/>
  <c r="J207" i="16"/>
  <c r="L207" i="16"/>
  <c r="M207" i="16"/>
  <c r="B208" i="16"/>
  <c r="C208" i="16"/>
  <c r="D208" i="16"/>
  <c r="J208" i="16"/>
  <c r="L208" i="16"/>
  <c r="M208" i="16"/>
  <c r="B209" i="16"/>
  <c r="C209" i="16"/>
  <c r="D209" i="16"/>
  <c r="J209" i="16"/>
  <c r="L209" i="16"/>
  <c r="M209" i="16"/>
  <c r="B210" i="16"/>
  <c r="C210" i="16"/>
  <c r="D210" i="16"/>
  <c r="J210" i="16"/>
  <c r="L210" i="16"/>
  <c r="M210" i="16"/>
  <c r="B211" i="16"/>
  <c r="C211" i="16"/>
  <c r="D211" i="16"/>
  <c r="J211" i="16"/>
  <c r="L211" i="16"/>
  <c r="M211" i="16"/>
  <c r="B212" i="16"/>
  <c r="C212" i="16"/>
  <c r="D212" i="16"/>
  <c r="J212" i="16"/>
  <c r="L212" i="16"/>
  <c r="M212" i="16"/>
  <c r="B213" i="16"/>
  <c r="C213" i="16"/>
  <c r="D213" i="16"/>
  <c r="J213" i="16"/>
  <c r="L213" i="16"/>
  <c r="M213" i="16"/>
  <c r="B214" i="16"/>
  <c r="C214" i="16"/>
  <c r="D214" i="16"/>
  <c r="J214" i="16"/>
  <c r="L214" i="16"/>
  <c r="M214" i="16"/>
  <c r="B215" i="16"/>
  <c r="C215" i="16"/>
  <c r="D215" i="16"/>
  <c r="J215" i="16"/>
  <c r="L215" i="16"/>
  <c r="M215" i="16"/>
  <c r="B216" i="16"/>
  <c r="C216" i="16"/>
  <c r="D216" i="16"/>
  <c r="J216" i="16"/>
  <c r="L216" i="16"/>
  <c r="M216" i="16"/>
  <c r="B217" i="16"/>
  <c r="C217" i="16"/>
  <c r="D217" i="16"/>
  <c r="J217" i="16"/>
  <c r="L217" i="16"/>
  <c r="M217" i="16"/>
  <c r="B218" i="16"/>
  <c r="C218" i="16"/>
  <c r="D218" i="16"/>
  <c r="J218" i="16"/>
  <c r="L218" i="16"/>
  <c r="M218" i="16"/>
  <c r="B219" i="16"/>
  <c r="C219" i="16"/>
  <c r="D219" i="16"/>
  <c r="J219" i="16"/>
  <c r="L219" i="16"/>
  <c r="M219" i="16"/>
  <c r="B220" i="16"/>
  <c r="C220" i="16"/>
  <c r="D220" i="16"/>
  <c r="J220" i="16"/>
  <c r="L220" i="16"/>
  <c r="M220" i="16"/>
  <c r="B221" i="16"/>
  <c r="C221" i="16"/>
  <c r="D221" i="16"/>
  <c r="J221" i="16"/>
  <c r="L221" i="16"/>
  <c r="M221" i="16"/>
  <c r="B222" i="16"/>
  <c r="C222" i="16"/>
  <c r="D222" i="16"/>
  <c r="J222" i="16"/>
  <c r="L222" i="16"/>
  <c r="M222" i="16"/>
  <c r="B223" i="16"/>
  <c r="C223" i="16"/>
  <c r="D223" i="16"/>
  <c r="J223" i="16"/>
  <c r="L223" i="16"/>
  <c r="M223" i="16"/>
  <c r="B224" i="16"/>
  <c r="C224" i="16"/>
  <c r="D224" i="16"/>
  <c r="J224" i="16"/>
  <c r="L224" i="16"/>
  <c r="M224" i="16"/>
  <c r="B225" i="16"/>
  <c r="C225" i="16"/>
  <c r="D225" i="16"/>
  <c r="J225" i="16"/>
  <c r="L225" i="16"/>
  <c r="M225" i="16"/>
  <c r="B226" i="16"/>
  <c r="C226" i="16"/>
  <c r="D226" i="16"/>
  <c r="J226" i="16"/>
  <c r="L226" i="16"/>
  <c r="M226" i="16"/>
  <c r="B227" i="16"/>
  <c r="C227" i="16"/>
  <c r="D227" i="16"/>
  <c r="J227" i="16"/>
  <c r="L227" i="16"/>
  <c r="M227" i="16"/>
  <c r="B228" i="16"/>
  <c r="C228" i="16"/>
  <c r="D228" i="16"/>
  <c r="J228" i="16"/>
  <c r="L228" i="16"/>
  <c r="M228" i="16"/>
  <c r="B229" i="16"/>
  <c r="C229" i="16"/>
  <c r="D229" i="16"/>
  <c r="J229" i="16"/>
  <c r="L229" i="16"/>
  <c r="M229" i="16"/>
  <c r="B230" i="16"/>
  <c r="C230" i="16"/>
  <c r="D230" i="16"/>
  <c r="J230" i="16"/>
  <c r="L230" i="16"/>
  <c r="M230" i="16"/>
  <c r="B231" i="16"/>
  <c r="C231" i="16"/>
  <c r="D231" i="16"/>
  <c r="J231" i="16"/>
  <c r="L231" i="16"/>
  <c r="M231" i="16"/>
  <c r="B232" i="16"/>
  <c r="C232" i="16"/>
  <c r="D232" i="16"/>
  <c r="J232" i="16"/>
  <c r="L232" i="16"/>
  <c r="M232" i="16"/>
  <c r="B233" i="16"/>
  <c r="C233" i="16"/>
  <c r="D233" i="16"/>
  <c r="J233" i="16"/>
  <c r="L233" i="16"/>
  <c r="M233" i="16"/>
  <c r="B234" i="16"/>
  <c r="C234" i="16"/>
  <c r="D234" i="16"/>
  <c r="J234" i="16"/>
  <c r="L234" i="16"/>
  <c r="M234" i="16"/>
  <c r="B235" i="16"/>
  <c r="C235" i="16"/>
  <c r="D235" i="16"/>
  <c r="J235" i="16"/>
  <c r="L235" i="16"/>
  <c r="M235" i="16"/>
  <c r="B236" i="16"/>
  <c r="C236" i="16"/>
  <c r="D236" i="16"/>
  <c r="J236" i="16"/>
  <c r="L236" i="16"/>
  <c r="M236" i="16"/>
  <c r="B237" i="16"/>
  <c r="C237" i="16"/>
  <c r="D237" i="16"/>
  <c r="J237" i="16"/>
  <c r="L237" i="16"/>
  <c r="M237" i="16"/>
  <c r="B238" i="16"/>
  <c r="C238" i="16"/>
  <c r="D238" i="16"/>
  <c r="J238" i="16"/>
  <c r="L238" i="16"/>
  <c r="M238" i="16"/>
  <c r="B239" i="16"/>
  <c r="C239" i="16"/>
  <c r="D239" i="16"/>
  <c r="J239" i="16"/>
  <c r="L239" i="16"/>
  <c r="M239" i="16"/>
  <c r="B240" i="16"/>
  <c r="C240" i="16"/>
  <c r="D240" i="16"/>
  <c r="J240" i="16"/>
  <c r="L240" i="16"/>
  <c r="M240" i="16"/>
  <c r="B241" i="16"/>
  <c r="C241" i="16"/>
  <c r="D241" i="16"/>
  <c r="J241" i="16"/>
  <c r="L241" i="16"/>
  <c r="M241" i="16"/>
  <c r="B242" i="16"/>
  <c r="C242" i="16"/>
  <c r="D242" i="16"/>
  <c r="J242" i="16"/>
  <c r="L242" i="16"/>
  <c r="M242" i="16"/>
  <c r="B243" i="16"/>
  <c r="C243" i="16"/>
  <c r="D243" i="16"/>
  <c r="J243" i="16"/>
  <c r="L243" i="16"/>
  <c r="M243" i="16"/>
  <c r="B244" i="16"/>
  <c r="C244" i="16"/>
  <c r="D244" i="16"/>
  <c r="J244" i="16"/>
  <c r="L244" i="16"/>
  <c r="M244" i="16"/>
  <c r="B245" i="16"/>
  <c r="C245" i="16"/>
  <c r="D245" i="16"/>
  <c r="J245" i="16"/>
  <c r="L245" i="16"/>
  <c r="M245" i="16"/>
  <c r="B246" i="16"/>
  <c r="C246" i="16"/>
  <c r="D246" i="16"/>
  <c r="J246" i="16"/>
  <c r="L246" i="16"/>
  <c r="M246" i="16"/>
  <c r="B247" i="16"/>
  <c r="C247" i="16"/>
  <c r="D247" i="16"/>
  <c r="J247" i="16"/>
  <c r="L247" i="16"/>
  <c r="M247" i="16"/>
  <c r="B248" i="16"/>
  <c r="C248" i="16"/>
  <c r="D248" i="16"/>
  <c r="J248" i="16"/>
  <c r="L248" i="16"/>
  <c r="M248" i="16"/>
  <c r="B249" i="16"/>
  <c r="C249" i="16"/>
  <c r="D249" i="16"/>
  <c r="J249" i="16"/>
  <c r="L249" i="16"/>
  <c r="M249" i="16"/>
  <c r="B250" i="16"/>
  <c r="C250" i="16"/>
  <c r="D250" i="16"/>
  <c r="J250" i="16"/>
  <c r="L250" i="16"/>
  <c r="M250" i="16"/>
  <c r="B251" i="16"/>
  <c r="C251" i="16"/>
  <c r="D251" i="16"/>
  <c r="J251" i="16"/>
  <c r="L251" i="16"/>
  <c r="M251" i="16"/>
  <c r="B252" i="16"/>
  <c r="C252" i="16"/>
  <c r="D252" i="16"/>
  <c r="J252" i="16"/>
  <c r="L252" i="16"/>
  <c r="M252" i="16"/>
  <c r="B253" i="16"/>
  <c r="C253" i="16"/>
  <c r="D253" i="16"/>
  <c r="J253" i="16"/>
  <c r="L253" i="16"/>
  <c r="M253" i="16"/>
  <c r="B254" i="16"/>
  <c r="C254" i="16"/>
  <c r="D254" i="16"/>
  <c r="J254" i="16"/>
  <c r="L254" i="16"/>
  <c r="M254" i="16"/>
  <c r="B255" i="16"/>
  <c r="C255" i="16"/>
  <c r="D255" i="16"/>
  <c r="J255" i="16"/>
  <c r="L255" i="16"/>
  <c r="M255" i="16"/>
  <c r="B256" i="16"/>
  <c r="C256" i="16"/>
  <c r="D256" i="16"/>
  <c r="J256" i="16"/>
  <c r="L256" i="16"/>
  <c r="M256" i="16"/>
  <c r="B257" i="16"/>
  <c r="C257" i="16"/>
  <c r="D257" i="16"/>
  <c r="J257" i="16"/>
  <c r="L257" i="16"/>
  <c r="M257" i="16"/>
  <c r="B258" i="16"/>
  <c r="C258" i="16"/>
  <c r="D258" i="16"/>
  <c r="J258" i="16"/>
  <c r="L258" i="16"/>
  <c r="M258" i="16"/>
  <c r="B259" i="16"/>
  <c r="C259" i="16"/>
  <c r="D259" i="16"/>
  <c r="J259" i="16"/>
  <c r="L259" i="16"/>
  <c r="M259" i="16"/>
  <c r="B260" i="16"/>
  <c r="C260" i="16"/>
  <c r="D260" i="16"/>
  <c r="J260" i="16"/>
  <c r="L260" i="16"/>
  <c r="M260" i="16"/>
  <c r="B261" i="16"/>
  <c r="C261" i="16"/>
  <c r="D261" i="16"/>
  <c r="J261" i="16"/>
  <c r="L261" i="16"/>
  <c r="M261" i="16"/>
  <c r="B262" i="16"/>
  <c r="C262" i="16"/>
  <c r="D262" i="16"/>
  <c r="J262" i="16"/>
  <c r="L262" i="16"/>
  <c r="M262" i="16"/>
  <c r="B263" i="16"/>
  <c r="C263" i="16"/>
  <c r="D263" i="16"/>
  <c r="J263" i="16"/>
  <c r="L263" i="16"/>
  <c r="M263" i="16"/>
  <c r="B264" i="16"/>
  <c r="C264" i="16"/>
  <c r="D264" i="16"/>
  <c r="J264" i="16"/>
  <c r="L264" i="16"/>
  <c r="M264" i="16"/>
  <c r="B265" i="16"/>
  <c r="C265" i="16"/>
  <c r="D265" i="16"/>
  <c r="J265" i="16"/>
  <c r="L265" i="16"/>
  <c r="M265" i="16"/>
  <c r="B266" i="16"/>
  <c r="C266" i="16"/>
  <c r="D266" i="16"/>
  <c r="J266" i="16"/>
  <c r="L266" i="16"/>
  <c r="M266" i="16"/>
  <c r="B267" i="16"/>
  <c r="C267" i="16"/>
  <c r="D267" i="16"/>
  <c r="J267" i="16"/>
  <c r="L267" i="16"/>
  <c r="M267" i="16"/>
  <c r="B268" i="16"/>
  <c r="C268" i="16"/>
  <c r="D268" i="16"/>
  <c r="J268" i="16"/>
  <c r="L268" i="16"/>
  <c r="M268" i="16"/>
  <c r="B269" i="16"/>
  <c r="C269" i="16"/>
  <c r="D269" i="16"/>
  <c r="J269" i="16"/>
  <c r="L269" i="16"/>
  <c r="M269" i="16"/>
  <c r="B270" i="16"/>
  <c r="C270" i="16"/>
  <c r="D270" i="16"/>
  <c r="J270" i="16"/>
  <c r="L270" i="16"/>
  <c r="M270" i="16"/>
  <c r="B271" i="16"/>
  <c r="C271" i="16"/>
  <c r="D271" i="16"/>
  <c r="J271" i="16"/>
  <c r="L271" i="16"/>
  <c r="M271" i="16"/>
  <c r="B272" i="16"/>
  <c r="C272" i="16"/>
  <c r="D272" i="16"/>
  <c r="J272" i="16"/>
  <c r="L272" i="16"/>
  <c r="M272" i="16"/>
  <c r="B273" i="16"/>
  <c r="C273" i="16"/>
  <c r="D273" i="16"/>
  <c r="J273" i="16"/>
  <c r="L273" i="16"/>
  <c r="M273" i="16"/>
  <c r="B274" i="16"/>
  <c r="C274" i="16"/>
  <c r="D274" i="16"/>
  <c r="J274" i="16"/>
  <c r="L274" i="16"/>
  <c r="M274" i="16"/>
  <c r="B275" i="16"/>
  <c r="C275" i="16"/>
  <c r="D275" i="16"/>
  <c r="J275" i="16"/>
  <c r="L275" i="16"/>
  <c r="M275" i="16"/>
  <c r="B276" i="16"/>
  <c r="C276" i="16"/>
  <c r="D276" i="16"/>
  <c r="J276" i="16"/>
  <c r="L276" i="16"/>
  <c r="M276" i="16"/>
  <c r="B277" i="16"/>
  <c r="C277" i="16"/>
  <c r="D277" i="16"/>
  <c r="J277" i="16"/>
  <c r="L277" i="16"/>
  <c r="M277" i="16"/>
  <c r="B278" i="16"/>
  <c r="C278" i="16"/>
  <c r="D278" i="16"/>
  <c r="J278" i="16"/>
  <c r="L278" i="16"/>
  <c r="M278" i="16"/>
  <c r="B279" i="16"/>
  <c r="C279" i="16"/>
  <c r="D279" i="16"/>
  <c r="J279" i="16"/>
  <c r="L279" i="16"/>
  <c r="M279" i="16"/>
  <c r="B280" i="16"/>
  <c r="C280" i="16"/>
  <c r="D280" i="16"/>
  <c r="J280" i="16"/>
  <c r="L280" i="16"/>
  <c r="M280" i="16"/>
  <c r="B281" i="16"/>
  <c r="C281" i="16"/>
  <c r="D281" i="16"/>
  <c r="J281" i="16"/>
  <c r="L281" i="16"/>
  <c r="M281" i="16"/>
  <c r="B282" i="16"/>
  <c r="C282" i="16"/>
  <c r="D282" i="16"/>
  <c r="J282" i="16"/>
  <c r="L282" i="16"/>
  <c r="M282" i="16"/>
  <c r="B283" i="16"/>
  <c r="C283" i="16"/>
  <c r="D283" i="16"/>
  <c r="J283" i="16"/>
  <c r="L283" i="16"/>
  <c r="M283" i="16"/>
  <c r="B284" i="16"/>
  <c r="C284" i="16"/>
  <c r="D284" i="16"/>
  <c r="J284" i="16"/>
  <c r="L284" i="16"/>
  <c r="M284" i="16"/>
  <c r="B285" i="16"/>
  <c r="C285" i="16"/>
  <c r="D285" i="16"/>
  <c r="J285" i="16"/>
  <c r="L285" i="16"/>
  <c r="M285" i="16"/>
  <c r="B286" i="16"/>
  <c r="C286" i="16"/>
  <c r="D286" i="16"/>
  <c r="J286" i="16"/>
  <c r="L286" i="16"/>
  <c r="M286" i="16"/>
  <c r="B287" i="16"/>
  <c r="C287" i="16"/>
  <c r="D287" i="16"/>
  <c r="J287" i="16"/>
  <c r="L287" i="16"/>
  <c r="M287" i="16"/>
  <c r="B288" i="16"/>
  <c r="C288" i="16"/>
  <c r="D288" i="16"/>
  <c r="J288" i="16"/>
  <c r="L288" i="16"/>
  <c r="M288" i="16"/>
  <c r="B289" i="16"/>
  <c r="C289" i="16"/>
  <c r="D289" i="16"/>
  <c r="J289" i="16"/>
  <c r="L289" i="16"/>
  <c r="M289" i="16"/>
  <c r="B290" i="16"/>
  <c r="C290" i="16"/>
  <c r="D290" i="16"/>
  <c r="J290" i="16"/>
  <c r="L290" i="16"/>
  <c r="M290" i="16"/>
  <c r="B291" i="16"/>
  <c r="C291" i="16"/>
  <c r="D291" i="16"/>
  <c r="J291" i="16"/>
  <c r="L291" i="16"/>
  <c r="M291" i="16"/>
  <c r="B292" i="16"/>
  <c r="C292" i="16"/>
  <c r="D292" i="16"/>
  <c r="J292" i="16"/>
  <c r="L292" i="16"/>
  <c r="M292" i="16"/>
  <c r="B293" i="16"/>
  <c r="C293" i="16"/>
  <c r="D293" i="16"/>
  <c r="J293" i="16"/>
  <c r="L293" i="16"/>
  <c r="M293" i="16"/>
  <c r="B294" i="16"/>
  <c r="C294" i="16"/>
  <c r="D294" i="16"/>
  <c r="J294" i="16"/>
  <c r="L294" i="16"/>
  <c r="M294" i="16"/>
  <c r="B295" i="16"/>
  <c r="C295" i="16"/>
  <c r="D295" i="16"/>
  <c r="J295" i="16"/>
  <c r="L295" i="16"/>
  <c r="M295" i="16"/>
  <c r="B296" i="16"/>
  <c r="C296" i="16"/>
  <c r="D296" i="16"/>
  <c r="J296" i="16"/>
  <c r="L296" i="16"/>
  <c r="M296" i="16"/>
  <c r="B297" i="16"/>
  <c r="C297" i="16"/>
  <c r="D297" i="16"/>
  <c r="J297" i="16"/>
  <c r="L297" i="16"/>
  <c r="M297" i="16"/>
  <c r="B298" i="16"/>
  <c r="C298" i="16"/>
  <c r="D298" i="16"/>
  <c r="J298" i="16"/>
  <c r="L298" i="16"/>
  <c r="M298" i="16"/>
  <c r="B299" i="16"/>
  <c r="C299" i="16"/>
  <c r="D299" i="16"/>
  <c r="J299" i="16"/>
  <c r="L299" i="16"/>
  <c r="M299" i="16"/>
  <c r="B300" i="16"/>
  <c r="C300" i="16"/>
  <c r="D300" i="16"/>
  <c r="J300" i="16"/>
  <c r="L300" i="16"/>
  <c r="M300" i="16"/>
  <c r="B301" i="16"/>
  <c r="C301" i="16"/>
  <c r="D301" i="16"/>
  <c r="J301" i="16"/>
  <c r="L301" i="16"/>
  <c r="M301" i="16"/>
  <c r="B302" i="16"/>
  <c r="C302" i="16"/>
  <c r="D302" i="16"/>
  <c r="J302" i="16"/>
  <c r="L302" i="16"/>
  <c r="M302" i="16"/>
  <c r="B303" i="16"/>
  <c r="C303" i="16"/>
  <c r="D303" i="16"/>
  <c r="J303" i="16"/>
  <c r="L303" i="16"/>
  <c r="M303" i="16"/>
  <c r="B304" i="16"/>
  <c r="C304" i="16"/>
  <c r="D304" i="16"/>
  <c r="J304" i="16"/>
  <c r="L304" i="16"/>
  <c r="M304" i="16"/>
  <c r="B305" i="16"/>
  <c r="C305" i="16"/>
  <c r="D305" i="16"/>
  <c r="J305" i="16"/>
  <c r="L305" i="16"/>
  <c r="M305" i="16"/>
  <c r="B306" i="16"/>
  <c r="C306" i="16"/>
  <c r="D306" i="16"/>
  <c r="J306" i="16"/>
  <c r="L306" i="16"/>
  <c r="M306" i="16"/>
  <c r="B307" i="16"/>
  <c r="C307" i="16"/>
  <c r="D307" i="16"/>
  <c r="J307" i="16"/>
  <c r="L307" i="16"/>
  <c r="M307" i="16"/>
  <c r="B308" i="16"/>
  <c r="C308" i="16"/>
  <c r="D308" i="16"/>
  <c r="J308" i="16"/>
  <c r="L308" i="16"/>
  <c r="M308" i="16"/>
  <c r="B309" i="16"/>
  <c r="C309" i="16"/>
  <c r="D309" i="16"/>
  <c r="J309" i="16"/>
  <c r="L309" i="16"/>
  <c r="M309" i="16"/>
  <c r="B310" i="16"/>
  <c r="C310" i="16"/>
  <c r="D310" i="16"/>
  <c r="J310" i="16"/>
  <c r="L310" i="16"/>
  <c r="M310" i="16"/>
  <c r="B311" i="16"/>
  <c r="C311" i="16"/>
  <c r="D311" i="16"/>
  <c r="J311" i="16"/>
  <c r="L311" i="16"/>
  <c r="M311" i="16"/>
  <c r="B312" i="16"/>
  <c r="C312" i="16"/>
  <c r="D312" i="16"/>
  <c r="J312" i="16"/>
  <c r="L312" i="16"/>
  <c r="M312" i="16"/>
  <c r="B313" i="16"/>
  <c r="C313" i="16"/>
  <c r="D313" i="16"/>
  <c r="J313" i="16"/>
  <c r="L313" i="16"/>
  <c r="M313" i="16"/>
  <c r="B314" i="16"/>
  <c r="C314" i="16"/>
  <c r="D314" i="16"/>
  <c r="J314" i="16"/>
  <c r="L314" i="16"/>
  <c r="M314" i="16"/>
  <c r="B315" i="16"/>
  <c r="C315" i="16"/>
  <c r="D315" i="16"/>
  <c r="J315" i="16"/>
  <c r="L315" i="16"/>
  <c r="M315" i="16"/>
  <c r="B316" i="16"/>
  <c r="C316" i="16"/>
  <c r="D316" i="16"/>
  <c r="J316" i="16"/>
  <c r="L316" i="16"/>
  <c r="M316" i="16"/>
  <c r="B317" i="16"/>
  <c r="C317" i="16"/>
  <c r="D317" i="16"/>
  <c r="J317" i="16"/>
  <c r="L317" i="16"/>
  <c r="M317" i="16"/>
  <c r="B318" i="16"/>
  <c r="C318" i="16"/>
  <c r="D318" i="16"/>
  <c r="J318" i="16"/>
  <c r="L318" i="16"/>
  <c r="M318" i="16"/>
  <c r="B319" i="16"/>
  <c r="C319" i="16"/>
  <c r="D319" i="16"/>
  <c r="J319" i="16"/>
  <c r="L319" i="16"/>
  <c r="M319" i="16"/>
  <c r="B320" i="16"/>
  <c r="C320" i="16"/>
  <c r="D320" i="16"/>
  <c r="J320" i="16"/>
  <c r="L320" i="16"/>
  <c r="M320" i="16"/>
  <c r="B321" i="16"/>
  <c r="C321" i="16"/>
  <c r="D321" i="16"/>
  <c r="J321" i="16"/>
  <c r="L321" i="16"/>
  <c r="M321" i="16"/>
  <c r="B322" i="16"/>
  <c r="C322" i="16"/>
  <c r="D322" i="16"/>
  <c r="J322" i="16"/>
  <c r="L322" i="16"/>
  <c r="M322" i="16"/>
  <c r="B323" i="16"/>
  <c r="C323" i="16"/>
  <c r="D323" i="16"/>
  <c r="J323" i="16"/>
  <c r="L323" i="16"/>
  <c r="M323" i="16"/>
  <c r="B324" i="16"/>
  <c r="C324" i="16"/>
  <c r="D324" i="16"/>
  <c r="J324" i="16"/>
  <c r="L324" i="16"/>
  <c r="M324" i="16"/>
  <c r="B325" i="16"/>
  <c r="C325" i="16"/>
  <c r="D325" i="16"/>
  <c r="J325" i="16"/>
  <c r="L325" i="16"/>
  <c r="M325" i="16"/>
  <c r="B326" i="16"/>
  <c r="C326" i="16"/>
  <c r="D326" i="16"/>
  <c r="J326" i="16"/>
  <c r="L326" i="16"/>
  <c r="M326" i="16"/>
  <c r="B327" i="16"/>
  <c r="C327" i="16"/>
  <c r="D327" i="16"/>
  <c r="J327" i="16"/>
  <c r="L327" i="16"/>
  <c r="M327" i="16"/>
  <c r="B328" i="16"/>
  <c r="C328" i="16"/>
  <c r="D328" i="16"/>
  <c r="J328" i="16"/>
  <c r="L328" i="16"/>
  <c r="M328" i="16"/>
  <c r="B329" i="16"/>
  <c r="C329" i="16"/>
  <c r="D329" i="16"/>
  <c r="L329" i="16"/>
  <c r="M329" i="16"/>
  <c r="B330" i="16"/>
  <c r="C330" i="16"/>
  <c r="D330" i="16"/>
  <c r="J330" i="16"/>
  <c r="L330" i="16"/>
  <c r="M330" i="16"/>
  <c r="B331" i="16"/>
  <c r="C331" i="16"/>
  <c r="D331" i="16"/>
  <c r="J331" i="16"/>
  <c r="L331" i="16"/>
  <c r="M331" i="16"/>
  <c r="B332" i="16"/>
  <c r="C332" i="16"/>
  <c r="D332" i="16"/>
  <c r="J332" i="16"/>
  <c r="L332" i="16"/>
  <c r="M332" i="16"/>
  <c r="B333" i="16"/>
  <c r="C333" i="16"/>
  <c r="D333" i="16"/>
  <c r="J333" i="16"/>
  <c r="L333" i="16"/>
  <c r="M333" i="16"/>
  <c r="B334" i="16"/>
  <c r="C334" i="16"/>
  <c r="D334" i="16"/>
  <c r="J334" i="16"/>
  <c r="L334" i="16"/>
  <c r="M334" i="16"/>
  <c r="B335" i="16"/>
  <c r="C335" i="16"/>
  <c r="D335" i="16"/>
  <c r="J335" i="16"/>
  <c r="L335" i="16"/>
  <c r="M335" i="16"/>
  <c r="B336" i="16"/>
  <c r="C336" i="16"/>
  <c r="D336" i="16"/>
  <c r="J336" i="16"/>
  <c r="L336" i="16"/>
  <c r="M336" i="16"/>
  <c r="B337" i="16"/>
  <c r="C337" i="16"/>
  <c r="D337" i="16"/>
  <c r="J337" i="16"/>
  <c r="L337" i="16"/>
  <c r="M337" i="16"/>
  <c r="B338" i="16"/>
  <c r="C338" i="16"/>
  <c r="D338" i="16"/>
  <c r="J338" i="16"/>
  <c r="L338" i="16"/>
  <c r="M338" i="16"/>
  <c r="B339" i="16"/>
  <c r="C339" i="16"/>
  <c r="D339" i="16"/>
  <c r="J339" i="16"/>
  <c r="L339" i="16"/>
  <c r="M339" i="16"/>
  <c r="B340" i="16"/>
  <c r="C340" i="16"/>
  <c r="D340" i="16"/>
  <c r="J340" i="16"/>
  <c r="L340" i="16"/>
  <c r="M340" i="16"/>
  <c r="B341" i="16"/>
  <c r="C341" i="16"/>
  <c r="D341" i="16"/>
  <c r="J341" i="16"/>
  <c r="L341" i="16"/>
  <c r="M341" i="16"/>
  <c r="B342" i="16"/>
  <c r="C342" i="16"/>
  <c r="D342" i="16"/>
  <c r="J342" i="16"/>
  <c r="L342" i="16"/>
  <c r="M342" i="16"/>
  <c r="B343" i="16"/>
  <c r="C343" i="16"/>
  <c r="D343" i="16"/>
  <c r="J343" i="16"/>
  <c r="L343" i="16"/>
  <c r="M343" i="16"/>
  <c r="B344" i="16"/>
  <c r="C344" i="16"/>
  <c r="D344" i="16"/>
  <c r="J344" i="16"/>
  <c r="L344" i="16"/>
  <c r="M344" i="16"/>
  <c r="B345" i="16"/>
  <c r="C345" i="16"/>
  <c r="D345" i="16"/>
  <c r="J345" i="16"/>
  <c r="L345" i="16"/>
  <c r="M345" i="16"/>
  <c r="B346" i="16"/>
  <c r="C346" i="16"/>
  <c r="D346" i="16"/>
  <c r="J346" i="16"/>
  <c r="L346" i="16"/>
  <c r="M346" i="16"/>
  <c r="B347" i="16"/>
  <c r="C347" i="16"/>
  <c r="D347" i="16"/>
  <c r="J347" i="16"/>
  <c r="L347" i="16"/>
  <c r="M347" i="16"/>
  <c r="B348" i="16"/>
  <c r="C348" i="16"/>
  <c r="D348" i="16"/>
  <c r="J348" i="16"/>
  <c r="L348" i="16"/>
  <c r="M348" i="16"/>
  <c r="B349" i="16"/>
  <c r="C349" i="16"/>
  <c r="D349" i="16"/>
  <c r="J349" i="16"/>
  <c r="L349" i="16"/>
  <c r="M349" i="16"/>
  <c r="B350" i="16"/>
  <c r="C350" i="16"/>
  <c r="D350" i="16"/>
  <c r="J350" i="16"/>
  <c r="L350" i="16"/>
  <c r="M350" i="16"/>
  <c r="B351" i="16"/>
  <c r="C351" i="16"/>
  <c r="D351" i="16"/>
  <c r="J351" i="16"/>
  <c r="L351" i="16"/>
  <c r="M351" i="16"/>
  <c r="B352" i="16"/>
  <c r="C352" i="16"/>
  <c r="D352" i="16"/>
  <c r="J352" i="16"/>
  <c r="L352" i="16"/>
  <c r="M352" i="16"/>
  <c r="B353" i="16"/>
  <c r="C353" i="16"/>
  <c r="D353" i="16"/>
  <c r="J353" i="16"/>
  <c r="L353" i="16"/>
  <c r="M353" i="16"/>
  <c r="B354" i="16"/>
  <c r="C354" i="16"/>
  <c r="D354" i="16"/>
  <c r="J354" i="16"/>
  <c r="L354" i="16"/>
  <c r="M354" i="16"/>
  <c r="B355" i="16"/>
  <c r="C355" i="16"/>
  <c r="D355" i="16"/>
  <c r="J355" i="16"/>
  <c r="L355" i="16"/>
  <c r="M355" i="16"/>
  <c r="B356" i="16"/>
  <c r="C356" i="16"/>
  <c r="D356" i="16"/>
  <c r="J356" i="16"/>
  <c r="L356" i="16"/>
  <c r="M356" i="16"/>
  <c r="B357" i="16"/>
  <c r="C357" i="16"/>
  <c r="D357" i="16"/>
  <c r="J357" i="16"/>
  <c r="L357" i="16"/>
  <c r="M357" i="16"/>
  <c r="B358" i="16"/>
  <c r="C358" i="16"/>
  <c r="D358" i="16"/>
  <c r="J358" i="16"/>
  <c r="L358" i="16"/>
  <c r="M358" i="16"/>
  <c r="B359" i="16"/>
  <c r="C359" i="16"/>
  <c r="D359" i="16"/>
  <c r="J359" i="16"/>
  <c r="L359" i="16"/>
  <c r="M359" i="16"/>
  <c r="B360" i="16"/>
  <c r="C360" i="16"/>
  <c r="D360" i="16"/>
  <c r="J360" i="16"/>
  <c r="L360" i="16"/>
  <c r="M360" i="16"/>
  <c r="B361" i="16"/>
  <c r="C361" i="16"/>
  <c r="D361" i="16"/>
  <c r="J361" i="16"/>
  <c r="L361" i="16"/>
  <c r="M361" i="16"/>
  <c r="B362" i="16"/>
  <c r="C362" i="16"/>
  <c r="D362" i="16"/>
  <c r="J362" i="16"/>
  <c r="L362" i="16"/>
  <c r="M362" i="16"/>
  <c r="B363" i="16"/>
  <c r="C363" i="16"/>
  <c r="D363" i="16"/>
  <c r="J363" i="16"/>
  <c r="L363" i="16"/>
  <c r="M363" i="16"/>
  <c r="B364" i="16"/>
  <c r="C364" i="16"/>
  <c r="D364" i="16"/>
  <c r="J364" i="16"/>
  <c r="L364" i="16"/>
  <c r="M364" i="16"/>
  <c r="B365" i="16"/>
  <c r="C365" i="16"/>
  <c r="D365" i="16"/>
  <c r="J365" i="16"/>
  <c r="L365" i="16"/>
  <c r="M365" i="16"/>
  <c r="B366" i="16"/>
  <c r="C366" i="16"/>
  <c r="D366" i="16"/>
  <c r="J366" i="16"/>
  <c r="L366" i="16"/>
  <c r="M366" i="16"/>
  <c r="B367" i="16"/>
  <c r="C367" i="16"/>
  <c r="D367" i="16"/>
  <c r="J367" i="16"/>
  <c r="L367" i="16"/>
  <c r="M367" i="16"/>
  <c r="B368" i="16"/>
  <c r="C368" i="16"/>
  <c r="D368" i="16"/>
  <c r="J368" i="16"/>
  <c r="L368" i="16"/>
  <c r="M368" i="16"/>
  <c r="B369" i="16"/>
  <c r="C369" i="16"/>
  <c r="D369" i="16"/>
  <c r="J369" i="16"/>
  <c r="L369" i="16"/>
  <c r="M369" i="16"/>
  <c r="B370" i="16"/>
  <c r="C370" i="16"/>
  <c r="D370" i="16"/>
  <c r="J370" i="16"/>
  <c r="L370" i="16"/>
  <c r="M370" i="16"/>
  <c r="B371" i="16"/>
  <c r="C371" i="16"/>
  <c r="D371" i="16"/>
  <c r="J371" i="16"/>
  <c r="L371" i="16"/>
  <c r="M371" i="16"/>
  <c r="B372" i="16"/>
  <c r="C372" i="16"/>
  <c r="D372" i="16"/>
  <c r="J372" i="16"/>
  <c r="L372" i="16"/>
  <c r="M372" i="16"/>
  <c r="B373" i="16"/>
  <c r="C373" i="16"/>
  <c r="D373" i="16"/>
  <c r="J373" i="16"/>
  <c r="L373" i="16"/>
  <c r="M373" i="16"/>
  <c r="B374" i="16"/>
  <c r="C374" i="16"/>
  <c r="D374" i="16"/>
  <c r="J374" i="16"/>
  <c r="L374" i="16"/>
  <c r="M374" i="16"/>
  <c r="B375" i="16"/>
  <c r="C375" i="16"/>
  <c r="D375" i="16"/>
  <c r="J375" i="16"/>
  <c r="L375" i="16"/>
  <c r="M375" i="16"/>
  <c r="B376" i="16"/>
  <c r="C376" i="16"/>
  <c r="D376" i="16"/>
  <c r="J376" i="16"/>
  <c r="L376" i="16"/>
  <c r="M376" i="16"/>
  <c r="B377" i="16"/>
  <c r="C377" i="16"/>
  <c r="D377" i="16"/>
  <c r="J377" i="16"/>
  <c r="L377" i="16"/>
  <c r="M377" i="16"/>
  <c r="B378" i="16"/>
  <c r="C378" i="16"/>
  <c r="D378" i="16"/>
  <c r="J378" i="16"/>
  <c r="L378" i="16"/>
  <c r="M378" i="16"/>
  <c r="B379" i="16"/>
  <c r="C379" i="16"/>
  <c r="D379" i="16"/>
  <c r="J379" i="16"/>
  <c r="L379" i="16"/>
  <c r="M379" i="16"/>
  <c r="B380" i="16"/>
  <c r="C380" i="16"/>
  <c r="D380" i="16"/>
  <c r="J380" i="16"/>
  <c r="L380" i="16"/>
  <c r="M380" i="16"/>
  <c r="B381" i="16"/>
  <c r="C381" i="16"/>
  <c r="D381" i="16"/>
  <c r="J381" i="16"/>
  <c r="L381" i="16"/>
  <c r="M381" i="16"/>
  <c r="B382" i="16"/>
  <c r="C382" i="16"/>
  <c r="D382" i="16"/>
  <c r="J382" i="16"/>
  <c r="L382" i="16"/>
  <c r="M382" i="16"/>
  <c r="B383" i="16"/>
  <c r="C383" i="16"/>
  <c r="D383" i="16"/>
  <c r="J383" i="16"/>
  <c r="L383" i="16"/>
  <c r="M383" i="16"/>
  <c r="B384" i="16"/>
  <c r="C384" i="16"/>
  <c r="D384" i="16"/>
  <c r="J384" i="16"/>
  <c r="L384" i="16"/>
  <c r="M384" i="16"/>
  <c r="B385" i="16"/>
  <c r="C385" i="16"/>
  <c r="D385" i="16"/>
  <c r="J385" i="16"/>
  <c r="L385" i="16"/>
  <c r="M385" i="16"/>
  <c r="B386" i="16"/>
  <c r="C386" i="16"/>
  <c r="D386" i="16"/>
  <c r="J386" i="16"/>
  <c r="L386" i="16"/>
  <c r="M386" i="16"/>
  <c r="B387" i="16"/>
  <c r="C387" i="16"/>
  <c r="D387" i="16"/>
  <c r="J387" i="16"/>
  <c r="L387" i="16"/>
  <c r="M387" i="16"/>
  <c r="B388" i="16"/>
  <c r="C388" i="16"/>
  <c r="D388" i="16"/>
  <c r="J388" i="16"/>
  <c r="L388" i="16"/>
  <c r="M388" i="16"/>
  <c r="B389" i="16"/>
  <c r="C389" i="16"/>
  <c r="D389" i="16"/>
  <c r="J389" i="16"/>
  <c r="L389" i="16"/>
  <c r="M389" i="16"/>
  <c r="B390" i="16"/>
  <c r="C390" i="16"/>
  <c r="D390" i="16"/>
  <c r="J390" i="16"/>
  <c r="L390" i="16"/>
  <c r="M390" i="16"/>
  <c r="B391" i="16"/>
  <c r="C391" i="16"/>
  <c r="D391" i="16"/>
  <c r="J391" i="16"/>
  <c r="L391" i="16"/>
  <c r="M391" i="16"/>
  <c r="B392" i="16"/>
  <c r="C392" i="16"/>
  <c r="D392" i="16"/>
  <c r="J392" i="16"/>
  <c r="L392" i="16"/>
  <c r="M392" i="16"/>
  <c r="B393" i="16"/>
  <c r="C393" i="16"/>
  <c r="D393" i="16"/>
  <c r="J393" i="16"/>
  <c r="L393" i="16"/>
  <c r="M393" i="16"/>
  <c r="B394" i="16"/>
  <c r="C394" i="16"/>
  <c r="D394" i="16"/>
  <c r="J394" i="16"/>
  <c r="L394" i="16"/>
  <c r="M394" i="16"/>
  <c r="B395" i="16"/>
  <c r="C395" i="16"/>
  <c r="D395" i="16"/>
  <c r="J395" i="16"/>
  <c r="L395" i="16"/>
  <c r="M395" i="16"/>
  <c r="B396" i="16"/>
  <c r="C396" i="16"/>
  <c r="D396" i="16"/>
  <c r="J396" i="16"/>
  <c r="L396" i="16"/>
  <c r="M396" i="16"/>
  <c r="B397" i="16"/>
  <c r="C397" i="16"/>
  <c r="D397" i="16"/>
  <c r="J397" i="16"/>
  <c r="L397" i="16"/>
  <c r="M397" i="16"/>
  <c r="B398" i="16"/>
  <c r="C398" i="16"/>
  <c r="D398" i="16"/>
  <c r="J398" i="16"/>
  <c r="L398" i="16"/>
  <c r="M398" i="16"/>
  <c r="B399" i="16"/>
  <c r="C399" i="16"/>
  <c r="D399" i="16"/>
  <c r="J399" i="16"/>
  <c r="L399" i="16"/>
  <c r="M399" i="16"/>
  <c r="B400" i="16"/>
  <c r="C400" i="16"/>
  <c r="D400" i="16"/>
  <c r="J400" i="16"/>
  <c r="L400" i="16"/>
  <c r="M400" i="16"/>
  <c r="B5" i="1"/>
  <c r="B4" i="3"/>
  <c r="B3" i="3" s="1"/>
  <c r="AE5" i="3"/>
  <c r="AF5" i="3"/>
  <c r="AD5" i="3" s="1"/>
  <c r="AG5" i="3"/>
  <c r="AH5" i="3"/>
  <c r="AE6" i="3"/>
  <c r="AF6" i="3"/>
  <c r="AG6" i="3"/>
  <c r="AH6" i="3"/>
  <c r="AD7" i="3"/>
  <c r="AE7" i="3"/>
  <c r="AF7" i="3"/>
  <c r="AG7" i="3"/>
  <c r="AH7" i="3"/>
  <c r="AD8" i="3"/>
  <c r="AE8" i="3"/>
  <c r="AF8" i="3"/>
  <c r="AG8" i="3"/>
  <c r="AH8" i="3"/>
  <c r="AE9" i="3"/>
  <c r="AF9" i="3"/>
  <c r="AG9" i="3"/>
  <c r="AH9" i="3"/>
  <c r="AE10" i="3"/>
  <c r="AD10" i="3" s="1"/>
  <c r="AF10" i="3"/>
  <c r="AG10" i="3"/>
  <c r="AH10" i="3"/>
  <c r="AE11" i="3"/>
  <c r="AF11" i="3"/>
  <c r="AD11" i="3" s="1"/>
  <c r="AG11" i="3"/>
  <c r="AH11" i="3"/>
  <c r="AE12" i="3"/>
  <c r="AD12" i="3" s="1"/>
  <c r="AF12" i="3"/>
  <c r="AG12" i="3"/>
  <c r="AH12" i="3"/>
  <c r="AE13" i="3"/>
  <c r="AF13" i="3"/>
  <c r="AD13" i="3" s="1"/>
  <c r="AG13" i="3"/>
  <c r="AH13" i="3"/>
  <c r="AE14" i="3"/>
  <c r="AF14" i="3"/>
  <c r="AG14" i="3"/>
  <c r="AH14" i="3"/>
  <c r="AE15" i="3"/>
  <c r="AD15" i="3" s="1"/>
  <c r="AF15" i="3"/>
  <c r="AG15" i="3"/>
  <c r="AH15" i="3"/>
  <c r="AE16" i="3"/>
  <c r="AF16" i="3"/>
  <c r="AG16" i="3"/>
  <c r="AH16" i="3"/>
  <c r="AE17" i="3"/>
  <c r="AF17" i="3"/>
  <c r="AD17" i="3" s="1"/>
  <c r="AG17" i="3"/>
  <c r="AH17" i="3"/>
  <c r="AE18" i="3"/>
  <c r="AD18" i="3" s="1"/>
  <c r="AF18" i="3"/>
  <c r="AG18" i="3"/>
  <c r="AH18" i="3"/>
  <c r="AD19" i="3"/>
  <c r="AE19" i="3"/>
  <c r="AF19" i="3"/>
  <c r="AG19" i="3"/>
  <c r="AH19" i="3"/>
  <c r="AE20" i="3"/>
  <c r="AF20" i="3"/>
  <c r="AG20" i="3"/>
  <c r="AH20" i="3"/>
  <c r="AE21" i="3"/>
  <c r="AD21" i="3" s="1"/>
  <c r="AF21" i="3"/>
  <c r="AG21" i="3"/>
  <c r="AH21" i="3"/>
  <c r="AE22" i="3"/>
  <c r="AD22" i="3" s="1"/>
  <c r="AF22" i="3"/>
  <c r="AG22" i="3"/>
  <c r="AH22" i="3"/>
  <c r="AE23" i="3"/>
  <c r="AF23" i="3"/>
  <c r="AG23" i="3"/>
  <c r="AH23" i="3"/>
  <c r="AE24" i="3"/>
  <c r="AF24" i="3"/>
  <c r="AG24" i="3"/>
  <c r="AH24" i="3"/>
  <c r="AD24" i="3" s="1"/>
  <c r="AD25" i="3"/>
  <c r="AE25" i="3"/>
  <c r="AF25" i="3"/>
  <c r="AG25" i="3"/>
  <c r="AH25" i="3"/>
  <c r="AE26" i="3"/>
  <c r="AF26" i="3"/>
  <c r="AG26" i="3"/>
  <c r="AH26" i="3"/>
  <c r="AE27" i="3"/>
  <c r="AF27" i="3"/>
  <c r="AG27" i="3"/>
  <c r="AH27" i="3"/>
  <c r="AD27" i="3" s="1"/>
  <c r="AE28" i="3"/>
  <c r="AD28" i="3" s="1"/>
  <c r="AF28" i="3"/>
  <c r="AG28" i="3"/>
  <c r="AH28" i="3"/>
  <c r="AE29" i="3"/>
  <c r="AF29" i="3"/>
  <c r="AG29" i="3"/>
  <c r="AH29" i="3"/>
  <c r="AE30" i="3"/>
  <c r="AD30" i="3" s="1"/>
  <c r="AF30" i="3"/>
  <c r="AG30" i="3"/>
  <c r="AH30" i="3"/>
  <c r="AE31" i="3"/>
  <c r="AF31" i="3"/>
  <c r="AD31" i="3" s="1"/>
  <c r="AG31" i="3"/>
  <c r="AH31" i="3"/>
  <c r="AE32" i="3"/>
  <c r="AF32" i="3"/>
  <c r="AG32" i="3"/>
  <c r="AH32" i="3"/>
  <c r="AE33" i="3"/>
  <c r="AF33" i="3"/>
  <c r="AG33" i="3"/>
  <c r="AH33" i="3"/>
  <c r="AD33" i="3" s="1"/>
  <c r="AE34" i="3"/>
  <c r="AD34" i="3" s="1"/>
  <c r="AF34" i="3"/>
  <c r="AG34" i="3"/>
  <c r="AH34" i="3"/>
  <c r="AE35" i="3"/>
  <c r="AF35" i="3"/>
  <c r="AG35" i="3"/>
  <c r="AH35" i="3"/>
  <c r="B3" i="4"/>
  <c r="B4" i="4"/>
  <c r="C4" i="4" s="1"/>
  <c r="D4" i="4" s="1"/>
  <c r="AH6" i="4"/>
  <c r="AI6" i="4"/>
  <c r="AJ6" i="4"/>
  <c r="AK6" i="4"/>
  <c r="AG7" i="4"/>
  <c r="AH7" i="4"/>
  <c r="AI7" i="4"/>
  <c r="AJ7" i="4"/>
  <c r="AK7" i="4"/>
  <c r="AH8" i="4"/>
  <c r="AI8" i="4"/>
  <c r="AJ8" i="4"/>
  <c r="AK8" i="4"/>
  <c r="AH9" i="4"/>
  <c r="AG9" i="4" s="1"/>
  <c r="AI9" i="4"/>
  <c r="AJ9" i="4"/>
  <c r="AK9" i="4"/>
  <c r="AH10" i="4"/>
  <c r="AG10" i="4" s="1"/>
  <c r="AI10" i="4"/>
  <c r="AJ10" i="4"/>
  <c r="AK10" i="4"/>
  <c r="AH11" i="4"/>
  <c r="AI11" i="4"/>
  <c r="AJ11" i="4"/>
  <c r="AK11" i="4"/>
  <c r="AG11" i="4" s="1"/>
  <c r="AH12" i="4"/>
  <c r="AG12" i="4" s="1"/>
  <c r="AI12" i="4"/>
  <c r="AJ12" i="4"/>
  <c r="AK12" i="4"/>
  <c r="AH13" i="4"/>
  <c r="AI13" i="4"/>
  <c r="AJ13" i="4"/>
  <c r="AK13" i="4"/>
  <c r="AG13" i="4" s="1"/>
  <c r="AH14" i="4"/>
  <c r="AI14" i="4"/>
  <c r="AJ14" i="4"/>
  <c r="AK14" i="4"/>
  <c r="AH15" i="4"/>
  <c r="AG15" i="4" s="1"/>
  <c r="AI15" i="4"/>
  <c r="AJ15" i="4"/>
  <c r="AK15" i="4"/>
  <c r="AG16" i="4"/>
  <c r="AH16" i="4"/>
  <c r="AI16" i="4"/>
  <c r="AJ16" i="4"/>
  <c r="AK16" i="4"/>
  <c r="AG17" i="4"/>
  <c r="AH17" i="4"/>
  <c r="AI17" i="4"/>
  <c r="AJ17" i="4"/>
  <c r="AK17" i="4"/>
  <c r="AH18" i="4"/>
  <c r="AI18" i="4"/>
  <c r="AJ18" i="4"/>
  <c r="AK18" i="4"/>
  <c r="AH19" i="4"/>
  <c r="AI19" i="4"/>
  <c r="AJ19" i="4"/>
  <c r="AK19" i="4"/>
  <c r="AG19" i="4" s="1"/>
  <c r="AH20" i="4"/>
  <c r="AG20" i="4" s="1"/>
  <c r="AI20" i="4"/>
  <c r="AJ20" i="4"/>
  <c r="AK20" i="4"/>
  <c r="AH21" i="4"/>
  <c r="AI21" i="4"/>
  <c r="AJ21" i="4"/>
  <c r="AK21" i="4"/>
  <c r="AH22" i="4"/>
  <c r="AG22" i="4" s="1"/>
  <c r="AI22" i="4"/>
  <c r="AJ22" i="4"/>
  <c r="AK22" i="4"/>
  <c r="AH23" i="4"/>
  <c r="AI23" i="4"/>
  <c r="AJ23" i="4"/>
  <c r="AK23" i="4"/>
  <c r="AH24" i="4"/>
  <c r="AI24" i="4"/>
  <c r="AJ24" i="4"/>
  <c r="AK24" i="4"/>
  <c r="AG25" i="4"/>
  <c r="AH25" i="4"/>
  <c r="AI25" i="4"/>
  <c r="AJ25" i="4"/>
  <c r="AK25" i="4"/>
  <c r="AH26" i="4"/>
  <c r="AG26" i="4" s="1"/>
  <c r="AI26" i="4"/>
  <c r="AJ26" i="4"/>
  <c r="AK26" i="4"/>
  <c r="AH27" i="4"/>
  <c r="AI27" i="4"/>
  <c r="AJ27" i="4"/>
  <c r="AK27" i="4"/>
  <c r="AH28" i="4"/>
  <c r="AI28" i="4"/>
  <c r="AJ28" i="4"/>
  <c r="AK28" i="4"/>
  <c r="AG29" i="4"/>
  <c r="AH29" i="4"/>
  <c r="AI29" i="4"/>
  <c r="AJ29" i="4"/>
  <c r="AK29" i="4"/>
  <c r="AH30" i="4"/>
  <c r="AG30" i="4" s="1"/>
  <c r="AI30" i="4"/>
  <c r="AJ30" i="4"/>
  <c r="AK30" i="4"/>
  <c r="AH31" i="4"/>
  <c r="AI31" i="4"/>
  <c r="AJ31" i="4"/>
  <c r="AG31" i="4" s="1"/>
  <c r="AK31" i="4"/>
  <c r="AG32" i="4"/>
  <c r="AH32" i="4"/>
  <c r="AI32" i="4"/>
  <c r="AJ32" i="4"/>
  <c r="AK32" i="4"/>
  <c r="AH33" i="4"/>
  <c r="AI33" i="4"/>
  <c r="AG33" i="4" s="1"/>
  <c r="AJ33" i="4"/>
  <c r="AK33" i="4"/>
  <c r="AH34" i="4"/>
  <c r="AI34" i="4"/>
  <c r="AJ34" i="4"/>
  <c r="AK34" i="4"/>
  <c r="AG35" i="4"/>
  <c r="AH35" i="4"/>
  <c r="AI35" i="4"/>
  <c r="AJ35" i="4"/>
  <c r="AK35" i="4"/>
  <c r="B4" i="5"/>
  <c r="B3" i="5" s="1"/>
  <c r="C4" i="5"/>
  <c r="AG5" i="5"/>
  <c r="AF5" i="5" s="1"/>
  <c r="AH5" i="5"/>
  <c r="AI5" i="5"/>
  <c r="AJ5" i="5"/>
  <c r="AG6" i="5"/>
  <c r="AH6" i="5"/>
  <c r="AI6" i="5"/>
  <c r="AJ6" i="5"/>
  <c r="AG7" i="5"/>
  <c r="AF7" i="5" s="1"/>
  <c r="AH7" i="5"/>
  <c r="AI7" i="5"/>
  <c r="AJ7" i="5"/>
  <c r="AG8" i="5"/>
  <c r="AF8" i="5" s="1"/>
  <c r="AH8" i="5"/>
  <c r="AI8" i="5"/>
  <c r="AJ8" i="5"/>
  <c r="AG9" i="5"/>
  <c r="AH9" i="5"/>
  <c r="AI9" i="5"/>
  <c r="AJ9" i="5"/>
  <c r="AG10" i="5"/>
  <c r="AH10" i="5"/>
  <c r="AF10" i="5" s="1"/>
  <c r="AI10" i="5"/>
  <c r="AJ10" i="5"/>
  <c r="AG11" i="5"/>
  <c r="AH11" i="5"/>
  <c r="AI11" i="5"/>
  <c r="AJ11" i="5"/>
  <c r="AG12" i="5"/>
  <c r="AH12" i="5"/>
  <c r="AF12" i="5" s="1"/>
  <c r="AI12" i="5"/>
  <c r="AJ12" i="5"/>
  <c r="AG13" i="5"/>
  <c r="AF13" i="5" s="1"/>
  <c r="AH13" i="5"/>
  <c r="AI13" i="5"/>
  <c r="AJ13" i="5"/>
  <c r="AF14" i="5"/>
  <c r="AG14" i="5"/>
  <c r="AH14" i="5"/>
  <c r="AI14" i="5"/>
  <c r="AJ14" i="5"/>
  <c r="AG15" i="5"/>
  <c r="AF15" i="5" s="1"/>
  <c r="AH15" i="5"/>
  <c r="AI15" i="5"/>
  <c r="AJ15" i="5"/>
  <c r="AG16" i="5"/>
  <c r="AH16" i="5"/>
  <c r="AI16" i="5"/>
  <c r="AJ16" i="5"/>
  <c r="AF16" i="5" s="1"/>
  <c r="AF17" i="5"/>
  <c r="AG17" i="5"/>
  <c r="AH17" i="5"/>
  <c r="AI17" i="5"/>
  <c r="AJ17" i="5"/>
  <c r="AF18" i="5"/>
  <c r="AG18" i="5"/>
  <c r="AH18" i="5"/>
  <c r="AI18" i="5"/>
  <c r="AJ18" i="5"/>
  <c r="AG19" i="5"/>
  <c r="AH19" i="5"/>
  <c r="AI19" i="5"/>
  <c r="AJ19" i="5"/>
  <c r="AF20" i="5"/>
  <c r="AG20" i="5"/>
  <c r="AH20" i="5"/>
  <c r="AI20" i="5"/>
  <c r="AJ20" i="5"/>
  <c r="AG21" i="5"/>
  <c r="AF21" i="5" s="1"/>
  <c r="AH21" i="5"/>
  <c r="AI21" i="5"/>
  <c r="AJ21" i="5"/>
  <c r="AG22" i="5"/>
  <c r="AH22" i="5"/>
  <c r="AI22" i="5"/>
  <c r="AJ22" i="5"/>
  <c r="AF22" i="5" s="1"/>
  <c r="AG23" i="5"/>
  <c r="AF23" i="5" s="1"/>
  <c r="AH23" i="5"/>
  <c r="AI23" i="5"/>
  <c r="AJ23" i="5"/>
  <c r="AG24" i="5"/>
  <c r="AH24" i="5"/>
  <c r="AI24" i="5"/>
  <c r="AJ24" i="5"/>
  <c r="AF25" i="5"/>
  <c r="AG25" i="5"/>
  <c r="AH25" i="5"/>
  <c r="AI25" i="5"/>
  <c r="AJ25" i="5"/>
  <c r="AF26" i="5"/>
  <c r="AG26" i="5"/>
  <c r="AH26" i="5"/>
  <c r="AI26" i="5"/>
  <c r="AJ26" i="5"/>
  <c r="AG27" i="5"/>
  <c r="AF27" i="5" s="1"/>
  <c r="AH27" i="5"/>
  <c r="AI27" i="5"/>
  <c r="AJ27" i="5"/>
  <c r="AG28" i="5"/>
  <c r="AH28" i="5"/>
  <c r="AI28" i="5"/>
  <c r="AJ28" i="5"/>
  <c r="AF29" i="5"/>
  <c r="AG29" i="5"/>
  <c r="AH29" i="5"/>
  <c r="AI29" i="5"/>
  <c r="AJ29" i="5"/>
  <c r="AF30" i="5"/>
  <c r="AG30" i="5"/>
  <c r="AH30" i="5"/>
  <c r="AI30" i="5"/>
  <c r="AJ30" i="5"/>
  <c r="AG31" i="5"/>
  <c r="AH31" i="5"/>
  <c r="AI31" i="5"/>
  <c r="AF31" i="5" s="1"/>
  <c r="AJ31" i="5"/>
  <c r="AG32" i="5"/>
  <c r="AH32" i="5"/>
  <c r="AI32" i="5"/>
  <c r="AJ32" i="5"/>
  <c r="AG33" i="5"/>
  <c r="AH33" i="5"/>
  <c r="AI33" i="5"/>
  <c r="AJ33" i="5"/>
  <c r="AG34" i="5"/>
  <c r="AH34" i="5"/>
  <c r="AF34" i="5" s="1"/>
  <c r="AI34" i="5"/>
  <c r="AJ34" i="5"/>
  <c r="AG35" i="5"/>
  <c r="AH35" i="5"/>
  <c r="AI35" i="5"/>
  <c r="AJ35" i="5"/>
  <c r="AG36" i="5"/>
  <c r="AF36" i="5" s="1"/>
  <c r="AH36" i="5"/>
  <c r="AI36" i="5"/>
  <c r="AJ36" i="5"/>
  <c r="AG37" i="5"/>
  <c r="AH37" i="5"/>
  <c r="AI37" i="5"/>
  <c r="AJ37" i="5"/>
  <c r="B3" i="6"/>
  <c r="B4" i="6"/>
  <c r="C4" i="6"/>
  <c r="C3" i="6" s="1"/>
  <c r="D4" i="6"/>
  <c r="D3" i="6" s="1"/>
  <c r="E4" i="6"/>
  <c r="AH5" i="6"/>
  <c r="AI5" i="6"/>
  <c r="AJ5" i="6"/>
  <c r="AK5" i="6"/>
  <c r="AG5" i="6" s="1"/>
  <c r="AH6" i="6"/>
  <c r="AG6" i="6" s="1"/>
  <c r="AI6" i="6"/>
  <c r="AJ6" i="6"/>
  <c r="AK6" i="6"/>
  <c r="AH7" i="6"/>
  <c r="AI7" i="6"/>
  <c r="AG7" i="6" s="1"/>
  <c r="AJ7" i="6"/>
  <c r="AK7" i="6"/>
  <c r="AH8" i="6"/>
  <c r="AI8" i="6"/>
  <c r="AJ8" i="6"/>
  <c r="AK8" i="6"/>
  <c r="AH9" i="6"/>
  <c r="AI9" i="6"/>
  <c r="AJ9" i="6"/>
  <c r="AK9" i="6"/>
  <c r="AG9" i="6" s="1"/>
  <c r="AH10" i="6"/>
  <c r="AG10" i="6" s="1"/>
  <c r="AI10" i="6"/>
  <c r="AJ10" i="6"/>
  <c r="AK10" i="6"/>
  <c r="AH11" i="6"/>
  <c r="AI11" i="6"/>
  <c r="AJ11" i="6"/>
  <c r="AK11" i="6"/>
  <c r="AH12" i="6"/>
  <c r="AI12" i="6"/>
  <c r="AJ12" i="6"/>
  <c r="AK12" i="6"/>
  <c r="AG13" i="6"/>
  <c r="AH13" i="6"/>
  <c r="AI13" i="6"/>
  <c r="AJ13" i="6"/>
  <c r="AK13" i="6"/>
  <c r="AH14" i="6"/>
  <c r="AI14" i="6"/>
  <c r="AJ14" i="6"/>
  <c r="AK14" i="6"/>
  <c r="AG15" i="6"/>
  <c r="AH15" i="6"/>
  <c r="AI15" i="6"/>
  <c r="AJ15" i="6"/>
  <c r="AK15" i="6"/>
  <c r="AG16" i="6"/>
  <c r="AH16" i="6"/>
  <c r="AI16" i="6"/>
  <c r="AJ16" i="6"/>
  <c r="AK16" i="6"/>
  <c r="AH17" i="6"/>
  <c r="AI17" i="6"/>
  <c r="AJ17" i="6"/>
  <c r="AK17" i="6"/>
  <c r="AH18" i="6"/>
  <c r="AG18" i="6" s="1"/>
  <c r="AI18" i="6"/>
  <c r="AJ18" i="6"/>
  <c r="AK18" i="6"/>
  <c r="AH19" i="6"/>
  <c r="AI19" i="6"/>
  <c r="AG19" i="6" s="1"/>
  <c r="AJ19" i="6"/>
  <c r="AK19" i="6"/>
  <c r="AH20" i="6"/>
  <c r="AG20" i="6" s="1"/>
  <c r="AI20" i="6"/>
  <c r="AJ20" i="6"/>
  <c r="AK20" i="6"/>
  <c r="AH21" i="6"/>
  <c r="AI21" i="6"/>
  <c r="AJ21" i="6"/>
  <c r="AK21" i="6"/>
  <c r="AH22" i="6"/>
  <c r="AG22" i="6" s="1"/>
  <c r="AI22" i="6"/>
  <c r="AJ22" i="6"/>
  <c r="AK22" i="6"/>
  <c r="AH23" i="6"/>
  <c r="AI23" i="6"/>
  <c r="AG23" i="6" s="1"/>
  <c r="AJ23" i="6"/>
  <c r="AK23" i="6"/>
  <c r="AH24" i="6"/>
  <c r="AI24" i="6"/>
  <c r="AJ24" i="6"/>
  <c r="AK24" i="6"/>
  <c r="AH25" i="6"/>
  <c r="AI25" i="6"/>
  <c r="AJ25" i="6"/>
  <c r="AK25" i="6"/>
  <c r="AG25" i="6" s="1"/>
  <c r="AH26" i="6"/>
  <c r="AI26" i="6"/>
  <c r="AJ26" i="6"/>
  <c r="AK26" i="6"/>
  <c r="AH27" i="6"/>
  <c r="AI27" i="6"/>
  <c r="AJ27" i="6"/>
  <c r="AK27" i="6"/>
  <c r="AH28" i="6"/>
  <c r="AG28" i="6" s="1"/>
  <c r="AI28" i="6"/>
  <c r="AJ28" i="6"/>
  <c r="AK28" i="6"/>
  <c r="AH29" i="6"/>
  <c r="AG29" i="6" s="1"/>
  <c r="AI29" i="6"/>
  <c r="AJ29" i="6"/>
  <c r="AK29" i="6"/>
  <c r="AH30" i="6"/>
  <c r="AI30" i="6"/>
  <c r="AJ30" i="6"/>
  <c r="AK30" i="6"/>
  <c r="AG31" i="6"/>
  <c r="AH31" i="6"/>
  <c r="AI31" i="6"/>
  <c r="AJ31" i="6"/>
  <c r="AK31" i="6"/>
  <c r="AH32" i="6"/>
  <c r="AG32" i="6" s="1"/>
  <c r="AI32" i="6"/>
  <c r="AJ32" i="6"/>
  <c r="AK32" i="6"/>
  <c r="AH33" i="6"/>
  <c r="AG33" i="6" s="1"/>
  <c r="AI33" i="6"/>
  <c r="AJ33" i="6"/>
  <c r="AK33" i="6"/>
  <c r="AH34" i="6"/>
  <c r="AG34" i="6" s="1"/>
  <c r="AI34" i="6"/>
  <c r="AJ34" i="6"/>
  <c r="AK34" i="6"/>
  <c r="AH35" i="6"/>
  <c r="AI35" i="6"/>
  <c r="AJ35" i="6"/>
  <c r="AK35" i="6"/>
  <c r="AG35" i="6" s="1"/>
  <c r="B3" i="7"/>
  <c r="C3" i="7"/>
  <c r="B4" i="7"/>
  <c r="C4" i="7"/>
  <c r="D4" i="7"/>
  <c r="D3" i="7" s="1"/>
  <c r="AG5" i="7"/>
  <c r="AH5" i="7"/>
  <c r="AI5" i="7"/>
  <c r="AJ5" i="7"/>
  <c r="AG6" i="7"/>
  <c r="AH6" i="7"/>
  <c r="AF6" i="7" s="1"/>
  <c r="AI6" i="7"/>
  <c r="AJ6" i="7"/>
  <c r="AG7" i="7"/>
  <c r="AH7" i="7"/>
  <c r="AI7" i="7"/>
  <c r="AJ7" i="7"/>
  <c r="AG8" i="7"/>
  <c r="AH8" i="7"/>
  <c r="AI8" i="7"/>
  <c r="AJ8" i="7"/>
  <c r="AG9" i="7"/>
  <c r="AF9" i="7" s="1"/>
  <c r="AH9" i="7"/>
  <c r="AI9" i="7"/>
  <c r="AJ9" i="7"/>
  <c r="AG10" i="7"/>
  <c r="AH10" i="7"/>
  <c r="AF10" i="7" s="1"/>
  <c r="AI10" i="7"/>
  <c r="AJ10" i="7"/>
  <c r="AG11" i="7"/>
  <c r="AH11" i="7"/>
  <c r="AI11" i="7"/>
  <c r="AJ11" i="7"/>
  <c r="AG12" i="7"/>
  <c r="AF12" i="7" s="1"/>
  <c r="AH12" i="7"/>
  <c r="AI12" i="7"/>
  <c r="AJ12" i="7"/>
  <c r="AF13" i="7"/>
  <c r="AG13" i="7"/>
  <c r="AH13" i="7"/>
  <c r="AI13" i="7"/>
  <c r="AJ13" i="7"/>
  <c r="AG14" i="7"/>
  <c r="AH14" i="7"/>
  <c r="AI14" i="7"/>
  <c r="AJ14" i="7"/>
  <c r="AG15" i="7"/>
  <c r="AH15" i="7"/>
  <c r="AI15" i="7"/>
  <c r="AJ15" i="7"/>
  <c r="AF15" i="7" s="1"/>
  <c r="AF16" i="7"/>
  <c r="AG16" i="7"/>
  <c r="AH16" i="7"/>
  <c r="AI16" i="7"/>
  <c r="AJ16" i="7"/>
  <c r="AG17" i="7"/>
  <c r="AF17" i="7" s="1"/>
  <c r="AH17" i="7"/>
  <c r="AI17" i="7"/>
  <c r="AJ17" i="7"/>
  <c r="AG18" i="7"/>
  <c r="AH18" i="7"/>
  <c r="AI18" i="7"/>
  <c r="AJ18" i="7"/>
  <c r="AF19" i="7"/>
  <c r="AG19" i="7"/>
  <c r="AH19" i="7"/>
  <c r="AI19" i="7"/>
  <c r="AJ19" i="7"/>
  <c r="AG20" i="7"/>
  <c r="AF20" i="7" s="1"/>
  <c r="AH20" i="7"/>
  <c r="AI20" i="7"/>
  <c r="AJ20" i="7"/>
  <c r="AG21" i="7"/>
  <c r="AH21" i="7"/>
  <c r="AI21" i="7"/>
  <c r="AJ21" i="7"/>
  <c r="AG22" i="7"/>
  <c r="AH22" i="7"/>
  <c r="AI22" i="7"/>
  <c r="AJ22" i="7"/>
  <c r="AG23" i="7"/>
  <c r="AH23" i="7"/>
  <c r="AF23" i="7" s="1"/>
  <c r="AI23" i="7"/>
  <c r="AJ23" i="7"/>
  <c r="AG24" i="7"/>
  <c r="AH24" i="7"/>
  <c r="AI24" i="7"/>
  <c r="AJ24" i="7"/>
  <c r="AG25" i="7"/>
  <c r="AF25" i="7" s="1"/>
  <c r="AH25" i="7"/>
  <c r="AI25" i="7"/>
  <c r="AJ25" i="7"/>
  <c r="AF26" i="7"/>
  <c r="AG26" i="7"/>
  <c r="AH26" i="7"/>
  <c r="AI26" i="7"/>
  <c r="AJ26" i="7"/>
  <c r="AG27" i="7"/>
  <c r="AH27" i="7"/>
  <c r="AI27" i="7"/>
  <c r="AJ27" i="7"/>
  <c r="AF28" i="7"/>
  <c r="AG28" i="7"/>
  <c r="AH28" i="7"/>
  <c r="AI28" i="7"/>
  <c r="AJ28" i="7"/>
  <c r="AG29" i="7"/>
  <c r="AF29" i="7" s="1"/>
  <c r="AH29" i="7"/>
  <c r="AI29" i="7"/>
  <c r="AJ29" i="7"/>
  <c r="AF30" i="7"/>
  <c r="AG30" i="7"/>
  <c r="AH30" i="7"/>
  <c r="AI30" i="7"/>
  <c r="AJ30" i="7"/>
  <c r="AG31" i="7"/>
  <c r="AH31" i="7"/>
  <c r="AI31" i="7"/>
  <c r="AJ31" i="7"/>
  <c r="AG32" i="7"/>
  <c r="AH32" i="7"/>
  <c r="AI32" i="7"/>
  <c r="AJ32" i="7"/>
  <c r="AF32" i="7" s="1"/>
  <c r="AF33" i="7"/>
  <c r="AG33" i="7"/>
  <c r="AH33" i="7"/>
  <c r="AI33" i="7"/>
  <c r="AJ33" i="7"/>
  <c r="AG34" i="7"/>
  <c r="AF34" i="7" s="1"/>
  <c r="AH34" i="7"/>
  <c r="AI34" i="7"/>
  <c r="AJ34" i="7"/>
  <c r="AG35" i="7"/>
  <c r="AH35" i="7"/>
  <c r="AI35" i="7"/>
  <c r="AJ35" i="7"/>
  <c r="B3" i="8"/>
  <c r="B4" i="8"/>
  <c r="C4" i="8" s="1"/>
  <c r="C3" i="8" s="1"/>
  <c r="AH5" i="8"/>
  <c r="AI5" i="8"/>
  <c r="AJ5" i="8"/>
  <c r="AK5" i="8"/>
  <c r="AH6" i="8"/>
  <c r="AI6" i="8"/>
  <c r="AG6" i="8" s="1"/>
  <c r="AJ6" i="8"/>
  <c r="AK6" i="8"/>
  <c r="AH7" i="8"/>
  <c r="AG7" i="8" s="1"/>
  <c r="AI7" i="8"/>
  <c r="AJ7" i="8"/>
  <c r="AK7" i="8"/>
  <c r="AH8" i="8"/>
  <c r="AI8" i="8"/>
  <c r="AG8" i="8" s="1"/>
  <c r="AJ8" i="8"/>
  <c r="AK8" i="8"/>
  <c r="AH9" i="8"/>
  <c r="AG9" i="8" s="1"/>
  <c r="AI9" i="8"/>
  <c r="AJ9" i="8"/>
  <c r="AK9" i="8"/>
  <c r="AH10" i="8"/>
  <c r="AG10" i="8" s="1"/>
  <c r="AI10" i="8"/>
  <c r="AJ10" i="8"/>
  <c r="AK10" i="8"/>
  <c r="AH11" i="8"/>
  <c r="AI11" i="8"/>
  <c r="AJ11" i="8"/>
  <c r="AK11" i="8"/>
  <c r="AH12" i="8"/>
  <c r="AI12" i="8"/>
  <c r="AJ12" i="8"/>
  <c r="AK12" i="8"/>
  <c r="AG12" i="8" s="1"/>
  <c r="AH13" i="8"/>
  <c r="AG13" i="8" s="1"/>
  <c r="AI13" i="8"/>
  <c r="AJ13" i="8"/>
  <c r="AK13" i="8"/>
  <c r="AG14" i="8"/>
  <c r="AH14" i="8"/>
  <c r="AI14" i="8"/>
  <c r="AJ14" i="8"/>
  <c r="AK14" i="8"/>
  <c r="AH15" i="8"/>
  <c r="AI15" i="8"/>
  <c r="AJ15" i="8"/>
  <c r="AK15" i="8"/>
  <c r="AG16" i="8"/>
  <c r="AH16" i="8"/>
  <c r="AI16" i="8"/>
  <c r="AJ16" i="8"/>
  <c r="AK16" i="8"/>
  <c r="AG17" i="8"/>
  <c r="AH17" i="8"/>
  <c r="AI17" i="8"/>
  <c r="AJ17" i="8"/>
  <c r="AK17" i="8"/>
  <c r="AH18" i="8"/>
  <c r="AI18" i="8"/>
  <c r="AJ18" i="8"/>
  <c r="AK18" i="8"/>
  <c r="AH19" i="8"/>
  <c r="AG19" i="8" s="1"/>
  <c r="AI19" i="8"/>
  <c r="AJ19" i="8"/>
  <c r="AK19" i="8"/>
  <c r="AH20" i="8"/>
  <c r="AI20" i="8"/>
  <c r="AG20" i="8" s="1"/>
  <c r="AJ20" i="8"/>
  <c r="AK20" i="8"/>
  <c r="AH21" i="8"/>
  <c r="AI21" i="8"/>
  <c r="AJ21" i="8"/>
  <c r="AK21" i="8"/>
  <c r="AG22" i="8"/>
  <c r="AH22" i="8"/>
  <c r="AI22" i="8"/>
  <c r="AJ22" i="8"/>
  <c r="AK22" i="8"/>
  <c r="AH23" i="8"/>
  <c r="AG23" i="8" s="1"/>
  <c r="AI23" i="8"/>
  <c r="AJ23" i="8"/>
  <c r="AK23" i="8"/>
  <c r="AG24" i="8"/>
  <c r="AH24" i="8"/>
  <c r="AI24" i="8"/>
  <c r="AJ24" i="8"/>
  <c r="AK24" i="8"/>
  <c r="AH25" i="8"/>
  <c r="AG25" i="8" s="1"/>
  <c r="AI25" i="8"/>
  <c r="AJ25" i="8"/>
  <c r="AK25" i="8"/>
  <c r="AH26" i="8"/>
  <c r="AI26" i="8"/>
  <c r="AJ26" i="8"/>
  <c r="AK26" i="8"/>
  <c r="AG26" i="8" s="1"/>
  <c r="AH27" i="8"/>
  <c r="AI27" i="8"/>
  <c r="AJ27" i="8"/>
  <c r="AG27" i="8" s="1"/>
  <c r="AK27" i="8"/>
  <c r="AH28" i="8"/>
  <c r="AG28" i="8" s="1"/>
  <c r="AI28" i="8"/>
  <c r="AJ28" i="8"/>
  <c r="AK28" i="8"/>
  <c r="AH29" i="8"/>
  <c r="AI29" i="8"/>
  <c r="AJ29" i="8"/>
  <c r="AK29" i="8"/>
  <c r="AH30" i="8"/>
  <c r="AI30" i="8"/>
  <c r="AJ30" i="8"/>
  <c r="AK30" i="8"/>
  <c r="AG30" i="8" s="1"/>
  <c r="AH31" i="8"/>
  <c r="AG31" i="8" s="1"/>
  <c r="AI31" i="8"/>
  <c r="AJ31" i="8"/>
  <c r="AK31" i="8"/>
  <c r="AH32" i="8"/>
  <c r="AI32" i="8"/>
  <c r="AG32" i="8" s="1"/>
  <c r="AJ32" i="8"/>
  <c r="AK32" i="8"/>
  <c r="AH33" i="8"/>
  <c r="AI33" i="8"/>
  <c r="AJ33" i="8"/>
  <c r="AK33" i="8"/>
  <c r="AH34" i="8"/>
  <c r="AI34" i="8"/>
  <c r="AG34" i="8" s="1"/>
  <c r="AJ34" i="8"/>
  <c r="AK34" i="8"/>
  <c r="AH35" i="8"/>
  <c r="AI35" i="8"/>
  <c r="AJ35" i="8"/>
  <c r="AK35" i="8"/>
  <c r="B4" i="9"/>
  <c r="B3" i="9" s="1"/>
  <c r="C4" i="9"/>
  <c r="AG5" i="9"/>
  <c r="AH5" i="9"/>
  <c r="AI5" i="9"/>
  <c r="AJ5" i="9"/>
  <c r="AK5" i="9"/>
  <c r="AH6" i="9"/>
  <c r="AG6" i="9" s="1"/>
  <c r="AI6" i="9"/>
  <c r="AJ6" i="9"/>
  <c r="AK6" i="9"/>
  <c r="AH7" i="9"/>
  <c r="AG7" i="9" s="1"/>
  <c r="AI7" i="9"/>
  <c r="AJ7" i="9"/>
  <c r="AK7" i="9"/>
  <c r="AH8" i="9"/>
  <c r="AI8" i="9"/>
  <c r="AJ8" i="9"/>
  <c r="AK8" i="9"/>
  <c r="AH9" i="9"/>
  <c r="AI9" i="9"/>
  <c r="AG9" i="9" s="1"/>
  <c r="AJ9" i="9"/>
  <c r="AK9" i="9"/>
  <c r="AH10" i="9"/>
  <c r="AG10" i="9" s="1"/>
  <c r="AI10" i="9"/>
  <c r="AJ10" i="9"/>
  <c r="AK10" i="9"/>
  <c r="AH11" i="9"/>
  <c r="AI11" i="9"/>
  <c r="AJ11" i="9"/>
  <c r="AK11" i="9"/>
  <c r="AH12" i="9"/>
  <c r="AI12" i="9"/>
  <c r="AJ12" i="9"/>
  <c r="AK12" i="9"/>
  <c r="AH13" i="9"/>
  <c r="AI13" i="9"/>
  <c r="AG13" i="9" s="1"/>
  <c r="AJ13" i="9"/>
  <c r="AK13" i="9"/>
  <c r="AH14" i="9"/>
  <c r="AG14" i="9" s="1"/>
  <c r="AI14" i="9"/>
  <c r="AJ14" i="9"/>
  <c r="AK14" i="9"/>
  <c r="AH15" i="9"/>
  <c r="AI15" i="9"/>
  <c r="AJ15" i="9"/>
  <c r="AG15" i="9" s="1"/>
  <c r="AK15" i="9"/>
  <c r="AH16" i="9"/>
  <c r="AI16" i="9"/>
  <c r="AJ16" i="9"/>
  <c r="AK16" i="9"/>
  <c r="AH17" i="9"/>
  <c r="AG17" i="9" s="1"/>
  <c r="AI17" i="9"/>
  <c r="AJ17" i="9"/>
  <c r="AK17" i="9"/>
  <c r="AH18" i="9"/>
  <c r="AI18" i="9"/>
  <c r="AJ18" i="9"/>
  <c r="AK18" i="9"/>
  <c r="AH19" i="9"/>
  <c r="AI19" i="9"/>
  <c r="AJ19" i="9"/>
  <c r="AK19" i="9"/>
  <c r="AG20" i="9"/>
  <c r="AH20" i="9"/>
  <c r="AI20" i="9"/>
  <c r="AJ20" i="9"/>
  <c r="AK20" i="9"/>
  <c r="AG21" i="9"/>
  <c r="AH21" i="9"/>
  <c r="AI21" i="9"/>
  <c r="AJ21" i="9"/>
  <c r="AK21" i="9"/>
  <c r="AH22" i="9"/>
  <c r="AI22" i="9"/>
  <c r="AJ22" i="9"/>
  <c r="AK22" i="9"/>
  <c r="AG23" i="9"/>
  <c r="AH23" i="9"/>
  <c r="AI23" i="9"/>
  <c r="AJ23" i="9"/>
  <c r="AK23" i="9"/>
  <c r="AG24" i="9"/>
  <c r="AH24" i="9"/>
  <c r="AI24" i="9"/>
  <c r="AJ24" i="9"/>
  <c r="AK24" i="9"/>
  <c r="AH25" i="9"/>
  <c r="AI25" i="9"/>
  <c r="AJ25" i="9"/>
  <c r="AK25" i="9"/>
  <c r="AH26" i="9"/>
  <c r="AG26" i="9" s="1"/>
  <c r="AI26" i="9"/>
  <c r="AJ26" i="9"/>
  <c r="AK26" i="9"/>
  <c r="AG27" i="9"/>
  <c r="AH27" i="9"/>
  <c r="AI27" i="9"/>
  <c r="AJ27" i="9"/>
  <c r="AK27" i="9"/>
  <c r="AH28" i="9"/>
  <c r="AI28" i="9"/>
  <c r="AJ28" i="9"/>
  <c r="AK28" i="9"/>
  <c r="AG29" i="9"/>
  <c r="AH29" i="9"/>
  <c r="AI29" i="9"/>
  <c r="AJ29" i="9"/>
  <c r="AK29" i="9"/>
  <c r="AH30" i="9"/>
  <c r="AG30" i="9" s="1"/>
  <c r="AI30" i="9"/>
  <c r="AJ30" i="9"/>
  <c r="AK30" i="9"/>
  <c r="AH31" i="9"/>
  <c r="AI31" i="9"/>
  <c r="AJ31" i="9"/>
  <c r="AK31" i="9"/>
  <c r="AH32" i="9"/>
  <c r="AG32" i="9" s="1"/>
  <c r="AI32" i="9"/>
  <c r="AJ32" i="9"/>
  <c r="AK32" i="9"/>
  <c r="AH33" i="9"/>
  <c r="AI33" i="9"/>
  <c r="AJ33" i="9"/>
  <c r="AK33" i="9"/>
  <c r="AH34" i="9"/>
  <c r="AG34" i="9" s="1"/>
  <c r="AI34" i="9"/>
  <c r="AJ34" i="9"/>
  <c r="AK34" i="9"/>
  <c r="AG35" i="9"/>
  <c r="AH35" i="9"/>
  <c r="AI35" i="9"/>
  <c r="AJ35" i="9"/>
  <c r="AK35" i="9"/>
  <c r="B3" i="10"/>
  <c r="C3" i="10"/>
  <c r="F3" i="10"/>
  <c r="B4" i="10"/>
  <c r="C4" i="10"/>
  <c r="D4" i="10"/>
  <c r="D3" i="10" s="1"/>
  <c r="E4" i="10"/>
  <c r="F4" i="10" s="1"/>
  <c r="G4" i="10"/>
  <c r="AG5" i="10"/>
  <c r="AH5" i="10"/>
  <c r="AI5" i="10"/>
  <c r="AF5" i="10" s="1"/>
  <c r="AJ5" i="10"/>
  <c r="AF6" i="10"/>
  <c r="AG6" i="10"/>
  <c r="AH6" i="10"/>
  <c r="AI6" i="10"/>
  <c r="AJ6" i="10"/>
  <c r="AG7" i="10"/>
  <c r="AF7" i="10" s="1"/>
  <c r="AH7" i="10"/>
  <c r="AI7" i="10"/>
  <c r="AJ7" i="10"/>
  <c r="AG8" i="10"/>
  <c r="AH8" i="10"/>
  <c r="AF8" i="10" s="1"/>
  <c r="AI8" i="10"/>
  <c r="AJ8" i="10"/>
  <c r="AF9" i="10"/>
  <c r="AG9" i="10"/>
  <c r="AH9" i="10"/>
  <c r="AI9" i="10"/>
  <c r="AJ9" i="10"/>
  <c r="AG10" i="10"/>
  <c r="AH10" i="10"/>
  <c r="AF10" i="10" s="1"/>
  <c r="AI10" i="10"/>
  <c r="AJ10" i="10"/>
  <c r="AG11" i="10"/>
  <c r="AH11" i="10"/>
  <c r="AI11" i="10"/>
  <c r="AJ11" i="10"/>
  <c r="AG12" i="10"/>
  <c r="AH12" i="10"/>
  <c r="AI12" i="10"/>
  <c r="AJ12" i="10"/>
  <c r="AF12" i="10" s="1"/>
  <c r="AG13" i="10"/>
  <c r="AH13" i="10"/>
  <c r="AI13" i="10"/>
  <c r="AJ13" i="10"/>
  <c r="AG14" i="10"/>
  <c r="AH14" i="10"/>
  <c r="AI14" i="10"/>
  <c r="AJ14" i="10"/>
  <c r="AG15" i="10"/>
  <c r="AF15" i="10" s="1"/>
  <c r="AH15" i="10"/>
  <c r="AI15" i="10"/>
  <c r="AJ15" i="10"/>
  <c r="AG16" i="10"/>
  <c r="AF16" i="10" s="1"/>
  <c r="AH16" i="10"/>
  <c r="AI16" i="10"/>
  <c r="AJ16" i="10"/>
  <c r="AG17" i="10"/>
  <c r="AH17" i="10"/>
  <c r="AI17" i="10"/>
  <c r="AJ17" i="10"/>
  <c r="AG18" i="10"/>
  <c r="AH18" i="10"/>
  <c r="AI18" i="10"/>
  <c r="AJ18" i="10"/>
  <c r="AF18" i="10" s="1"/>
  <c r="AG19" i="10"/>
  <c r="AF19" i="10" s="1"/>
  <c r="AH19" i="10"/>
  <c r="AI19" i="10"/>
  <c r="AJ19" i="10"/>
  <c r="AG20" i="10"/>
  <c r="AH20" i="10"/>
  <c r="AI20" i="10"/>
  <c r="AJ20" i="10"/>
  <c r="AG21" i="10"/>
  <c r="AH21" i="10"/>
  <c r="AI21" i="10"/>
  <c r="AJ21" i="10"/>
  <c r="AF22" i="10"/>
  <c r="AG22" i="10"/>
  <c r="AH22" i="10"/>
  <c r="AI22" i="10"/>
  <c r="AJ22" i="10"/>
  <c r="AG23" i="10"/>
  <c r="AH23" i="10"/>
  <c r="AI23" i="10"/>
  <c r="AJ23" i="10"/>
  <c r="AG24" i="10"/>
  <c r="AH24" i="10"/>
  <c r="AI24" i="10"/>
  <c r="AJ24" i="10"/>
  <c r="AF24" i="10" s="1"/>
  <c r="AG25" i="10"/>
  <c r="AF25" i="10" s="1"/>
  <c r="AH25" i="10"/>
  <c r="AI25" i="10"/>
  <c r="AJ25" i="10"/>
  <c r="AG26" i="10"/>
  <c r="AH26" i="10"/>
  <c r="AI26" i="10"/>
  <c r="AJ26" i="10"/>
  <c r="AG27" i="10"/>
  <c r="AF27" i="10" s="1"/>
  <c r="AH27" i="10"/>
  <c r="AI27" i="10"/>
  <c r="AJ27" i="10"/>
  <c r="AG28" i="10"/>
  <c r="AH28" i="10"/>
  <c r="AF28" i="10" s="1"/>
  <c r="AI28" i="10"/>
  <c r="AJ28" i="10"/>
  <c r="AG29" i="10"/>
  <c r="AH29" i="10"/>
  <c r="AI29" i="10"/>
  <c r="AJ29" i="10"/>
  <c r="AF30" i="10"/>
  <c r="AG30" i="10"/>
  <c r="AH30" i="10"/>
  <c r="AI30" i="10"/>
  <c r="AJ30" i="10"/>
  <c r="AG31" i="10"/>
  <c r="AH31" i="10"/>
  <c r="AI31" i="10"/>
  <c r="AJ31" i="10"/>
  <c r="AG32" i="10"/>
  <c r="AH32" i="10"/>
  <c r="AI32" i="10"/>
  <c r="AJ32" i="10"/>
  <c r="AF32" i="10" s="1"/>
  <c r="AG33" i="10"/>
  <c r="AF33" i="10" s="1"/>
  <c r="AH33" i="10"/>
  <c r="AI33" i="10"/>
  <c r="AJ33" i="10"/>
  <c r="AG34" i="10"/>
  <c r="AF34" i="10" s="1"/>
  <c r="AH34" i="10"/>
  <c r="AI34" i="10"/>
  <c r="AJ34" i="10"/>
  <c r="AG35" i="10"/>
  <c r="AH35" i="10"/>
  <c r="AI35" i="10"/>
  <c r="AJ35" i="10"/>
  <c r="B3" i="11"/>
  <c r="B4" i="11"/>
  <c r="C4" i="11"/>
  <c r="C3" i="11" s="1"/>
  <c r="D4" i="11"/>
  <c r="E4" i="11" s="1"/>
  <c r="AG5" i="11"/>
  <c r="AH5" i="11"/>
  <c r="AI5" i="11"/>
  <c r="AJ5" i="11"/>
  <c r="AK5" i="11"/>
  <c r="AH6" i="11"/>
  <c r="AG6" i="11" s="1"/>
  <c r="AI6" i="11"/>
  <c r="AJ6" i="11"/>
  <c r="AK6" i="11"/>
  <c r="AG7" i="11"/>
  <c r="AH7" i="11"/>
  <c r="AI7" i="11"/>
  <c r="AJ7" i="11"/>
  <c r="AK7" i="11"/>
  <c r="AH8" i="11"/>
  <c r="AG8" i="11" s="1"/>
  <c r="AI8" i="11"/>
  <c r="AJ8" i="11"/>
  <c r="AK8" i="11"/>
  <c r="AH9" i="11"/>
  <c r="AI9" i="11"/>
  <c r="AJ9" i="11"/>
  <c r="AK9" i="11"/>
  <c r="AH10" i="11"/>
  <c r="AG10" i="11" s="1"/>
  <c r="AI10" i="11"/>
  <c r="AJ10" i="11"/>
  <c r="AK10" i="11"/>
  <c r="AG11" i="11"/>
  <c r="AH11" i="11"/>
  <c r="AI11" i="11"/>
  <c r="AJ11" i="11"/>
  <c r="AK11" i="11"/>
  <c r="AH12" i="11"/>
  <c r="AI12" i="11"/>
  <c r="AJ12" i="11"/>
  <c r="AK12" i="11"/>
  <c r="AG13" i="11"/>
  <c r="AH13" i="11"/>
  <c r="AI13" i="11"/>
  <c r="AJ13" i="11"/>
  <c r="AK13" i="11"/>
  <c r="AH14" i="11"/>
  <c r="AG14" i="11" s="1"/>
  <c r="AI14" i="11"/>
  <c r="AJ14" i="11"/>
  <c r="AK14" i="11"/>
  <c r="AH15" i="11"/>
  <c r="AI15" i="11"/>
  <c r="AJ15" i="11"/>
  <c r="AK15" i="11"/>
  <c r="AG16" i="11"/>
  <c r="AH16" i="11"/>
  <c r="AI16" i="11"/>
  <c r="AJ16" i="11"/>
  <c r="AK16" i="11"/>
  <c r="AG17" i="11"/>
  <c r="AH17" i="11"/>
  <c r="AI17" i="11"/>
  <c r="AJ17" i="11"/>
  <c r="AK17" i="11"/>
  <c r="AH18" i="11"/>
  <c r="AI18" i="11"/>
  <c r="AJ18" i="11"/>
  <c r="AK18" i="11"/>
  <c r="AH19" i="11"/>
  <c r="AI19" i="11"/>
  <c r="AJ19" i="11"/>
  <c r="AK19" i="11"/>
  <c r="AG19" i="11" s="1"/>
  <c r="AH20" i="11"/>
  <c r="AI20" i="11"/>
  <c r="AJ20" i="11"/>
  <c r="AK20" i="11"/>
  <c r="AH21" i="11"/>
  <c r="AI21" i="11"/>
  <c r="AJ21" i="11"/>
  <c r="AK21" i="11"/>
  <c r="AH22" i="11"/>
  <c r="AG22" i="11" s="1"/>
  <c r="AI22" i="11"/>
  <c r="AJ22" i="11"/>
  <c r="AK22" i="11"/>
  <c r="AH23" i="11"/>
  <c r="AG23" i="11" s="1"/>
  <c r="AI23" i="11"/>
  <c r="AJ23" i="11"/>
  <c r="AK23" i="11"/>
  <c r="AH24" i="11"/>
  <c r="AI24" i="11"/>
  <c r="AJ24" i="11"/>
  <c r="AK24" i="11"/>
  <c r="AG25" i="11"/>
  <c r="AH25" i="11"/>
  <c r="AI25" i="11"/>
  <c r="AJ25" i="11"/>
  <c r="AK25" i="11"/>
  <c r="AH26" i="11"/>
  <c r="AG26" i="11" s="1"/>
  <c r="AI26" i="11"/>
  <c r="AJ26" i="11"/>
  <c r="AK26" i="11"/>
  <c r="AH27" i="11"/>
  <c r="AI27" i="11"/>
  <c r="AJ27" i="11"/>
  <c r="AK27" i="11"/>
  <c r="AH28" i="11"/>
  <c r="AG28" i="11" s="1"/>
  <c r="AI28" i="11"/>
  <c r="AJ28" i="11"/>
  <c r="AK28" i="11"/>
  <c r="AH29" i="11"/>
  <c r="AI29" i="11"/>
  <c r="AG29" i="11" s="1"/>
  <c r="AJ29" i="11"/>
  <c r="AK29" i="11"/>
  <c r="AH30" i="11"/>
  <c r="AI30" i="11"/>
  <c r="AJ30" i="11"/>
  <c r="AK30" i="11"/>
  <c r="AG31" i="11"/>
  <c r="AH31" i="11"/>
  <c r="AI31" i="11"/>
  <c r="AJ31" i="11"/>
  <c r="AK31" i="11"/>
  <c r="AH32" i="11"/>
  <c r="AI32" i="11"/>
  <c r="AJ32" i="11"/>
  <c r="AK32" i="11"/>
  <c r="AG33" i="11"/>
  <c r="AH33" i="11"/>
  <c r="AI33" i="11"/>
  <c r="AJ33" i="11"/>
  <c r="AK33" i="11"/>
  <c r="AH34" i="11"/>
  <c r="AG34" i="11" s="1"/>
  <c r="AI34" i="11"/>
  <c r="AJ34" i="11"/>
  <c r="AK34" i="11"/>
  <c r="AH35" i="11"/>
  <c r="AI35" i="11"/>
  <c r="AG35" i="11" s="1"/>
  <c r="AJ35" i="11"/>
  <c r="AK35" i="11"/>
  <c r="C3" i="13"/>
  <c r="E3" i="13"/>
  <c r="B4" i="13"/>
  <c r="B3" i="13" s="1"/>
  <c r="C4" i="13"/>
  <c r="D4" i="13" s="1"/>
  <c r="D3" i="13" s="1"/>
  <c r="E4" i="13"/>
  <c r="F4" i="13" s="1"/>
  <c r="F3" i="13" s="1"/>
  <c r="AG5" i="13"/>
  <c r="AH5" i="13"/>
  <c r="AI5" i="13"/>
  <c r="AJ5" i="13"/>
  <c r="AG6" i="13"/>
  <c r="AH6" i="13"/>
  <c r="AI6" i="13"/>
  <c r="AJ6" i="13"/>
  <c r="AF6" i="13" s="1"/>
  <c r="AG7" i="13"/>
  <c r="AF7" i="13" s="1"/>
  <c r="AH7" i="13"/>
  <c r="AI7" i="13"/>
  <c r="AJ7" i="13"/>
  <c r="AG8" i="13"/>
  <c r="AF8" i="13" s="1"/>
  <c r="AH8" i="13"/>
  <c r="AI8" i="13"/>
  <c r="AJ8" i="13"/>
  <c r="AG9" i="13"/>
  <c r="AH9" i="13"/>
  <c r="AI9" i="13"/>
  <c r="AJ9" i="13"/>
  <c r="AG10" i="13"/>
  <c r="AH10" i="13"/>
  <c r="AI10" i="13"/>
  <c r="AJ10" i="13"/>
  <c r="AF10" i="13" s="1"/>
  <c r="AG11" i="13"/>
  <c r="AF11" i="13" s="1"/>
  <c r="AH11" i="13"/>
  <c r="AI11" i="13"/>
  <c r="AJ11" i="13"/>
  <c r="AG12" i="13"/>
  <c r="AF12" i="13" s="1"/>
  <c r="AH12" i="13"/>
  <c r="AI12" i="13"/>
  <c r="AJ12" i="13"/>
  <c r="AG13" i="13"/>
  <c r="AH13" i="13"/>
  <c r="AI13" i="13"/>
  <c r="AJ13" i="13"/>
  <c r="AG14" i="13"/>
  <c r="AH14" i="13"/>
  <c r="AF14" i="13" s="1"/>
  <c r="AI14" i="13"/>
  <c r="AJ14" i="13"/>
  <c r="AG15" i="13"/>
  <c r="AF15" i="13" s="1"/>
  <c r="AH15" i="13"/>
  <c r="AI15" i="13"/>
  <c r="AJ15" i="13"/>
  <c r="AG16" i="13"/>
  <c r="AH16" i="13"/>
  <c r="AI16" i="13"/>
  <c r="AJ16" i="13"/>
  <c r="AG17" i="13"/>
  <c r="AF17" i="13" s="1"/>
  <c r="AH17" i="13"/>
  <c r="AI17" i="13"/>
  <c r="AJ17" i="13"/>
  <c r="AG18" i="13"/>
  <c r="AH18" i="13"/>
  <c r="AF18" i="13" s="1"/>
  <c r="AI18" i="13"/>
  <c r="AJ18" i="13"/>
  <c r="AG19" i="13"/>
  <c r="AF19" i="13" s="1"/>
  <c r="AH19" i="13"/>
  <c r="AI19" i="13"/>
  <c r="AJ19" i="13"/>
  <c r="AF20" i="13"/>
  <c r="AG20" i="13"/>
  <c r="AH20" i="13"/>
  <c r="AI20" i="13"/>
  <c r="AJ20" i="13"/>
  <c r="AG21" i="13"/>
  <c r="AH21" i="13"/>
  <c r="AI21" i="13"/>
  <c r="AJ21" i="13"/>
  <c r="AF22" i="13"/>
  <c r="AG22" i="13"/>
  <c r="AH22" i="13"/>
  <c r="AI22" i="13"/>
  <c r="AJ22" i="13"/>
  <c r="AG23" i="13"/>
  <c r="AF23" i="13" s="1"/>
  <c r="AH23" i="13"/>
  <c r="AI23" i="13"/>
  <c r="AJ23" i="13"/>
  <c r="AG24" i="13"/>
  <c r="AH24" i="13"/>
  <c r="AF24" i="13" s="1"/>
  <c r="AI24" i="13"/>
  <c r="AJ24" i="13"/>
  <c r="AF25" i="13"/>
  <c r="AG25" i="13"/>
  <c r="AH25" i="13"/>
  <c r="AI25" i="13"/>
  <c r="AJ25" i="13"/>
  <c r="AF26" i="13"/>
  <c r="AG26" i="13"/>
  <c r="AH26" i="13"/>
  <c r="AI26" i="13"/>
  <c r="AJ26" i="13"/>
  <c r="AG27" i="13"/>
  <c r="AH27" i="13"/>
  <c r="AI27" i="13"/>
  <c r="AJ27" i="13"/>
  <c r="AF28" i="13"/>
  <c r="AG28" i="13"/>
  <c r="AH28" i="13"/>
  <c r="AI28" i="13"/>
  <c r="AJ28" i="13"/>
  <c r="AF29" i="13"/>
  <c r="AG29" i="13"/>
  <c r="AH29" i="13"/>
  <c r="AI29" i="13"/>
  <c r="AJ29" i="13"/>
  <c r="AG30" i="13"/>
  <c r="AH30" i="13"/>
  <c r="AF30" i="13" s="1"/>
  <c r="AI30" i="13"/>
  <c r="AJ30" i="13"/>
  <c r="AG31" i="13"/>
  <c r="AH31" i="13"/>
  <c r="AI31" i="13"/>
  <c r="AJ31" i="13"/>
  <c r="AF32" i="13"/>
  <c r="AG32" i="13"/>
  <c r="AH32" i="13"/>
  <c r="AI32" i="13"/>
  <c r="AJ32" i="13"/>
  <c r="AG33" i="13"/>
  <c r="AH33" i="13"/>
  <c r="AI33" i="13"/>
  <c r="AJ33" i="13"/>
  <c r="AF34" i="13"/>
  <c r="AG34" i="13"/>
  <c r="AH34" i="13"/>
  <c r="AI34" i="13"/>
  <c r="AJ34" i="13"/>
  <c r="AG35" i="13"/>
  <c r="AF35" i="13" s="1"/>
  <c r="AH35" i="13"/>
  <c r="AI35" i="13"/>
  <c r="AJ35" i="13"/>
  <c r="AG36" i="13"/>
  <c r="AF36" i="13" s="1"/>
  <c r="AH36" i="13"/>
  <c r="AI36" i="13"/>
  <c r="AJ36" i="13"/>
  <c r="AF37" i="13"/>
  <c r="AG37" i="13"/>
  <c r="AH37" i="13"/>
  <c r="AI37" i="13"/>
  <c r="AJ37" i="13"/>
  <c r="B3" i="14"/>
  <c r="B4" i="14"/>
  <c r="C4" i="14"/>
  <c r="AH5" i="14"/>
  <c r="AI5" i="14"/>
  <c r="AJ5" i="14"/>
  <c r="AK5" i="14"/>
  <c r="AH6" i="14"/>
  <c r="AG6" i="14" s="1"/>
  <c r="AI6" i="14"/>
  <c r="AJ6" i="14"/>
  <c r="AK6" i="14"/>
  <c r="AG7" i="14"/>
  <c r="AH7" i="14"/>
  <c r="AI7" i="14"/>
  <c r="AJ7" i="14"/>
  <c r="AK7" i="14"/>
  <c r="AH8" i="14"/>
  <c r="AI8" i="14"/>
  <c r="AJ8" i="14"/>
  <c r="AK8" i="14"/>
  <c r="AG9" i="14"/>
  <c r="AH9" i="14"/>
  <c r="AI9" i="14"/>
  <c r="AJ9" i="14"/>
  <c r="AK9" i="14"/>
  <c r="AH10" i="14"/>
  <c r="AG10" i="14" s="1"/>
  <c r="AI10" i="14"/>
  <c r="AJ10" i="14"/>
  <c r="AK10" i="14"/>
  <c r="AH11" i="14"/>
  <c r="AI11" i="14"/>
  <c r="AJ11" i="14"/>
  <c r="AK11" i="14"/>
  <c r="AH12" i="14"/>
  <c r="AG12" i="14" s="1"/>
  <c r="AI12" i="14"/>
  <c r="AJ12" i="14"/>
  <c r="AK12" i="14"/>
  <c r="AH13" i="14"/>
  <c r="AG13" i="14" s="1"/>
  <c r="AI13" i="14"/>
  <c r="AJ13" i="14"/>
  <c r="AK13" i="14"/>
  <c r="AH14" i="14"/>
  <c r="AI14" i="14"/>
  <c r="AJ14" i="14"/>
  <c r="AK14" i="14"/>
  <c r="AG15" i="14"/>
  <c r="AH15" i="14"/>
  <c r="AI15" i="14"/>
  <c r="AJ15" i="14"/>
  <c r="AK15" i="14"/>
  <c r="AH16" i="14"/>
  <c r="AG16" i="14" s="1"/>
  <c r="AI16" i="14"/>
  <c r="AJ16" i="14"/>
  <c r="AK16" i="14"/>
  <c r="AH17" i="14"/>
  <c r="AG17" i="14" s="1"/>
  <c r="AI17" i="14"/>
  <c r="AJ17" i="14"/>
  <c r="AK17" i="14"/>
  <c r="AH18" i="14"/>
  <c r="AG18" i="14" s="1"/>
  <c r="AI18" i="14"/>
  <c r="AJ18" i="14"/>
  <c r="AK18" i="14"/>
  <c r="AG19" i="14"/>
  <c r="AH19" i="14"/>
  <c r="AI19" i="14"/>
  <c r="AJ19" i="14"/>
  <c r="AK19" i="14"/>
  <c r="AH20" i="14"/>
  <c r="AG20" i="14" s="1"/>
  <c r="AI20" i="14"/>
  <c r="AJ20" i="14"/>
  <c r="AK20" i="14"/>
  <c r="AH21" i="14"/>
  <c r="AI21" i="14"/>
  <c r="AJ21" i="14"/>
  <c r="AK21" i="14"/>
  <c r="AG21" i="14" s="1"/>
  <c r="AG22" i="14"/>
  <c r="AH22" i="14"/>
  <c r="AI22" i="14"/>
  <c r="AJ22" i="14"/>
  <c r="AK22" i="14"/>
  <c r="AH23" i="14"/>
  <c r="AI23" i="14"/>
  <c r="AG23" i="14" s="1"/>
  <c r="AJ23" i="14"/>
  <c r="AK23" i="14"/>
  <c r="AH24" i="14"/>
  <c r="AI24" i="14"/>
  <c r="AJ24" i="14"/>
  <c r="AK24" i="14"/>
  <c r="AG25" i="14"/>
  <c r="AH25" i="14"/>
  <c r="AI25" i="14"/>
  <c r="AJ25" i="14"/>
  <c r="AK25" i="14"/>
  <c r="AH26" i="14"/>
  <c r="AI26" i="14"/>
  <c r="AJ26" i="14"/>
  <c r="AK26" i="14"/>
  <c r="AH27" i="14"/>
  <c r="AI27" i="14"/>
  <c r="AJ27" i="14"/>
  <c r="AK27" i="14"/>
  <c r="AG27" i="14" s="1"/>
  <c r="AG28" i="14"/>
  <c r="AH28" i="14"/>
  <c r="AI28" i="14"/>
  <c r="AJ28" i="14"/>
  <c r="AK28" i="14"/>
  <c r="AH29" i="14"/>
  <c r="AI29" i="14"/>
  <c r="AG29" i="14" s="1"/>
  <c r="AJ29" i="14"/>
  <c r="AK29" i="14"/>
  <c r="AH30" i="14"/>
  <c r="AI30" i="14"/>
  <c r="AJ30" i="14"/>
  <c r="AK30" i="14"/>
  <c r="AG31" i="14"/>
  <c r="AH31" i="14"/>
  <c r="AI31" i="14"/>
  <c r="AJ31" i="14"/>
  <c r="AK31" i="14"/>
  <c r="AH32" i="14"/>
  <c r="AI32" i="14"/>
  <c r="AJ32" i="14"/>
  <c r="AK32" i="14"/>
  <c r="AH33" i="14"/>
  <c r="AI33" i="14"/>
  <c r="AJ33" i="14"/>
  <c r="AK33" i="14"/>
  <c r="AH34" i="14"/>
  <c r="AG34" i="14" s="1"/>
  <c r="AI34" i="14"/>
  <c r="AJ34" i="14"/>
  <c r="AK34" i="14"/>
  <c r="AH35" i="14"/>
  <c r="AI35" i="14"/>
  <c r="AJ35" i="14"/>
  <c r="AG35" i="14" s="1"/>
  <c r="AK35" i="14"/>
  <c r="AG8" i="4" l="1"/>
  <c r="E3" i="6"/>
  <c r="F4" i="6"/>
  <c r="AF16" i="13"/>
  <c r="AG20" i="11"/>
  <c r="AG18" i="9"/>
  <c r="AG21" i="6"/>
  <c r="AG30" i="14"/>
  <c r="E3" i="10"/>
  <c r="AF7" i="7"/>
  <c r="AF33" i="5"/>
  <c r="AG32" i="11"/>
  <c r="AF31" i="10"/>
  <c r="AG33" i="9"/>
  <c r="AF14" i="7"/>
  <c r="AF24" i="5"/>
  <c r="AG21" i="4"/>
  <c r="AD23" i="3"/>
  <c r="AG33" i="14"/>
  <c r="AF21" i="10"/>
  <c r="AG5" i="14"/>
  <c r="AF9" i="13"/>
  <c r="AG9" i="11"/>
  <c r="AF14" i="10"/>
  <c r="AG18" i="8"/>
  <c r="AF35" i="7"/>
  <c r="AG15" i="11"/>
  <c r="AF27" i="13"/>
  <c r="AG12" i="11"/>
  <c r="E3" i="11"/>
  <c r="F4" i="11"/>
  <c r="D3" i="11"/>
  <c r="AF20" i="10"/>
  <c r="AG11" i="14"/>
  <c r="C3" i="14"/>
  <c r="D4" i="14"/>
  <c r="G4" i="13"/>
  <c r="AG21" i="11"/>
  <c r="AG18" i="11"/>
  <c r="AG25" i="9"/>
  <c r="AG19" i="9"/>
  <c r="AG26" i="6"/>
  <c r="AG23" i="4"/>
  <c r="C3" i="9"/>
  <c r="D4" i="9"/>
  <c r="AF33" i="13"/>
  <c r="AG32" i="14"/>
  <c r="AF26" i="10"/>
  <c r="AF23" i="10"/>
  <c r="AG5" i="8"/>
  <c r="AG14" i="14"/>
  <c r="AF5" i="13"/>
  <c r="AG27" i="11"/>
  <c r="AF31" i="7"/>
  <c r="H4" i="10"/>
  <c r="G3" i="10"/>
  <c r="AG8" i="14"/>
  <c r="AF21" i="13"/>
  <c r="AG26" i="14"/>
  <c r="AG30" i="11"/>
  <c r="AF13" i="10"/>
  <c r="AG31" i="9"/>
  <c r="AG12" i="9"/>
  <c r="AG33" i="8"/>
  <c r="AG11" i="8"/>
  <c r="AF21" i="7"/>
  <c r="AG24" i="11"/>
  <c r="AG28" i="9"/>
  <c r="AG22" i="9"/>
  <c r="AG16" i="9"/>
  <c r="AG15" i="8"/>
  <c r="AF22" i="7"/>
  <c r="AF11" i="5"/>
  <c r="AG21" i="8"/>
  <c r="AF32" i="5"/>
  <c r="AG27" i="4"/>
  <c r="AG14" i="4"/>
  <c r="AF11" i="10"/>
  <c r="AG29" i="8"/>
  <c r="D4" i="8"/>
  <c r="AF18" i="7"/>
  <c r="E4" i="7"/>
  <c r="AG24" i="6"/>
  <c r="AG11" i="6"/>
  <c r="AF6" i="5"/>
  <c r="AD29" i="3"/>
  <c r="AD26" i="3"/>
  <c r="AF35" i="10"/>
  <c r="AF29" i="10"/>
  <c r="AF17" i="10"/>
  <c r="AG11" i="9"/>
  <c r="AG35" i="8"/>
  <c r="AF24" i="7"/>
  <c r="AG27" i="6"/>
  <c r="AG17" i="6"/>
  <c r="AG8" i="6"/>
  <c r="AF28" i="5"/>
  <c r="D4" i="5"/>
  <c r="C3" i="5"/>
  <c r="D3" i="4"/>
  <c r="E4" i="4"/>
  <c r="AD32" i="3"/>
  <c r="AD16" i="3"/>
  <c r="AG24" i="14"/>
  <c r="AF31" i="13"/>
  <c r="AF13" i="13"/>
  <c r="AG8" i="9"/>
  <c r="AF27" i="7"/>
  <c r="AF8" i="7"/>
  <c r="AF5" i="7"/>
  <c r="AG30" i="6"/>
  <c r="AD35" i="3"/>
  <c r="AG18" i="4"/>
  <c r="AG12" i="6"/>
  <c r="AF35" i="5"/>
  <c r="AG28" i="4"/>
  <c r="AD6" i="3"/>
  <c r="AG14" i="6"/>
  <c r="AF37" i="5"/>
  <c r="AG24" i="4"/>
  <c r="AG6" i="4"/>
  <c r="AD9" i="3"/>
  <c r="AF19" i="5"/>
  <c r="C3" i="4"/>
  <c r="B4" i="1"/>
  <c r="C5" i="1"/>
  <c r="AF11" i="7"/>
  <c r="AD20" i="3"/>
  <c r="AD14" i="3"/>
  <c r="C4" i="3"/>
  <c r="AF9" i="5"/>
  <c r="AG34" i="4"/>
  <c r="E3" i="4" l="1"/>
  <c r="F4" i="4"/>
  <c r="H4" i="13"/>
  <c r="G3" i="13"/>
  <c r="D3" i="5"/>
  <c r="E4" i="5"/>
  <c r="D5" i="1"/>
  <c r="C11" i="1"/>
  <c r="C18" i="1"/>
  <c r="C25" i="1"/>
  <c r="C32" i="1"/>
  <c r="C8" i="1"/>
  <c r="C15" i="1"/>
  <c r="C22" i="1"/>
  <c r="C29" i="1"/>
  <c r="C36" i="1"/>
  <c r="C12" i="1"/>
  <c r="C19" i="1"/>
  <c r="C26" i="1"/>
  <c r="C33" i="1"/>
  <c r="C24" i="1"/>
  <c r="C16" i="1"/>
  <c r="C14" i="1"/>
  <c r="C31" i="1"/>
  <c r="C10" i="1"/>
  <c r="C27" i="1"/>
  <c r="C23" i="1"/>
  <c r="C21" i="1"/>
  <c r="C17" i="1"/>
  <c r="C34" i="1"/>
  <c r="C4" i="1"/>
  <c r="C13" i="1"/>
  <c r="C28" i="1"/>
  <c r="C7" i="1"/>
  <c r="C9" i="1"/>
  <c r="C20" i="1"/>
  <c r="C30" i="1"/>
  <c r="C6" i="1"/>
  <c r="C35" i="1"/>
  <c r="F4" i="7"/>
  <c r="E3" i="7"/>
  <c r="D3" i="9"/>
  <c r="E4" i="9"/>
  <c r="G4" i="11"/>
  <c r="F3" i="11"/>
  <c r="E4" i="8"/>
  <c r="D3" i="8"/>
  <c r="E4" i="14"/>
  <c r="D3" i="14"/>
  <c r="H3" i="10"/>
  <c r="I4" i="10"/>
  <c r="C3" i="3"/>
  <c r="D4" i="3"/>
  <c r="G4" i="6"/>
  <c r="F3" i="6"/>
  <c r="D4" i="1" l="1"/>
  <c r="D7" i="1"/>
  <c r="D14" i="1"/>
  <c r="D21" i="1"/>
  <c r="D28" i="1"/>
  <c r="D35" i="1"/>
  <c r="D8" i="1"/>
  <c r="D15" i="1"/>
  <c r="D22" i="1"/>
  <c r="D29" i="1"/>
  <c r="D36" i="1"/>
  <c r="D10" i="1"/>
  <c r="D17" i="1"/>
  <c r="D24" i="1"/>
  <c r="D31" i="1"/>
  <c r="D9" i="1"/>
  <c r="D6" i="1"/>
  <c r="D18" i="1"/>
  <c r="D20" i="1"/>
  <c r="D16" i="1"/>
  <c r="D25" i="1"/>
  <c r="D27" i="1"/>
  <c r="D23" i="1"/>
  <c r="D30" i="1"/>
  <c r="D32" i="1"/>
  <c r="D13" i="1"/>
  <c r="E5" i="1"/>
  <c r="D12" i="1"/>
  <c r="D34" i="1"/>
  <c r="D11" i="1"/>
  <c r="D19" i="1"/>
  <c r="D33" i="1"/>
  <c r="D26" i="1"/>
  <c r="J4" i="10"/>
  <c r="I3" i="10"/>
  <c r="H4" i="6"/>
  <c r="G3" i="6"/>
  <c r="H3" i="13"/>
  <c r="I4" i="13"/>
  <c r="E4" i="3"/>
  <c r="D3" i="3"/>
  <c r="H4" i="11"/>
  <c r="G3" i="11"/>
  <c r="G4" i="7"/>
  <c r="F3" i="7"/>
  <c r="F4" i="5"/>
  <c r="E3" i="5"/>
  <c r="F3" i="4"/>
  <c r="G4" i="4"/>
  <c r="F4" i="9"/>
  <c r="E3" i="9"/>
  <c r="E3" i="8"/>
  <c r="F4" i="8"/>
  <c r="E3" i="14"/>
  <c r="F4" i="14"/>
  <c r="G4" i="14" l="1"/>
  <c r="F3" i="14"/>
  <c r="I4" i="11"/>
  <c r="H3" i="11"/>
  <c r="G3" i="4"/>
  <c r="H4" i="4"/>
  <c r="E9" i="1"/>
  <c r="E16" i="1"/>
  <c r="E23" i="1"/>
  <c r="E30" i="1"/>
  <c r="E6" i="1"/>
  <c r="E13" i="1"/>
  <c r="E20" i="1"/>
  <c r="E27" i="1"/>
  <c r="E34" i="1"/>
  <c r="E10" i="1"/>
  <c r="E17" i="1"/>
  <c r="E24" i="1"/>
  <c r="E31" i="1"/>
  <c r="E11" i="1"/>
  <c r="E26" i="1"/>
  <c r="E18" i="1"/>
  <c r="E33" i="1"/>
  <c r="E7" i="1"/>
  <c r="E12" i="1"/>
  <c r="E29" i="1"/>
  <c r="E25" i="1"/>
  <c r="E19" i="1"/>
  <c r="E15" i="1"/>
  <c r="E32" i="1"/>
  <c r="E36" i="1"/>
  <c r="E8" i="1"/>
  <c r="E21" i="1"/>
  <c r="F5" i="1"/>
  <c r="E28" i="1"/>
  <c r="E14" i="1"/>
  <c r="E4" i="1"/>
  <c r="E22" i="1"/>
  <c r="E35" i="1"/>
  <c r="G4" i="9"/>
  <c r="F3" i="9"/>
  <c r="I4" i="6"/>
  <c r="H3" i="6"/>
  <c r="G3" i="7"/>
  <c r="H4" i="7"/>
  <c r="F3" i="8"/>
  <c r="G4" i="8"/>
  <c r="E3" i="3"/>
  <c r="F4" i="3"/>
  <c r="F3" i="5"/>
  <c r="G4" i="5"/>
  <c r="J4" i="13"/>
  <c r="I3" i="13"/>
  <c r="J3" i="10"/>
  <c r="K4" i="10"/>
  <c r="G4" i="3" l="1"/>
  <c r="F3" i="3"/>
  <c r="J3" i="13"/>
  <c r="K4" i="13"/>
  <c r="G3" i="8"/>
  <c r="H4" i="8"/>
  <c r="H4" i="5"/>
  <c r="G3" i="5"/>
  <c r="J4" i="6"/>
  <c r="I3" i="6"/>
  <c r="F12" i="1"/>
  <c r="F19" i="1"/>
  <c r="F26" i="1"/>
  <c r="F33" i="1"/>
  <c r="F6" i="1"/>
  <c r="F13" i="1"/>
  <c r="F20" i="1"/>
  <c r="F27" i="1"/>
  <c r="F34" i="1"/>
  <c r="F8" i="1"/>
  <c r="F15" i="1"/>
  <c r="F22" i="1"/>
  <c r="F29" i="1"/>
  <c r="F36" i="1"/>
  <c r="F4" i="1"/>
  <c r="F28" i="1"/>
  <c r="G5" i="1"/>
  <c r="F35" i="1"/>
  <c r="F14" i="1"/>
  <c r="F7" i="1"/>
  <c r="F10" i="1"/>
  <c r="F21" i="1"/>
  <c r="F16" i="1"/>
  <c r="F24" i="1"/>
  <c r="F32" i="1"/>
  <c r="F23" i="1"/>
  <c r="F9" i="1"/>
  <c r="F17" i="1"/>
  <c r="F25" i="1"/>
  <c r="F31" i="1"/>
  <c r="F18" i="1"/>
  <c r="F11" i="1"/>
  <c r="F30" i="1"/>
  <c r="H3" i="4"/>
  <c r="I4" i="4"/>
  <c r="H3" i="7"/>
  <c r="I4" i="7"/>
  <c r="L4" i="10"/>
  <c r="K3" i="10"/>
  <c r="G3" i="9"/>
  <c r="H4" i="9"/>
  <c r="G3" i="14"/>
  <c r="H4" i="14"/>
  <c r="I3" i="11"/>
  <c r="J4" i="11"/>
  <c r="H3" i="14" l="1"/>
  <c r="I4" i="14"/>
  <c r="I4" i="8"/>
  <c r="H3" i="8"/>
  <c r="L3" i="10"/>
  <c r="M4" i="10"/>
  <c r="K3" i="13"/>
  <c r="L4" i="13"/>
  <c r="I3" i="4"/>
  <c r="J4" i="4"/>
  <c r="J3" i="11"/>
  <c r="K4" i="11"/>
  <c r="J3" i="6"/>
  <c r="K4" i="6"/>
  <c r="H3" i="9"/>
  <c r="I4" i="9"/>
  <c r="I4" i="5"/>
  <c r="H3" i="5"/>
  <c r="H4" i="3"/>
  <c r="G3" i="3"/>
  <c r="I3" i="7"/>
  <c r="J4" i="7"/>
  <c r="G4" i="1"/>
  <c r="G7" i="1"/>
  <c r="G14" i="1"/>
  <c r="G21" i="1"/>
  <c r="G28" i="1"/>
  <c r="G35" i="1"/>
  <c r="H5" i="1"/>
  <c r="G11" i="1"/>
  <c r="G18" i="1"/>
  <c r="G25" i="1"/>
  <c r="G32" i="1"/>
  <c r="G8" i="1"/>
  <c r="G15" i="1"/>
  <c r="G22" i="1"/>
  <c r="G29" i="1"/>
  <c r="G13" i="1"/>
  <c r="G30" i="1"/>
  <c r="G6" i="1"/>
  <c r="G20" i="1"/>
  <c r="G16" i="1"/>
  <c r="G31" i="1"/>
  <c r="G12" i="1"/>
  <c r="G10" i="1"/>
  <c r="G27" i="1"/>
  <c r="G23" i="1"/>
  <c r="G17" i="1"/>
  <c r="G34" i="1"/>
  <c r="G24" i="1"/>
  <c r="G9" i="1"/>
  <c r="G19" i="1"/>
  <c r="G26" i="1"/>
  <c r="G33" i="1"/>
  <c r="G36" i="1"/>
  <c r="I4" i="3" l="1"/>
  <c r="H3" i="3"/>
  <c r="J4" i="5"/>
  <c r="I3" i="5"/>
  <c r="L3" i="13"/>
  <c r="M4" i="13"/>
  <c r="K4" i="4"/>
  <c r="J3" i="4"/>
  <c r="I3" i="14"/>
  <c r="J4" i="14"/>
  <c r="I3" i="9"/>
  <c r="J4" i="9"/>
  <c r="J3" i="7"/>
  <c r="K4" i="7"/>
  <c r="K3" i="11"/>
  <c r="L4" i="11"/>
  <c r="H10" i="1"/>
  <c r="H17" i="1"/>
  <c r="H24" i="1"/>
  <c r="H31" i="1"/>
  <c r="I5" i="1"/>
  <c r="H11" i="1"/>
  <c r="H18" i="1"/>
  <c r="H25" i="1"/>
  <c r="H32" i="1"/>
  <c r="H6" i="1"/>
  <c r="H13" i="1"/>
  <c r="H20" i="1"/>
  <c r="H27" i="1"/>
  <c r="H34" i="1"/>
  <c r="H8" i="1"/>
  <c r="H36" i="1"/>
  <c r="H9" i="1"/>
  <c r="H22" i="1"/>
  <c r="H33" i="1"/>
  <c r="H14" i="1"/>
  <c r="H16" i="1"/>
  <c r="H29" i="1"/>
  <c r="H7" i="1"/>
  <c r="H12" i="1"/>
  <c r="H19" i="1"/>
  <c r="H4" i="1"/>
  <c r="H21" i="1"/>
  <c r="H15" i="1"/>
  <c r="H26" i="1"/>
  <c r="H35" i="1"/>
  <c r="H23" i="1"/>
  <c r="H28" i="1"/>
  <c r="H30" i="1"/>
  <c r="I3" i="8"/>
  <c r="J4" i="8"/>
  <c r="K3" i="6"/>
  <c r="L4" i="6"/>
  <c r="N4" i="10"/>
  <c r="M3" i="10"/>
  <c r="I12" i="1" l="1"/>
  <c r="I19" i="1"/>
  <c r="I26" i="1"/>
  <c r="I33" i="1"/>
  <c r="I9" i="1"/>
  <c r="I16" i="1"/>
  <c r="I23" i="1"/>
  <c r="I30" i="1"/>
  <c r="I6" i="1"/>
  <c r="I13" i="1"/>
  <c r="I20" i="1"/>
  <c r="I27" i="1"/>
  <c r="I34" i="1"/>
  <c r="I15" i="1"/>
  <c r="I32" i="1"/>
  <c r="I24" i="1"/>
  <c r="J5" i="1"/>
  <c r="I22" i="1"/>
  <c r="I18" i="1"/>
  <c r="I35" i="1"/>
  <c r="I31" i="1"/>
  <c r="I14" i="1"/>
  <c r="I29" i="1"/>
  <c r="I25" i="1"/>
  <c r="I8" i="1"/>
  <c r="I21" i="1"/>
  <c r="I4" i="1"/>
  <c r="I10" i="1"/>
  <c r="I7" i="1"/>
  <c r="I17" i="1"/>
  <c r="I28" i="1"/>
  <c r="I11" i="1"/>
  <c r="I36" i="1"/>
  <c r="J3" i="14"/>
  <c r="K4" i="14"/>
  <c r="L4" i="7"/>
  <c r="K3" i="7"/>
  <c r="L4" i="4"/>
  <c r="K3" i="4"/>
  <c r="J3" i="9"/>
  <c r="K4" i="9"/>
  <c r="J3" i="8"/>
  <c r="K4" i="8"/>
  <c r="N4" i="13"/>
  <c r="M3" i="13"/>
  <c r="I3" i="3"/>
  <c r="J4" i="3"/>
  <c r="N3" i="10"/>
  <c r="O4" i="10"/>
  <c r="L3" i="11"/>
  <c r="M4" i="11"/>
  <c r="M4" i="6"/>
  <c r="L3" i="6"/>
  <c r="J3" i="5"/>
  <c r="K4" i="5"/>
  <c r="J3" i="3" l="1"/>
  <c r="K4" i="3"/>
  <c r="L4" i="14"/>
  <c r="K3" i="14"/>
  <c r="N3" i="13"/>
  <c r="O4" i="13"/>
  <c r="J8" i="1"/>
  <c r="J15" i="1"/>
  <c r="J22" i="1"/>
  <c r="J29" i="1"/>
  <c r="J36" i="1"/>
  <c r="J9" i="1"/>
  <c r="J16" i="1"/>
  <c r="J23" i="1"/>
  <c r="J30" i="1"/>
  <c r="K5" i="1"/>
  <c r="J11" i="1"/>
  <c r="J18" i="1"/>
  <c r="J25" i="1"/>
  <c r="J32" i="1"/>
  <c r="J6" i="1"/>
  <c r="J17" i="1"/>
  <c r="J4" i="1"/>
  <c r="J26" i="1"/>
  <c r="J28" i="1"/>
  <c r="J24" i="1"/>
  <c r="J33" i="1"/>
  <c r="J35" i="1"/>
  <c r="J31" i="1"/>
  <c r="J7" i="1"/>
  <c r="J10" i="1"/>
  <c r="J13" i="1"/>
  <c r="J12" i="1"/>
  <c r="J20" i="1"/>
  <c r="J34" i="1"/>
  <c r="J19" i="1"/>
  <c r="J27" i="1"/>
  <c r="J21" i="1"/>
  <c r="J14" i="1"/>
  <c r="L4" i="8"/>
  <c r="K3" i="8"/>
  <c r="K3" i="9"/>
  <c r="L4" i="9"/>
  <c r="M3" i="11"/>
  <c r="N4" i="11"/>
  <c r="N4" i="6"/>
  <c r="M3" i="6"/>
  <c r="P4" i="10"/>
  <c r="O3" i="10"/>
  <c r="K3" i="5"/>
  <c r="L4" i="5"/>
  <c r="M4" i="4"/>
  <c r="L3" i="4"/>
  <c r="M4" i="7"/>
  <c r="L3" i="7"/>
  <c r="N3" i="6" l="1"/>
  <c r="O4" i="6"/>
  <c r="P4" i="13"/>
  <c r="O3" i="13"/>
  <c r="L3" i="8"/>
  <c r="M4" i="8"/>
  <c r="M4" i="14"/>
  <c r="L3" i="14"/>
  <c r="N4" i="7"/>
  <c r="M3" i="7"/>
  <c r="N3" i="11"/>
  <c r="O4" i="11"/>
  <c r="M3" i="4"/>
  <c r="N4" i="4"/>
  <c r="M4" i="9"/>
  <c r="L3" i="9"/>
  <c r="L3" i="5"/>
  <c r="M4" i="5"/>
  <c r="K10" i="1"/>
  <c r="K17" i="1"/>
  <c r="K24" i="1"/>
  <c r="K31" i="1"/>
  <c r="K4" i="1"/>
  <c r="K7" i="1"/>
  <c r="K14" i="1"/>
  <c r="K21" i="1"/>
  <c r="K28" i="1"/>
  <c r="K35" i="1"/>
  <c r="L5" i="1"/>
  <c r="K11" i="1"/>
  <c r="K18" i="1"/>
  <c r="K25" i="1"/>
  <c r="K32" i="1"/>
  <c r="K19" i="1"/>
  <c r="K34" i="1"/>
  <c r="K9" i="1"/>
  <c r="K26" i="1"/>
  <c r="K20" i="1"/>
  <c r="K16" i="1"/>
  <c r="K33" i="1"/>
  <c r="K12" i="1"/>
  <c r="K27" i="1"/>
  <c r="K23" i="1"/>
  <c r="K6" i="1"/>
  <c r="K8" i="1"/>
  <c r="K13" i="1"/>
  <c r="K36" i="1"/>
  <c r="K15" i="1"/>
  <c r="K30" i="1"/>
  <c r="K22" i="1"/>
  <c r="K29" i="1"/>
  <c r="L4" i="3"/>
  <c r="K3" i="3"/>
  <c r="P3" i="10"/>
  <c r="Q4" i="10"/>
  <c r="N3" i="4" l="1"/>
  <c r="O4" i="4"/>
  <c r="L3" i="3"/>
  <c r="M4" i="3"/>
  <c r="N3" i="7"/>
  <c r="O4" i="7"/>
  <c r="N4" i="14"/>
  <c r="M3" i="14"/>
  <c r="R4" i="10"/>
  <c r="Q3" i="10"/>
  <c r="N4" i="8"/>
  <c r="M3" i="8"/>
  <c r="P4" i="11"/>
  <c r="O3" i="11"/>
  <c r="N4" i="5"/>
  <c r="M3" i="5"/>
  <c r="P3" i="13"/>
  <c r="Q4" i="13"/>
  <c r="O3" i="6"/>
  <c r="P4" i="6"/>
  <c r="L6" i="1"/>
  <c r="L13" i="1"/>
  <c r="L20" i="1"/>
  <c r="L27" i="1"/>
  <c r="L34" i="1"/>
  <c r="L4" i="1"/>
  <c r="L7" i="1"/>
  <c r="L14" i="1"/>
  <c r="L21" i="1"/>
  <c r="L28" i="1"/>
  <c r="L35" i="1"/>
  <c r="L9" i="1"/>
  <c r="L16" i="1"/>
  <c r="L23" i="1"/>
  <c r="L30" i="1"/>
  <c r="M5" i="1"/>
  <c r="L8" i="1"/>
  <c r="L11" i="1"/>
  <c r="L22" i="1"/>
  <c r="L18" i="1"/>
  <c r="L29" i="1"/>
  <c r="L19" i="1"/>
  <c r="L24" i="1"/>
  <c r="L10" i="1"/>
  <c r="L26" i="1"/>
  <c r="L15" i="1"/>
  <c r="L31" i="1"/>
  <c r="L12" i="1"/>
  <c r="L25" i="1"/>
  <c r="L17" i="1"/>
  <c r="L33" i="1"/>
  <c r="L32" i="1"/>
  <c r="L36" i="1"/>
  <c r="N4" i="9"/>
  <c r="M3" i="9"/>
  <c r="P3" i="11" l="1"/>
  <c r="Q4" i="11"/>
  <c r="N3" i="8"/>
  <c r="O4" i="8"/>
  <c r="M8" i="1"/>
  <c r="M15" i="1"/>
  <c r="M22" i="1"/>
  <c r="M29" i="1"/>
  <c r="M36" i="1"/>
  <c r="M12" i="1"/>
  <c r="M19" i="1"/>
  <c r="M26" i="1"/>
  <c r="M33" i="1"/>
  <c r="M9" i="1"/>
  <c r="M16" i="1"/>
  <c r="M23" i="1"/>
  <c r="M30" i="1"/>
  <c r="M21" i="1"/>
  <c r="M13" i="1"/>
  <c r="M4" i="1"/>
  <c r="M11" i="1"/>
  <c r="M28" i="1"/>
  <c r="M6" i="1"/>
  <c r="M24" i="1"/>
  <c r="M20" i="1"/>
  <c r="M18" i="1"/>
  <c r="M35" i="1"/>
  <c r="M14" i="1"/>
  <c r="M31" i="1"/>
  <c r="M10" i="1"/>
  <c r="M25" i="1"/>
  <c r="M27" i="1"/>
  <c r="N5" i="1"/>
  <c r="M7" i="1"/>
  <c r="M34" i="1"/>
  <c r="M17" i="1"/>
  <c r="M32" i="1"/>
  <c r="R3" i="10"/>
  <c r="S4" i="10"/>
  <c r="Q4" i="6"/>
  <c r="P3" i="6"/>
  <c r="N3" i="14"/>
  <c r="O4" i="14"/>
  <c r="P4" i="7"/>
  <c r="O3" i="7"/>
  <c r="R4" i="13"/>
  <c r="Q3" i="13"/>
  <c r="M3" i="3"/>
  <c r="N4" i="3"/>
  <c r="O4" i="9"/>
  <c r="N3" i="9"/>
  <c r="O3" i="4"/>
  <c r="P4" i="4"/>
  <c r="N3" i="5"/>
  <c r="O4" i="5"/>
  <c r="R3" i="13" l="1"/>
  <c r="S4" i="13"/>
  <c r="O3" i="14"/>
  <c r="P4" i="14"/>
  <c r="P4" i="5"/>
  <c r="O3" i="5"/>
  <c r="Q4" i="4"/>
  <c r="P3" i="4"/>
  <c r="T4" i="10"/>
  <c r="S3" i="10"/>
  <c r="R4" i="6"/>
  <c r="Q3" i="6"/>
  <c r="O4" i="3"/>
  <c r="N3" i="3"/>
  <c r="O3" i="9"/>
  <c r="P4" i="9"/>
  <c r="O5" i="1"/>
  <c r="N11" i="1"/>
  <c r="N18" i="1"/>
  <c r="N25" i="1"/>
  <c r="N32" i="1"/>
  <c r="N12" i="1"/>
  <c r="N19" i="1"/>
  <c r="N26" i="1"/>
  <c r="N33" i="1"/>
  <c r="N4" i="1"/>
  <c r="N7" i="1"/>
  <c r="N14" i="1"/>
  <c r="N21" i="1"/>
  <c r="N28" i="1"/>
  <c r="N35" i="1"/>
  <c r="N15" i="1"/>
  <c r="N17" i="1"/>
  <c r="N30" i="1"/>
  <c r="N13" i="1"/>
  <c r="N36" i="1"/>
  <c r="N6" i="1"/>
  <c r="N22" i="1"/>
  <c r="N24" i="1"/>
  <c r="N20" i="1"/>
  <c r="N27" i="1"/>
  <c r="N16" i="1"/>
  <c r="N8" i="1"/>
  <c r="N10" i="1"/>
  <c r="N23" i="1"/>
  <c r="N31" i="1"/>
  <c r="N34" i="1"/>
  <c r="N9" i="1"/>
  <c r="N29" i="1"/>
  <c r="P4" i="8"/>
  <c r="O3" i="8"/>
  <c r="Q4" i="7"/>
  <c r="P3" i="7"/>
  <c r="Q3" i="11"/>
  <c r="R4" i="11"/>
  <c r="R3" i="11" l="1"/>
  <c r="S4" i="11"/>
  <c r="T3" i="10"/>
  <c r="U4" i="10"/>
  <c r="S4" i="6"/>
  <c r="R3" i="6"/>
  <c r="R4" i="7"/>
  <c r="Q3" i="7"/>
  <c r="Q4" i="8"/>
  <c r="P3" i="8"/>
  <c r="R4" i="4"/>
  <c r="Q3" i="4"/>
  <c r="O3" i="3"/>
  <c r="P4" i="3"/>
  <c r="P3" i="5"/>
  <c r="Q4" i="5"/>
  <c r="P3" i="14"/>
  <c r="Q4" i="14"/>
  <c r="O6" i="1"/>
  <c r="O13" i="1"/>
  <c r="O20" i="1"/>
  <c r="O27" i="1"/>
  <c r="O34" i="1"/>
  <c r="O10" i="1"/>
  <c r="O17" i="1"/>
  <c r="O24" i="1"/>
  <c r="O31" i="1"/>
  <c r="O4" i="1"/>
  <c r="O7" i="1"/>
  <c r="O14" i="1"/>
  <c r="O21" i="1"/>
  <c r="O28" i="1"/>
  <c r="O23" i="1"/>
  <c r="O15" i="1"/>
  <c r="O30" i="1"/>
  <c r="P5" i="1"/>
  <c r="O9" i="1"/>
  <c r="O26" i="1"/>
  <c r="O22" i="1"/>
  <c r="O16" i="1"/>
  <c r="O33" i="1"/>
  <c r="O12" i="1"/>
  <c r="O29" i="1"/>
  <c r="O11" i="1"/>
  <c r="O19" i="1"/>
  <c r="O8" i="1"/>
  <c r="O18" i="1"/>
  <c r="O36" i="1"/>
  <c r="O35" i="1"/>
  <c r="O32" i="1"/>
  <c r="O25" i="1"/>
  <c r="Q4" i="9"/>
  <c r="P3" i="9"/>
  <c r="T4" i="13"/>
  <c r="S3" i="13"/>
  <c r="T3" i="13" l="1"/>
  <c r="U4" i="13"/>
  <c r="Q4" i="3"/>
  <c r="P3" i="3"/>
  <c r="R3" i="4"/>
  <c r="S4" i="4"/>
  <c r="Q3" i="8"/>
  <c r="R4" i="8"/>
  <c r="Q3" i="9"/>
  <c r="R4" i="9"/>
  <c r="P9" i="1"/>
  <c r="P16" i="1"/>
  <c r="P23" i="1"/>
  <c r="P30" i="1"/>
  <c r="P10" i="1"/>
  <c r="P17" i="1"/>
  <c r="P24" i="1"/>
  <c r="P31" i="1"/>
  <c r="P12" i="1"/>
  <c r="P19" i="1"/>
  <c r="P26" i="1"/>
  <c r="P33" i="1"/>
  <c r="P4" i="1"/>
  <c r="P7" i="1"/>
  <c r="P25" i="1"/>
  <c r="P8" i="1"/>
  <c r="P32" i="1"/>
  <c r="P11" i="1"/>
  <c r="P36" i="1"/>
  <c r="Q5" i="1"/>
  <c r="P6" i="1"/>
  <c r="P18" i="1"/>
  <c r="P27" i="1"/>
  <c r="P13" i="1"/>
  <c r="P29" i="1"/>
  <c r="P35" i="1"/>
  <c r="P15" i="1"/>
  <c r="P20" i="1"/>
  <c r="P28" i="1"/>
  <c r="P22" i="1"/>
  <c r="P21" i="1"/>
  <c r="P14" i="1"/>
  <c r="P34" i="1"/>
  <c r="R3" i="7"/>
  <c r="S4" i="7"/>
  <c r="S3" i="6"/>
  <c r="T4" i="6"/>
  <c r="Q3" i="14"/>
  <c r="R4" i="14"/>
  <c r="V4" i="10"/>
  <c r="U3" i="10"/>
  <c r="R4" i="5"/>
  <c r="Q3" i="5"/>
  <c r="S3" i="11"/>
  <c r="T4" i="11"/>
  <c r="R3" i="9" l="1"/>
  <c r="S4" i="9"/>
  <c r="R3" i="8"/>
  <c r="S4" i="8"/>
  <c r="T3" i="11"/>
  <c r="U4" i="11"/>
  <c r="R3" i="5"/>
  <c r="S4" i="5"/>
  <c r="V3" i="10"/>
  <c r="W4" i="10"/>
  <c r="R3" i="14"/>
  <c r="S4" i="14"/>
  <c r="S3" i="4"/>
  <c r="T4" i="4"/>
  <c r="Q3" i="3"/>
  <c r="R4" i="3"/>
  <c r="U4" i="6"/>
  <c r="T3" i="6"/>
  <c r="T4" i="7"/>
  <c r="S3" i="7"/>
  <c r="R5" i="1"/>
  <c r="Q11" i="1"/>
  <c r="Q18" i="1"/>
  <c r="Q25" i="1"/>
  <c r="Q32" i="1"/>
  <c r="Q8" i="1"/>
  <c r="Q15" i="1"/>
  <c r="Q22" i="1"/>
  <c r="Q29" i="1"/>
  <c r="Q36" i="1"/>
  <c r="Q12" i="1"/>
  <c r="Q19" i="1"/>
  <c r="Q26" i="1"/>
  <c r="Q33" i="1"/>
  <c r="Q10" i="1"/>
  <c r="Q27" i="1"/>
  <c r="Q17" i="1"/>
  <c r="Q34" i="1"/>
  <c r="Q13" i="1"/>
  <c r="Q28" i="1"/>
  <c r="Q9" i="1"/>
  <c r="Q24" i="1"/>
  <c r="Q20" i="1"/>
  <c r="Q7" i="1"/>
  <c r="Q14" i="1"/>
  <c r="Q31" i="1"/>
  <c r="Q30" i="1"/>
  <c r="Q6" i="1"/>
  <c r="Q4" i="1"/>
  <c r="Q16" i="1"/>
  <c r="Q21" i="1"/>
  <c r="Q23" i="1"/>
  <c r="Q35" i="1"/>
  <c r="V4" i="13"/>
  <c r="U3" i="13"/>
  <c r="T3" i="4" l="1"/>
  <c r="U4" i="4"/>
  <c r="S3" i="14"/>
  <c r="T4" i="14"/>
  <c r="W3" i="10"/>
  <c r="X4" i="10"/>
  <c r="V3" i="13"/>
  <c r="W4" i="13"/>
  <c r="T4" i="5"/>
  <c r="S3" i="5"/>
  <c r="R4" i="1"/>
  <c r="R7" i="1"/>
  <c r="R14" i="1"/>
  <c r="R21" i="1"/>
  <c r="R28" i="1"/>
  <c r="R35" i="1"/>
  <c r="R8" i="1"/>
  <c r="R15" i="1"/>
  <c r="R22" i="1"/>
  <c r="R29" i="1"/>
  <c r="R36" i="1"/>
  <c r="R10" i="1"/>
  <c r="R17" i="1"/>
  <c r="R24" i="1"/>
  <c r="R31" i="1"/>
  <c r="R19" i="1"/>
  <c r="R30" i="1"/>
  <c r="R11" i="1"/>
  <c r="R13" i="1"/>
  <c r="R26" i="1"/>
  <c r="S5" i="1"/>
  <c r="R9" i="1"/>
  <c r="R6" i="1"/>
  <c r="R16" i="1"/>
  <c r="R33" i="1"/>
  <c r="R27" i="1"/>
  <c r="R32" i="1"/>
  <c r="R18" i="1"/>
  <c r="R12" i="1"/>
  <c r="R23" i="1"/>
  <c r="R20" i="1"/>
  <c r="R34" i="1"/>
  <c r="R25" i="1"/>
  <c r="V4" i="11"/>
  <c r="U3" i="11"/>
  <c r="T3" i="7"/>
  <c r="U4" i="7"/>
  <c r="T4" i="8"/>
  <c r="S3" i="8"/>
  <c r="V4" i="6"/>
  <c r="U3" i="6"/>
  <c r="S4" i="3"/>
  <c r="R3" i="3"/>
  <c r="T4" i="9"/>
  <c r="S3" i="9"/>
  <c r="T3" i="5" l="1"/>
  <c r="U4" i="5"/>
  <c r="U4" i="9"/>
  <c r="T3" i="9"/>
  <c r="X4" i="13"/>
  <c r="W3" i="13"/>
  <c r="X3" i="10"/>
  <c r="Y4" i="10"/>
  <c r="S3" i="3"/>
  <c r="T4" i="3"/>
  <c r="V3" i="6"/>
  <c r="W4" i="6"/>
  <c r="T3" i="8"/>
  <c r="U4" i="8"/>
  <c r="U3" i="7"/>
  <c r="V4" i="7"/>
  <c r="T3" i="14"/>
  <c r="U4" i="14"/>
  <c r="S9" i="1"/>
  <c r="S16" i="1"/>
  <c r="S23" i="1"/>
  <c r="S30" i="1"/>
  <c r="S6" i="1"/>
  <c r="S13" i="1"/>
  <c r="S20" i="1"/>
  <c r="S27" i="1"/>
  <c r="S34" i="1"/>
  <c r="S10" i="1"/>
  <c r="S17" i="1"/>
  <c r="S24" i="1"/>
  <c r="S31" i="1"/>
  <c r="S12" i="1"/>
  <c r="S29" i="1"/>
  <c r="S21" i="1"/>
  <c r="S8" i="1"/>
  <c r="S19" i="1"/>
  <c r="S4" i="1"/>
  <c r="S15" i="1"/>
  <c r="S32" i="1"/>
  <c r="S28" i="1"/>
  <c r="S36" i="1"/>
  <c r="S11" i="1"/>
  <c r="S26" i="1"/>
  <c r="S22" i="1"/>
  <c r="S18" i="1"/>
  <c r="S33" i="1"/>
  <c r="S35" i="1"/>
  <c r="T5" i="1"/>
  <c r="S7" i="1"/>
  <c r="S14" i="1"/>
  <c r="S25" i="1"/>
  <c r="V3" i="11"/>
  <c r="W4" i="11"/>
  <c r="V4" i="4"/>
  <c r="U3" i="4"/>
  <c r="U3" i="8" l="1"/>
  <c r="V4" i="8"/>
  <c r="U4" i="3"/>
  <c r="T3" i="3"/>
  <c r="Z4" i="10"/>
  <c r="Y3" i="10"/>
  <c r="W3" i="6"/>
  <c r="X4" i="6"/>
  <c r="W3" i="11"/>
  <c r="X4" i="11"/>
  <c r="X3" i="13"/>
  <c r="Y4" i="13"/>
  <c r="V3" i="4"/>
  <c r="W4" i="4"/>
  <c r="U3" i="14"/>
  <c r="V4" i="14"/>
  <c r="U3" i="9"/>
  <c r="V4" i="9"/>
  <c r="T12" i="1"/>
  <c r="T19" i="1"/>
  <c r="T26" i="1"/>
  <c r="T33" i="1"/>
  <c r="T6" i="1"/>
  <c r="T13" i="1"/>
  <c r="T20" i="1"/>
  <c r="T27" i="1"/>
  <c r="T34" i="1"/>
  <c r="T8" i="1"/>
  <c r="T15" i="1"/>
  <c r="T22" i="1"/>
  <c r="T29" i="1"/>
  <c r="T36" i="1"/>
  <c r="T7" i="1"/>
  <c r="T14" i="1"/>
  <c r="T23" i="1"/>
  <c r="T25" i="1"/>
  <c r="T21" i="1"/>
  <c r="T4" i="1"/>
  <c r="T30" i="1"/>
  <c r="T32" i="1"/>
  <c r="T28" i="1"/>
  <c r="U5" i="1"/>
  <c r="T11" i="1"/>
  <c r="T16" i="1"/>
  <c r="T10" i="1"/>
  <c r="T18" i="1"/>
  <c r="T31" i="1"/>
  <c r="T35" i="1"/>
  <c r="T17" i="1"/>
  <c r="T9" i="1"/>
  <c r="T24" i="1"/>
  <c r="V3" i="7"/>
  <c r="W4" i="7"/>
  <c r="U3" i="5"/>
  <c r="V4" i="5"/>
  <c r="W3" i="4" l="1"/>
  <c r="X4" i="4"/>
  <c r="V3" i="5"/>
  <c r="W4" i="5"/>
  <c r="Z4" i="13"/>
  <c r="Y3" i="13"/>
  <c r="U4" i="1"/>
  <c r="U7" i="1"/>
  <c r="U14" i="1"/>
  <c r="U21" i="1"/>
  <c r="U28" i="1"/>
  <c r="U35" i="1"/>
  <c r="V5" i="1"/>
  <c r="U11" i="1"/>
  <c r="U18" i="1"/>
  <c r="U25" i="1"/>
  <c r="U32" i="1"/>
  <c r="U8" i="1"/>
  <c r="U15" i="1"/>
  <c r="U22" i="1"/>
  <c r="U29" i="1"/>
  <c r="U16" i="1"/>
  <c r="U31" i="1"/>
  <c r="U23" i="1"/>
  <c r="U17" i="1"/>
  <c r="U34" i="1"/>
  <c r="U13" i="1"/>
  <c r="U30" i="1"/>
  <c r="U36" i="1"/>
  <c r="U9" i="1"/>
  <c r="U24" i="1"/>
  <c r="U20" i="1"/>
  <c r="U33" i="1"/>
  <c r="U6" i="1"/>
  <c r="U19" i="1"/>
  <c r="U10" i="1"/>
  <c r="U26" i="1"/>
  <c r="U12" i="1"/>
  <c r="U27" i="1"/>
  <c r="X4" i="7"/>
  <c r="W3" i="7"/>
  <c r="X3" i="11"/>
  <c r="Y4" i="11"/>
  <c r="Y4" i="6"/>
  <c r="X3" i="6"/>
  <c r="Z3" i="10"/>
  <c r="AA4" i="10"/>
  <c r="W4" i="9"/>
  <c r="V3" i="9"/>
  <c r="U3" i="3"/>
  <c r="V4" i="3"/>
  <c r="W4" i="14"/>
  <c r="V3" i="14"/>
  <c r="V3" i="8"/>
  <c r="W4" i="8"/>
  <c r="V10" i="1" l="1"/>
  <c r="V17" i="1"/>
  <c r="V24" i="1"/>
  <c r="V31" i="1"/>
  <c r="W5" i="1"/>
  <c r="V11" i="1"/>
  <c r="V18" i="1"/>
  <c r="V25" i="1"/>
  <c r="V32" i="1"/>
  <c r="V6" i="1"/>
  <c r="V13" i="1"/>
  <c r="V20" i="1"/>
  <c r="V27" i="1"/>
  <c r="V34" i="1"/>
  <c r="V8" i="1"/>
  <c r="V33" i="1"/>
  <c r="V35" i="1"/>
  <c r="V19" i="1"/>
  <c r="V15" i="1"/>
  <c r="V4" i="1"/>
  <c r="V26" i="1"/>
  <c r="V14" i="1"/>
  <c r="V22" i="1"/>
  <c r="V30" i="1"/>
  <c r="V21" i="1"/>
  <c r="V36" i="1"/>
  <c r="V23" i="1"/>
  <c r="V7" i="1"/>
  <c r="V9" i="1"/>
  <c r="V28" i="1"/>
  <c r="V12" i="1"/>
  <c r="V29" i="1"/>
  <c r="V16" i="1"/>
  <c r="X3" i="7"/>
  <c r="Y4" i="7"/>
  <c r="Y3" i="11"/>
  <c r="Z4" i="11"/>
  <c r="X4" i="8"/>
  <c r="W3" i="8"/>
  <c r="V3" i="3"/>
  <c r="W4" i="3"/>
  <c r="AB4" i="10"/>
  <c r="AA3" i="10"/>
  <c r="Z3" i="13"/>
  <c r="AA4" i="13"/>
  <c r="W3" i="14"/>
  <c r="X4" i="14"/>
  <c r="X4" i="5"/>
  <c r="W3" i="5"/>
  <c r="W3" i="9"/>
  <c r="X4" i="9"/>
  <c r="Y3" i="6"/>
  <c r="Z4" i="6"/>
  <c r="Y4" i="4"/>
  <c r="X3" i="4"/>
  <c r="Y4" i="14" l="1"/>
  <c r="X3" i="14"/>
  <c r="AB4" i="13"/>
  <c r="AA3" i="13"/>
  <c r="AB3" i="10"/>
  <c r="AC4" i="10"/>
  <c r="W3" i="3"/>
  <c r="X4" i="3"/>
  <c r="Y3" i="4"/>
  <c r="Z4" i="4"/>
  <c r="AA4" i="6"/>
  <c r="Z3" i="6"/>
  <c r="Y4" i="8"/>
  <c r="X3" i="8"/>
  <c r="X3" i="9"/>
  <c r="Y4" i="9"/>
  <c r="AA4" i="11"/>
  <c r="Z3" i="11"/>
  <c r="Y3" i="7"/>
  <c r="Z4" i="7"/>
  <c r="Y4" i="5"/>
  <c r="X3" i="5"/>
  <c r="W12" i="1"/>
  <c r="W19" i="1"/>
  <c r="W26" i="1"/>
  <c r="W33" i="1"/>
  <c r="W9" i="1"/>
  <c r="W16" i="1"/>
  <c r="W23" i="1"/>
  <c r="W30" i="1"/>
  <c r="W6" i="1"/>
  <c r="W13" i="1"/>
  <c r="W20" i="1"/>
  <c r="W27" i="1"/>
  <c r="W34" i="1"/>
  <c r="W18" i="1"/>
  <c r="W10" i="1"/>
  <c r="W25" i="1"/>
  <c r="W21" i="1"/>
  <c r="W17" i="1"/>
  <c r="W15" i="1"/>
  <c r="W32" i="1"/>
  <c r="W11" i="1"/>
  <c r="W28" i="1"/>
  <c r="W22" i="1"/>
  <c r="W14" i="1"/>
  <c r="W4" i="1"/>
  <c r="W8" i="1"/>
  <c r="W29" i="1"/>
  <c r="W36" i="1"/>
  <c r="W31" i="1"/>
  <c r="W35" i="1"/>
  <c r="X5" i="1"/>
  <c r="W7" i="1"/>
  <c r="W24" i="1"/>
  <c r="X8" i="1" l="1"/>
  <c r="X15" i="1"/>
  <c r="X22" i="1"/>
  <c r="X29" i="1"/>
  <c r="X36" i="1"/>
  <c r="X9" i="1"/>
  <c r="X16" i="1"/>
  <c r="X23" i="1"/>
  <c r="X30" i="1"/>
  <c r="Y5" i="1"/>
  <c r="X11" i="1"/>
  <c r="X18" i="1"/>
  <c r="X25" i="1"/>
  <c r="X32" i="1"/>
  <c r="X6" i="1"/>
  <c r="X7" i="1"/>
  <c r="X12" i="1"/>
  <c r="X14" i="1"/>
  <c r="X27" i="1"/>
  <c r="X10" i="1"/>
  <c r="X19" i="1"/>
  <c r="X21" i="1"/>
  <c r="X34" i="1"/>
  <c r="X17" i="1"/>
  <c r="X4" i="1"/>
  <c r="X24" i="1"/>
  <c r="X13" i="1"/>
  <c r="X26" i="1"/>
  <c r="X31" i="1"/>
  <c r="X28" i="1"/>
  <c r="X35" i="1"/>
  <c r="X33" i="1"/>
  <c r="X20" i="1"/>
  <c r="Y3" i="8"/>
  <c r="Z4" i="8"/>
  <c r="AB4" i="6"/>
  <c r="AA3" i="6"/>
  <c r="Z3" i="4"/>
  <c r="AA4" i="4"/>
  <c r="X3" i="3"/>
  <c r="Y4" i="3"/>
  <c r="Z4" i="5"/>
  <c r="Y3" i="5"/>
  <c r="Z3" i="7"/>
  <c r="AA4" i="7"/>
  <c r="AD4" i="10"/>
  <c r="AC3" i="10"/>
  <c r="AA3" i="11"/>
  <c r="AB4" i="11"/>
  <c r="AB3" i="13"/>
  <c r="AC4" i="13"/>
  <c r="Y3" i="9"/>
  <c r="Z4" i="9"/>
  <c r="Z4" i="14"/>
  <c r="Y3" i="14"/>
  <c r="AB3" i="6" l="1"/>
  <c r="AC4" i="6"/>
  <c r="AC4" i="11"/>
  <c r="AB3" i="11"/>
  <c r="AA4" i="8"/>
  <c r="Z3" i="8"/>
  <c r="AB4" i="7"/>
  <c r="AA3" i="7"/>
  <c r="AD3" i="10"/>
  <c r="AE4" i="10"/>
  <c r="AE3" i="10" s="1"/>
  <c r="Z4" i="3"/>
  <c r="Y3" i="3"/>
  <c r="AA4" i="9"/>
  <c r="Z3" i="9"/>
  <c r="AB4" i="4"/>
  <c r="AA3" i="4"/>
  <c r="Z3" i="5"/>
  <c r="AA4" i="5"/>
  <c r="Z3" i="14"/>
  <c r="AA4" i="14"/>
  <c r="Y10" i="1"/>
  <c r="Y17" i="1"/>
  <c r="Y24" i="1"/>
  <c r="Y31" i="1"/>
  <c r="Y4" i="1"/>
  <c r="Y7" i="1"/>
  <c r="Y14" i="1"/>
  <c r="Y21" i="1"/>
  <c r="Y28" i="1"/>
  <c r="Y35" i="1"/>
  <c r="Z5" i="1"/>
  <c r="Y11" i="1"/>
  <c r="Y18" i="1"/>
  <c r="Y25" i="1"/>
  <c r="Y32" i="1"/>
  <c r="Y20" i="1"/>
  <c r="Y29" i="1"/>
  <c r="Y12" i="1"/>
  <c r="Y27" i="1"/>
  <c r="Y8" i="1"/>
  <c r="Y23" i="1"/>
  <c r="Y19" i="1"/>
  <c r="Y34" i="1"/>
  <c r="Y13" i="1"/>
  <c r="Y30" i="1"/>
  <c r="Y6" i="1"/>
  <c r="Y9" i="1"/>
  <c r="Y26" i="1"/>
  <c r="Y22" i="1"/>
  <c r="Y16" i="1"/>
  <c r="Y15" i="1"/>
  <c r="Y36" i="1"/>
  <c r="Y33" i="1"/>
  <c r="AD4" i="13"/>
  <c r="AC3" i="13"/>
  <c r="AA4" i="3" l="1"/>
  <c r="Z3" i="3"/>
  <c r="AC4" i="7"/>
  <c r="AB3" i="7"/>
  <c r="AB4" i="9"/>
  <c r="AA3" i="9"/>
  <c r="AD3" i="13"/>
  <c r="AE4" i="13"/>
  <c r="AE3" i="13" s="1"/>
  <c r="AB4" i="14"/>
  <c r="AA3" i="14"/>
  <c r="AB4" i="8"/>
  <c r="AA3" i="8"/>
  <c r="AB4" i="5"/>
  <c r="AA3" i="5"/>
  <c r="Z6" i="1"/>
  <c r="Z13" i="1"/>
  <c r="Z20" i="1"/>
  <c r="Z27" i="1"/>
  <c r="Z34" i="1"/>
  <c r="Z4" i="1"/>
  <c r="Z7" i="1"/>
  <c r="Z14" i="1"/>
  <c r="Z21" i="1"/>
  <c r="Z28" i="1"/>
  <c r="Z35" i="1"/>
  <c r="Z9" i="1"/>
  <c r="Z16" i="1"/>
  <c r="Z23" i="1"/>
  <c r="Z30" i="1"/>
  <c r="AA5" i="1"/>
  <c r="Z22" i="1"/>
  <c r="Z31" i="1"/>
  <c r="Z29" i="1"/>
  <c r="Z8" i="1"/>
  <c r="Z15" i="1"/>
  <c r="Z36" i="1"/>
  <c r="Z25" i="1"/>
  <c r="Z11" i="1"/>
  <c r="Z24" i="1"/>
  <c r="Z10" i="1"/>
  <c r="Z18" i="1"/>
  <c r="Z26" i="1"/>
  <c r="Z17" i="1"/>
  <c r="Z19" i="1"/>
  <c r="Z32" i="1"/>
  <c r="Z12" i="1"/>
  <c r="Z33" i="1"/>
  <c r="AD4" i="11"/>
  <c r="AC3" i="11"/>
  <c r="AC3" i="6"/>
  <c r="AD4" i="6"/>
  <c r="AB3" i="4"/>
  <c r="AC4" i="4"/>
  <c r="AC4" i="5" l="1"/>
  <c r="AB3" i="5"/>
  <c r="AD4" i="4"/>
  <c r="AC3" i="4"/>
  <c r="AB3" i="8"/>
  <c r="AC4" i="8"/>
  <c r="AE4" i="6"/>
  <c r="AD3" i="6"/>
  <c r="AC4" i="14"/>
  <c r="AB3" i="14"/>
  <c r="AE4" i="11"/>
  <c r="AD3" i="11"/>
  <c r="AC4" i="9"/>
  <c r="AB3" i="9"/>
  <c r="AD4" i="7"/>
  <c r="AC3" i="7"/>
  <c r="AB5" i="1"/>
  <c r="AA4" i="1"/>
  <c r="AA3" i="3"/>
  <c r="AB4" i="3"/>
  <c r="AC5" i="1" l="1"/>
  <c r="AB11" i="1"/>
  <c r="AB18" i="1"/>
  <c r="AB25" i="1"/>
  <c r="AB32" i="1"/>
  <c r="AB12" i="1"/>
  <c r="AB19" i="1"/>
  <c r="AB26" i="1"/>
  <c r="AB33" i="1"/>
  <c r="AB4" i="1"/>
  <c r="AB7" i="1"/>
  <c r="AB14" i="1"/>
  <c r="AB21" i="1"/>
  <c r="AB28" i="1"/>
  <c r="AB35" i="1"/>
  <c r="AB6" i="1"/>
  <c r="AB16" i="1"/>
  <c r="AB27" i="1"/>
  <c r="AB10" i="1"/>
  <c r="AB23" i="1"/>
  <c r="AB8" i="1"/>
  <c r="AB34" i="1"/>
  <c r="AB13" i="1"/>
  <c r="AB17" i="1"/>
  <c r="AB22" i="1"/>
  <c r="AB24" i="1"/>
  <c r="AB29" i="1"/>
  <c r="AB15" i="1"/>
  <c r="AB9" i="1"/>
  <c r="AB20" i="1"/>
  <c r="AB31" i="1"/>
  <c r="AB30" i="1"/>
  <c r="AB36" i="1"/>
  <c r="AE3" i="11"/>
  <c r="AF4" i="11"/>
  <c r="AF3" i="11" s="1"/>
  <c r="AC3" i="9"/>
  <c r="AD4" i="9"/>
  <c r="AC4" i="3"/>
  <c r="AC3" i="3" s="1"/>
  <c r="AB3" i="3"/>
  <c r="AC3" i="14"/>
  <c r="AD4" i="14"/>
  <c r="AF4" i="6"/>
  <c r="AF3" i="6" s="1"/>
  <c r="AE3" i="6"/>
  <c r="AC3" i="8"/>
  <c r="AD4" i="8"/>
  <c r="AE4" i="4"/>
  <c r="AD3" i="4"/>
  <c r="AD3" i="7"/>
  <c r="AE4" i="7"/>
  <c r="AE3" i="7" s="1"/>
  <c r="AD4" i="5"/>
  <c r="AC3" i="5"/>
  <c r="AD3" i="14" l="1"/>
  <c r="AE4" i="14"/>
  <c r="AD3" i="9"/>
  <c r="AE4" i="9"/>
  <c r="AD3" i="5"/>
  <c r="AE4" i="5"/>
  <c r="AE3" i="5" s="1"/>
  <c r="AF4" i="4"/>
  <c r="AF3" i="4" s="1"/>
  <c r="AE3" i="4"/>
  <c r="AE4" i="8"/>
  <c r="AD3" i="8"/>
  <c r="AC6" i="1"/>
  <c r="AC13" i="1"/>
  <c r="AC20" i="1"/>
  <c r="AC27" i="1"/>
  <c r="AC34" i="1"/>
  <c r="AC10" i="1"/>
  <c r="AC17" i="1"/>
  <c r="AC24" i="1"/>
  <c r="AC31" i="1"/>
  <c r="AC4" i="1"/>
  <c r="AC7" i="1"/>
  <c r="AC14" i="1"/>
  <c r="AC21" i="1"/>
  <c r="AC28" i="1"/>
  <c r="AC9" i="1"/>
  <c r="AC26" i="1"/>
  <c r="AC36" i="1"/>
  <c r="AC18" i="1"/>
  <c r="AC16" i="1"/>
  <c r="AC33" i="1"/>
  <c r="AC35" i="1"/>
  <c r="AC12" i="1"/>
  <c r="AC29" i="1"/>
  <c r="AC25" i="1"/>
  <c r="AC23" i="1"/>
  <c r="AC19" i="1"/>
  <c r="AC15" i="1"/>
  <c r="AC30" i="1"/>
  <c r="AC11" i="1"/>
  <c r="AC8" i="1"/>
  <c r="AC32" i="1"/>
  <c r="AD5" i="1"/>
  <c r="AC22" i="1"/>
  <c r="AD9" i="1" l="1"/>
  <c r="AD16" i="1"/>
  <c r="AD23" i="1"/>
  <c r="AD30" i="1"/>
  <c r="AD10" i="1"/>
  <c r="AD17" i="1"/>
  <c r="AD24" i="1"/>
  <c r="AD31" i="1"/>
  <c r="AD12" i="1"/>
  <c r="AD19" i="1"/>
  <c r="AD26" i="1"/>
  <c r="AD33" i="1"/>
  <c r="AD4" i="1"/>
  <c r="AD7" i="1"/>
  <c r="AE5" i="1"/>
  <c r="AD11" i="1"/>
  <c r="AD20" i="1"/>
  <c r="AD22" i="1"/>
  <c r="AD18" i="1"/>
  <c r="AD27" i="1"/>
  <c r="AD29" i="1"/>
  <c r="AD25" i="1"/>
  <c r="AD8" i="1"/>
  <c r="AD32" i="1"/>
  <c r="AD34" i="1"/>
  <c r="AD14" i="1"/>
  <c r="AD6" i="1"/>
  <c r="AD13" i="1"/>
  <c r="AD21" i="1"/>
  <c r="AD28" i="1"/>
  <c r="AD35" i="1"/>
  <c r="AD15" i="1"/>
  <c r="AD36" i="1"/>
  <c r="AE3" i="8"/>
  <c r="AF4" i="8"/>
  <c r="AF3" i="8" s="1"/>
  <c r="AE3" i="9"/>
  <c r="AF4" i="9"/>
  <c r="AF3" i="9" s="1"/>
  <c r="AE3" i="14"/>
  <c r="AF4" i="14"/>
  <c r="AF3" i="14" s="1"/>
  <c r="AF5" i="1" l="1"/>
  <c r="AE11" i="1"/>
  <c r="AE18" i="1"/>
  <c r="AE25" i="1"/>
  <c r="AE32" i="1"/>
  <c r="AE8" i="1"/>
  <c r="AE15" i="1"/>
  <c r="AE22" i="1"/>
  <c r="AE29" i="1"/>
  <c r="AE36" i="1"/>
  <c r="AE12" i="1"/>
  <c r="AE19" i="1"/>
  <c r="AE26" i="1"/>
  <c r="AE33" i="1"/>
  <c r="AE13" i="1"/>
  <c r="AE28" i="1"/>
  <c r="AE20" i="1"/>
  <c r="AE14" i="1"/>
  <c r="AE31" i="1"/>
  <c r="AE35" i="1"/>
  <c r="AE10" i="1"/>
  <c r="AE27" i="1"/>
  <c r="AE21" i="1"/>
  <c r="AE4" i="1"/>
  <c r="AE17" i="1"/>
  <c r="AE34" i="1"/>
  <c r="AE9" i="1"/>
  <c r="AE6" i="1"/>
  <c r="AE16" i="1"/>
  <c r="AE24" i="1"/>
  <c r="AE30" i="1"/>
  <c r="AE7" i="1"/>
  <c r="AE23" i="1"/>
  <c r="AF4" i="1" l="1"/>
  <c r="AF7" i="1"/>
  <c r="AF14" i="1"/>
  <c r="AF21" i="1"/>
  <c r="AF28" i="1"/>
  <c r="AF35" i="1"/>
  <c r="AF8" i="1"/>
  <c r="AF15" i="1"/>
  <c r="AF22" i="1"/>
  <c r="AF29" i="1"/>
  <c r="AF36" i="1"/>
  <c r="AF10" i="1"/>
  <c r="AF17" i="1"/>
  <c r="AF24" i="1"/>
  <c r="AF31" i="1"/>
  <c r="AF30" i="1"/>
  <c r="AF6" i="1"/>
  <c r="AF16" i="1"/>
  <c r="AF12" i="1"/>
  <c r="AF23" i="1"/>
  <c r="AF20" i="1"/>
  <c r="AF9" i="1"/>
  <c r="AF25" i="1"/>
  <c r="AF34" i="1"/>
  <c r="AF11" i="1"/>
  <c r="AF27" i="1"/>
  <c r="AF33" i="1"/>
  <c r="AF13" i="1"/>
  <c r="AF32" i="1"/>
  <c r="AF26" i="1"/>
  <c r="AF18" i="1"/>
  <c r="AF19" i="1"/>
  <c r="AH13" i="1" l="1"/>
  <c r="C17" i="15" s="1"/>
  <c r="AJ13" i="1"/>
  <c r="E17" i="15" s="1"/>
  <c r="AG13" i="1"/>
  <c r="AI13" i="1"/>
  <c r="AK13" i="1"/>
  <c r="F17" i="15" s="1"/>
  <c r="AH24" i="1"/>
  <c r="AJ24" i="1"/>
  <c r="AK24" i="1"/>
  <c r="AG24" i="1"/>
  <c r="AI24" i="1"/>
  <c r="AI33" i="1"/>
  <c r="AJ33" i="1"/>
  <c r="AK33" i="1"/>
  <c r="AG33" i="1"/>
  <c r="AH33" i="1"/>
  <c r="AI11" i="1"/>
  <c r="AJ11" i="1"/>
  <c r="AK11" i="1"/>
  <c r="AH11" i="1"/>
  <c r="AG11" i="1"/>
  <c r="AG36" i="1"/>
  <c r="AH36" i="1"/>
  <c r="AI36" i="1"/>
  <c r="AK36" i="1"/>
  <c r="AJ36" i="1"/>
  <c r="AG18" i="1"/>
  <c r="AJ18" i="1"/>
  <c r="AH18" i="1"/>
  <c r="AI18" i="1"/>
  <c r="AK18" i="1"/>
  <c r="AH34" i="1"/>
  <c r="AJ34" i="1"/>
  <c r="AK34" i="1"/>
  <c r="AG34" i="1"/>
  <c r="AI34" i="1"/>
  <c r="AJ29" i="1"/>
  <c r="AH29" i="1"/>
  <c r="AK29" i="1"/>
  <c r="AI29" i="1"/>
  <c r="AG29" i="1"/>
  <c r="AG19" i="1"/>
  <c r="AH19" i="1"/>
  <c r="AJ19" i="1"/>
  <c r="AK19" i="1"/>
  <c r="AI19" i="1"/>
  <c r="AI25" i="1"/>
  <c r="AG25" i="1"/>
  <c r="AJ25" i="1"/>
  <c r="AK25" i="1"/>
  <c r="AH25" i="1"/>
  <c r="AJ22" i="1"/>
  <c r="AH22" i="1"/>
  <c r="AI22" i="1"/>
  <c r="AG22" i="1"/>
  <c r="AK22" i="1"/>
  <c r="AJ27" i="1"/>
  <c r="AI27" i="1"/>
  <c r="AH27" i="1"/>
  <c r="AK27" i="1"/>
  <c r="AG27" i="1"/>
  <c r="AG9" i="1"/>
  <c r="AJ9" i="1"/>
  <c r="E11" i="15" s="1"/>
  <c r="AH9" i="1"/>
  <c r="C11" i="15" s="1"/>
  <c r="AK9" i="1"/>
  <c r="AI9" i="1"/>
  <c r="AK15" i="1"/>
  <c r="AG15" i="1"/>
  <c r="AI15" i="1"/>
  <c r="AH15" i="1"/>
  <c r="AJ15" i="1"/>
  <c r="AJ10" i="1"/>
  <c r="E12" i="15" s="1"/>
  <c r="AI10" i="1"/>
  <c r="AH10" i="1"/>
  <c r="AG10" i="1"/>
  <c r="AK10" i="1"/>
  <c r="AG20" i="1"/>
  <c r="AJ20" i="1"/>
  <c r="AK20" i="1"/>
  <c r="AI20" i="1"/>
  <c r="AH20" i="1"/>
  <c r="AJ8" i="1"/>
  <c r="AH8" i="1"/>
  <c r="C10" i="15" s="1"/>
  <c r="AI8" i="1"/>
  <c r="AK8" i="1"/>
  <c r="AG8" i="1"/>
  <c r="AJ23" i="1"/>
  <c r="AI23" i="1"/>
  <c r="AG23" i="1"/>
  <c r="AH23" i="1"/>
  <c r="AK23" i="1"/>
  <c r="AI35" i="1"/>
  <c r="AJ35" i="1"/>
  <c r="AH35" i="1"/>
  <c r="AG35" i="1"/>
  <c r="AK35" i="1"/>
  <c r="AJ17" i="1"/>
  <c r="AK17" i="1"/>
  <c r="AI17" i="1"/>
  <c r="AG17" i="1"/>
  <c r="AH17" i="1"/>
  <c r="AK12" i="1"/>
  <c r="AJ12" i="1"/>
  <c r="E16" i="15" s="1"/>
  <c r="AI12" i="1"/>
  <c r="AH12" i="1"/>
  <c r="AG12" i="1"/>
  <c r="AJ28" i="1"/>
  <c r="AI28" i="1"/>
  <c r="AH28" i="1"/>
  <c r="AG28" i="1"/>
  <c r="AK28" i="1"/>
  <c r="AJ16" i="1"/>
  <c r="AK16" i="1"/>
  <c r="AG16" i="1"/>
  <c r="AI16" i="1"/>
  <c r="AH16" i="1"/>
  <c r="AG21" i="1"/>
  <c r="AI21" i="1"/>
  <c r="AJ21" i="1"/>
  <c r="AH21" i="1"/>
  <c r="AK21" i="1"/>
  <c r="AG6" i="1"/>
  <c r="AH6" i="1"/>
  <c r="AI6" i="1"/>
  <c r="AJ6" i="1"/>
  <c r="AK6" i="1"/>
  <c r="AK14" i="1"/>
  <c r="AI14" i="1"/>
  <c r="AH14" i="1"/>
  <c r="AG14" i="1"/>
  <c r="AJ14" i="1"/>
  <c r="AJ26" i="1"/>
  <c r="AK26" i="1"/>
  <c r="AI26" i="1"/>
  <c r="AH26" i="1"/>
  <c r="AG26" i="1"/>
  <c r="AG30" i="1"/>
  <c r="AI30" i="1"/>
  <c r="AK30" i="1"/>
  <c r="AH30" i="1"/>
  <c r="AJ30" i="1"/>
  <c r="AG7" i="1"/>
  <c r="AJ7" i="1"/>
  <c r="AK7" i="1"/>
  <c r="F9" i="15" s="1"/>
  <c r="AI7" i="1"/>
  <c r="D9" i="15" s="1"/>
  <c r="AH7" i="1"/>
  <c r="AJ32" i="1"/>
  <c r="AG32" i="1"/>
  <c r="AH32" i="1"/>
  <c r="AK32" i="1"/>
  <c r="AI32" i="1"/>
  <c r="AG31" i="1"/>
  <c r="AH31" i="1"/>
  <c r="AK31" i="1"/>
  <c r="AI31" i="1"/>
  <c r="AJ31" i="1"/>
</calcChain>
</file>

<file path=xl/sharedStrings.xml><?xml version="1.0" encoding="utf-8"?>
<sst xmlns="http://schemas.openxmlformats.org/spreadsheetml/2006/main" count="2579" uniqueCount="148">
  <si>
    <t>Year :</t>
  </si>
  <si>
    <t>Analyst Name:</t>
  </si>
  <si>
    <t>Deloitte Email ID:</t>
  </si>
  <si>
    <t>Module:</t>
  </si>
  <si>
    <t>Location:</t>
  </si>
  <si>
    <t>PTO Type:</t>
  </si>
  <si>
    <t>From Date:</t>
  </si>
  <si>
    <t>To Date:</t>
  </si>
  <si>
    <t>Reason of PTO:</t>
  </si>
  <si>
    <t>Status:</t>
  </si>
  <si>
    <t>PTO Count</t>
  </si>
  <si>
    <t>Email Status</t>
  </si>
  <si>
    <t>Approver</t>
  </si>
  <si>
    <t>Active/Inactive</t>
  </si>
  <si>
    <t>Nitish Kumar</t>
  </si>
  <si>
    <t>PTO</t>
  </si>
  <si>
    <t>Approved</t>
  </si>
  <si>
    <t>Sruthi G</t>
  </si>
  <si>
    <t>Anusree Saha</t>
  </si>
  <si>
    <t>Emergency</t>
  </si>
  <si>
    <t>Sick Leave</t>
  </si>
  <si>
    <t>Akshaya Kumar</t>
  </si>
  <si>
    <t>Rajitha D</t>
  </si>
  <si>
    <t>Half Day</t>
  </si>
  <si>
    <t>Pragati Rawat</t>
  </si>
  <si>
    <t>Ankita Roy</t>
  </si>
  <si>
    <t>Sujitha Satti</t>
  </si>
  <si>
    <t>Pavani B Raj</t>
  </si>
  <si>
    <t>Tanu Gupta</t>
  </si>
  <si>
    <t>Divya Maheshwari</t>
  </si>
  <si>
    <t>Robin babu</t>
  </si>
  <si>
    <t>Ujjwal waikar</t>
  </si>
  <si>
    <t>Parth Zalavadia</t>
  </si>
  <si>
    <t>Pavan Kumar</t>
  </si>
  <si>
    <t>Friendsis Rai</t>
  </si>
  <si>
    <t>Vaibhav Balaso Dongale</t>
  </si>
  <si>
    <t>Jagannath Belel</t>
  </si>
  <si>
    <t>Bharti Kumari</t>
  </si>
  <si>
    <t>Priyanka Pravallika, Adari</t>
  </si>
  <si>
    <t>Lavleen Kaur</t>
  </si>
  <si>
    <t>Harshit Malpani</t>
  </si>
  <si>
    <t>Balagopalan, Akhila</t>
  </si>
  <si>
    <t>Amisha Shaw</t>
  </si>
  <si>
    <t>Gollapudi, Gireesh</t>
  </si>
  <si>
    <t>Tanuja, Sunkara</t>
  </si>
  <si>
    <t>Paul Jayaraj</t>
  </si>
  <si>
    <t>Sanchi Yadav</t>
  </si>
  <si>
    <t>Rachana, Golla</t>
  </si>
  <si>
    <t xml:space="preserve">Maternity </t>
  </si>
  <si>
    <t>Maternity Leave</t>
  </si>
  <si>
    <t>Sanjay Singhal</t>
  </si>
  <si>
    <t>Vacation</t>
  </si>
  <si>
    <t>Meghana Baddam</t>
  </si>
  <si>
    <t>Abburi Durga Grishmitha</t>
  </si>
  <si>
    <t>Cousins Wedding</t>
  </si>
  <si>
    <t>Draft</t>
  </si>
  <si>
    <t>Personal reason</t>
  </si>
  <si>
    <t>Going to my Home town</t>
  </si>
  <si>
    <t>Sent</t>
  </si>
  <si>
    <t>Going home for Holi festival</t>
  </si>
  <si>
    <t>Charan S</t>
  </si>
  <si>
    <t>Sick leave</t>
  </si>
  <si>
    <t>Emergency PTO</t>
  </si>
  <si>
    <t>Marriage</t>
  </si>
  <si>
    <t xml:space="preserve">I'll be visiting my sister </t>
  </si>
  <si>
    <t xml:space="preserve"> Personal Reason</t>
  </si>
  <si>
    <t>Attendance at Deloitte University</t>
  </si>
  <si>
    <t>Travelling to hometown for family commitments</t>
  </si>
  <si>
    <t>Birthday</t>
  </si>
  <si>
    <t>Family Function</t>
  </si>
  <si>
    <t>Kiran Kumar S</t>
  </si>
  <si>
    <t>racharachana@deloitte.com</t>
  </si>
  <si>
    <t>Reporting</t>
  </si>
  <si>
    <t>MUM</t>
  </si>
  <si>
    <t/>
  </si>
  <si>
    <t>pjagdishzalavadia@deloitte.com</t>
  </si>
  <si>
    <t>Tanima Debmallik/Nitish Kumar</t>
  </si>
  <si>
    <t>MyChart</t>
  </si>
  <si>
    <t>HYD</t>
  </si>
  <si>
    <t>To attend Wedding</t>
  </si>
  <si>
    <t>Bridges</t>
  </si>
  <si>
    <t>BLR</t>
  </si>
  <si>
    <t>dwaikar@deloitte.com</t>
  </si>
  <si>
    <t>SER</t>
  </si>
  <si>
    <t>rmbabu@deloitte.com</t>
  </si>
  <si>
    <t>ECLink</t>
  </si>
  <si>
    <t>tgupta10@deloitte.com</t>
  </si>
  <si>
    <t>Automation</t>
  </si>
  <si>
    <t>pbraj@deloitte.com</t>
  </si>
  <si>
    <t>susujitha@deloitte.com</t>
  </si>
  <si>
    <t>QA</t>
  </si>
  <si>
    <t>anussaha@deloitte.com</t>
  </si>
  <si>
    <t>srug@deloitte.com</t>
  </si>
  <si>
    <t>sancyadav@deloitte.com</t>
  </si>
  <si>
    <t>gigollapudi@deloitte.com</t>
  </si>
  <si>
    <t>agrishmitha@deloitte.com</t>
  </si>
  <si>
    <t>bmeghana@deloitte.com</t>
  </si>
  <si>
    <t>hamalpani@deloitte.com</t>
  </si>
  <si>
    <t>lakaur@deloitte.com</t>
  </si>
  <si>
    <t>GUR</t>
  </si>
  <si>
    <t>ankitaroy2@deloitte.com</t>
  </si>
  <si>
    <t>EC/DC</t>
  </si>
  <si>
    <t>akshayakumar@deloitte.com</t>
  </si>
  <si>
    <t>pragrawat@deloitte.com</t>
  </si>
  <si>
    <t>stanuja@deloitte.com</t>
  </si>
  <si>
    <t>divmaheshwari@deloitte.com</t>
  </si>
  <si>
    <t>scharan1@deloitte.com</t>
  </si>
  <si>
    <t>amisshaw@deloitte.com</t>
  </si>
  <si>
    <t>bharkumari@deloitte.com</t>
  </si>
  <si>
    <t>January</t>
  </si>
  <si>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7030A0"/>
        <rFont val="Calibri"/>
        <family val="2"/>
        <scheme val="minor"/>
      </rPr>
      <t xml:space="preserve">  </t>
    </r>
    <r>
      <rPr>
        <b/>
        <sz val="22"/>
        <color rgb="FF7030A0"/>
        <rFont val="Calibri"/>
        <family val="2"/>
        <scheme val="minor"/>
      </rPr>
      <t>CHRISTUS Health Monthly Leave Calendar - 2026</t>
    </r>
  </si>
  <si>
    <t>Team Members</t>
  </si>
  <si>
    <t>Total Absence Days</t>
  </si>
  <si>
    <t>Total Vacation Leave Days</t>
  </si>
  <si>
    <t>Total Sick/Emergency Leave Days</t>
  </si>
  <si>
    <t>Maternity or Paternity</t>
  </si>
  <si>
    <t>Leave without Pay</t>
  </si>
  <si>
    <t>Absence type</t>
  </si>
  <si>
    <t>Code</t>
  </si>
  <si>
    <t>PT</t>
  </si>
  <si>
    <t>Sick leave/ Emergency leave</t>
  </si>
  <si>
    <t>S</t>
  </si>
  <si>
    <t>H1</t>
  </si>
  <si>
    <t>Maternity/Paternity</t>
  </si>
  <si>
    <t>MT</t>
  </si>
  <si>
    <t>Firm Holiday</t>
  </si>
  <si>
    <t>FH</t>
  </si>
  <si>
    <t>U</t>
  </si>
  <si>
    <t>Ujjwal Waikar</t>
  </si>
  <si>
    <t>Robin Babu</t>
  </si>
  <si>
    <t>Arittri Das</t>
  </si>
  <si>
    <t>Bhalerao, Rachana</t>
  </si>
  <si>
    <t>February</t>
  </si>
  <si>
    <t>Total Sick Leave Days</t>
  </si>
  <si>
    <t>Absence Type</t>
  </si>
  <si>
    <t>March</t>
  </si>
  <si>
    <t>Employee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</si>
  <si>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</si>
  <si>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</si>
  <si>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</si>
  <si>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</si>
  <si>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</si>
  <si>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</si>
  <si>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</si>
  <si>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</si>
  <si>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</si>
  <si>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Summary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</si>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</sst>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ddd"/>
    <numFmt numFmtId="166" formatCode="d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Helvetica"/>
    </font>
    <font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36"/>
      <color theme="9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36"/>
      <color rgb="FF7030A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385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rgb="FFE8ECF1"/>
      </patternFill>
    </fill>
    <fill>
      <patternFill patternType="solid">
        <fgColor rgb="FFF5B88F"/>
        <bgColor indexed="64"/>
      </patternFill>
    </fill>
    <fill>
      <patternFill patternType="solid">
        <fgColor rgb="FFFFE797"/>
        <bgColor indexed="64"/>
      </patternFill>
    </fill>
    <fill>
      <patternFill patternType="solid">
        <fgColor rgb="FFF4AFFF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6" borderId="0" applyNumberFormat="0" applyBorder="0" applyAlignment="0" applyProtection="0"/>
  </cellStyleXfs>
  <cellXfs count="92">
    <xf numFmtId="0" fontId="0" fillId="0" borderId="0" xfId="0"/>
    <xf numFmtId="165" fontId="1" fillId="11" borderId="11" xfId="0" applyNumberFormat="1" applyFont="1" applyFill="1" applyBorder="1" applyAlignment="1">
      <alignment horizontal="left" vertical="center" wrapText="1"/>
    </xf>
    <xf numFmtId="0" fontId="2" fillId="8" borderId="0" xfId="0" applyFont="1" applyFill="1"/>
    <xf numFmtId="0" fontId="2" fillId="0" borderId="0" xfId="0" applyFont="1"/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8" borderId="10" xfId="0" applyFont="1" applyFill="1" applyBorder="1"/>
    <xf numFmtId="0" fontId="2" fillId="0" borderId="11" xfId="1" applyFont="1" applyFill="1" applyBorder="1" applyAlignment="1">
      <alignment horizontal="center" vertical="center" wrapText="1"/>
    </xf>
    <xf numFmtId="0" fontId="15" fillId="8" borderId="11" xfId="0" applyFont="1" applyFill="1" applyBorder="1"/>
    <xf numFmtId="0" fontId="16" fillId="8" borderId="11" xfId="0" applyFont="1" applyFill="1" applyBorder="1"/>
    <xf numFmtId="0" fontId="1" fillId="0" borderId="5" xfId="2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11" xfId="0" applyFont="1" applyFill="1" applyBorder="1" applyAlignment="1">
      <alignment horizontal="center" vertical="center" wrapText="1"/>
    </xf>
    <xf numFmtId="0" fontId="16" fillId="8" borderId="14" xfId="0" applyFont="1" applyFill="1" applyBorder="1"/>
    <xf numFmtId="0" fontId="0" fillId="0" borderId="11" xfId="0" applyBorder="1"/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7" fillId="11" borderId="0" xfId="0" applyFont="1" applyFill="1"/>
    <xf numFmtId="0" fontId="7" fillId="11" borderId="5" xfId="0" applyFont="1" applyFill="1" applyBorder="1" applyAlignment="1">
      <alignment horizontal="center" vertical="center"/>
    </xf>
    <xf numFmtId="164" fontId="13" fillId="11" borderId="11" xfId="0" applyNumberFormat="1" applyFont="1" applyFill="1" applyBorder="1" applyAlignment="1">
      <alignment horizontal="center" vertical="center" wrapText="1"/>
    </xf>
    <xf numFmtId="164" fontId="3" fillId="8" borderId="0" xfId="0" applyNumberFormat="1" applyFont="1" applyFill="1" applyAlignment="1">
      <alignment horizontal="center" vertical="center" wrapText="1"/>
    </xf>
    <xf numFmtId="166" fontId="14" fillId="11" borderId="11" xfId="0" applyNumberFormat="1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0" fillId="19" borderId="5" xfId="0" applyFill="1" applyBorder="1" applyAlignment="1">
      <alignment horizontal="left" vertical="center" wrapText="1"/>
    </xf>
    <xf numFmtId="0" fontId="0" fillId="20" borderId="5" xfId="0" applyFill="1" applyBorder="1" applyAlignment="1">
      <alignment horizontal="left" vertical="center" wrapText="1"/>
    </xf>
    <xf numFmtId="0" fontId="0" fillId="21" borderId="5" xfId="0" applyFill="1" applyBorder="1" applyAlignment="1">
      <alignment horizontal="left" vertical="center" wrapText="1"/>
    </xf>
    <xf numFmtId="0" fontId="1" fillId="12" borderId="5" xfId="0" applyFont="1" applyFill="1" applyBorder="1" applyAlignment="1">
      <alignment horizontal="left" vertical="center" wrapText="1"/>
    </xf>
    <xf numFmtId="0" fontId="1" fillId="14" borderId="5" xfId="0" applyFont="1" applyFill="1" applyBorder="1" applyAlignment="1">
      <alignment horizontal="left" vertical="center" wrapText="1"/>
    </xf>
    <xf numFmtId="166" fontId="13" fillId="11" borderId="11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1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8" borderId="0" xfId="0" applyFont="1" applyFill="1" applyAlignment="1">
      <alignment horizontal="center" vertical="center" wrapText="1"/>
    </xf>
    <xf numFmtId="164" fontId="10" fillId="11" borderId="11" xfId="0" applyNumberFormat="1" applyFont="1" applyFill="1" applyBorder="1" applyAlignment="1">
      <alignment horizontal="center" vertical="center" wrapText="1"/>
    </xf>
    <xf numFmtId="166" fontId="10" fillId="11" borderId="11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4" fontId="10" fillId="11" borderId="6" xfId="0" applyNumberFormat="1" applyFont="1" applyFill="1" applyBorder="1" applyAlignment="1">
      <alignment horizontal="center" vertical="center" wrapText="1"/>
    </xf>
    <xf numFmtId="166" fontId="10" fillId="11" borderId="12" xfId="0" applyNumberFormat="1" applyFont="1" applyFill="1" applyBorder="1" applyAlignment="1">
      <alignment horizontal="center" vertical="center" wrapText="1"/>
    </xf>
    <xf numFmtId="166" fontId="10" fillId="11" borderId="13" xfId="0" applyNumberFormat="1" applyFont="1" applyFill="1" applyBorder="1" applyAlignment="1">
      <alignment horizontal="center" vertical="center" wrapText="1"/>
    </xf>
    <xf numFmtId="0" fontId="1" fillId="14" borderId="7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9" borderId="9" xfId="0" applyFont="1" applyFill="1" applyBorder="1"/>
    <xf numFmtId="14" fontId="0" fillId="0" borderId="0" xfId="0" applyNumberFormat="1"/>
    <xf numFmtId="164" fontId="5" fillId="4" borderId="7" xfId="0" applyNumberFormat="1" applyFont="1" applyFill="1" applyBorder="1" applyAlignment="1">
      <alignment horizontal="center" vertical="center" wrapText="1"/>
    </xf>
    <xf numFmtId="164" fontId="5" fillId="4" borderId="8" xfId="0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11" fillId="8" borderId="1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164" fontId="6" fillId="12" borderId="11" xfId="0" applyNumberFormat="1" applyFont="1" applyFill="1" applyBorder="1" applyAlignment="1">
      <alignment horizontal="center" vertical="center" wrapText="1"/>
    </xf>
    <xf numFmtId="164" fontId="3" fillId="7" borderId="11" xfId="0" applyNumberFormat="1" applyFont="1" applyFill="1" applyBorder="1" applyAlignment="1">
      <alignment horizontal="center" vertical="center" wrapText="1"/>
    </xf>
    <xf numFmtId="164" fontId="2" fillId="20" borderId="11" xfId="0" applyNumberFormat="1" applyFont="1" applyFill="1" applyBorder="1" applyAlignment="1">
      <alignment horizontal="center" vertical="center" wrapText="1"/>
    </xf>
    <xf numFmtId="164" fontId="2" fillId="21" borderId="11" xfId="0" applyNumberFormat="1" applyFont="1" applyFill="1" applyBorder="1" applyAlignment="1">
      <alignment horizontal="center" vertical="center" wrapText="1"/>
    </xf>
    <xf numFmtId="164" fontId="3" fillId="14" borderId="11" xfId="0" applyNumberFormat="1" applyFont="1" applyFill="1" applyBorder="1" applyAlignment="1">
      <alignment horizontal="center" vertical="center" wrapText="1"/>
    </xf>
    <xf numFmtId="164" fontId="18" fillId="16" borderId="7" xfId="0" applyNumberFormat="1" applyFont="1" applyFill="1" applyBorder="1" applyAlignment="1">
      <alignment horizontal="center" vertical="center" wrapText="1"/>
    </xf>
    <xf numFmtId="164" fontId="5" fillId="16" borderId="8" xfId="0" applyNumberFormat="1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 wrapText="1"/>
    </xf>
    <xf numFmtId="164" fontId="3" fillId="15" borderId="11" xfId="0" applyNumberFormat="1" applyFont="1" applyFill="1" applyBorder="1" applyAlignment="1">
      <alignment horizontal="center" vertical="center" wrapText="1"/>
    </xf>
    <xf numFmtId="164" fontId="3" fillId="17" borderId="11" xfId="0" applyNumberFormat="1" applyFont="1" applyFill="1" applyBorder="1" applyAlignment="1">
      <alignment horizontal="center" vertical="center" wrapText="1"/>
    </xf>
    <xf numFmtId="165" fontId="1" fillId="11" borderId="11" xfId="0" applyNumberFormat="1" applyFont="1" applyFill="1" applyBorder="1" applyAlignment="1">
      <alignment horizontal="left" vertical="center" wrapText="1"/>
    </xf>
    <xf numFmtId="164" fontId="6" fillId="16" borderId="11" xfId="0" applyNumberFormat="1" applyFont="1" applyFill="1" applyBorder="1" applyAlignment="1">
      <alignment horizontal="center" vertical="center" wrapText="1"/>
    </xf>
    <xf numFmtId="164" fontId="3" fillId="6" borderId="11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164" fontId="6" fillId="10" borderId="11" xfId="0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164" fontId="6" fillId="16" borderId="0" xfId="0" applyNumberFormat="1" applyFont="1" applyFill="1" applyAlignment="1">
      <alignment horizontal="center" vertical="center" wrapText="1"/>
    </xf>
    <xf numFmtId="164" fontId="3" fillId="7" borderId="0" xfId="0" applyNumberFormat="1" applyFont="1" applyFill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13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 wrapText="1"/>
    </xf>
  </cellXfs>
  <cellStyles count="3">
    <cellStyle name="Accent1" xfId="1" builtinId="29"/>
    <cellStyle name="Accent5" xfId="2" builtinId="45"/>
    <cellStyle name="Normal" xfId="0" builtinId="0"/>
  </cellStyles>
  <dxfs count="64">
    <dxf>
      <font>
        <color theme="0"/>
      </font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 patternType="solid">
          <fgColor auto="1"/>
          <bgColor theme="4"/>
        </patternFill>
      </fill>
    </dxf>
    <dxf>
      <font>
        <color theme="0"/>
      </font>
      <fill>
        <patternFill patternType="solid">
          <fgColor auto="1"/>
          <bgColor rgb="FFFFC000"/>
        </patternFill>
      </fill>
    </dxf>
    <dxf>
      <font>
        <color theme="0"/>
      </font>
      <fill>
        <patternFill patternType="solid">
          <fgColor auto="1"/>
          <bgColor theme="5"/>
        </patternFill>
      </fill>
    </dxf>
    <dxf>
      <font>
        <color theme="1"/>
      </font>
      <fill>
        <patternFill patternType="solid">
          <fgColor auto="1"/>
          <bgColor theme="9"/>
        </patternFill>
      </fill>
    </dxf>
    <dxf>
      <font>
        <color theme="1"/>
      </font>
      <fill>
        <patternFill patternType="solid">
          <fgColor auto="1"/>
          <bgColor theme="5"/>
        </patternFill>
      </fill>
    </dxf>
    <dxf>
      <font>
        <color theme="1"/>
      </font>
      <fill>
        <patternFill patternType="solid">
          <fgColor auto="1"/>
          <bgColor theme="7"/>
        </patternFill>
      </fill>
    </dxf>
    <dxf>
      <font>
        <color theme="1"/>
      </font>
      <fill>
        <patternFill patternType="solid">
          <fgColor auto="1"/>
          <bgColor rgb="FFFF99FF"/>
        </patternFill>
      </fill>
    </dxf>
    <dxf>
      <fill>
        <patternFill patternType="solid">
          <fgColor auto="1"/>
          <bgColor theme="1" tint="0.499984740745262"/>
        </patternFill>
      </fill>
    </dxf>
    <dxf>
      <font>
        <color theme="0"/>
      </font>
      <fill>
        <patternFill patternType="solid">
          <fgColor auto="1"/>
          <bgColor theme="4" tint="-0.24994659260841701"/>
        </patternFill>
      </fill>
    </dxf>
    <dxf>
      <font>
        <color theme="1"/>
      </font>
      <fill>
        <patternFill patternType="solid">
          <fgColor auto="1"/>
          <bgColor rgb="FFFF99FF"/>
        </patternFill>
      </fill>
    </dxf>
    <dxf>
      <font>
        <color theme="1"/>
      </font>
      <fill>
        <patternFill patternType="solid">
          <fgColor auto="1"/>
          <bgColor theme="1" tint="0.499984740745262"/>
        </patternFill>
      </fill>
    </dxf>
    <dxf>
      <font>
        <color theme="0"/>
      </font>
      <fill>
        <patternFill patternType="solid">
          <fgColor auto="1"/>
          <bgColor theme="4" tint="-0.499984740745262"/>
        </patternFill>
      </fill>
    </dxf>
    <dxf>
      <font>
        <color theme="1"/>
      </font>
      <fill>
        <patternFill patternType="solid">
          <fgColor auto="1"/>
          <bgColor theme="9"/>
        </patternFill>
      </fill>
    </dxf>
    <dxf>
      <font>
        <color theme="1"/>
      </font>
      <fill>
        <patternFill patternType="solid">
          <fgColor auto="1"/>
          <bgColor theme="5"/>
        </patternFill>
      </fill>
    </dxf>
    <dxf>
      <font>
        <color theme="1"/>
      </font>
      <fill>
        <patternFill patternType="solid">
          <fgColor auto="1"/>
          <bgColor theme="7"/>
        </patternFill>
      </fill>
    </dxf>
    <dxf>
      <font>
        <color theme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E797"/>
      <color rgb="FFF4AFFF"/>
      <color rgb="FFEDE797"/>
      <color rgb="FFF5B88F"/>
      <color rgb="FFF395E6"/>
      <color rgb="FFFAD2F4"/>
      <color rgb="FFFF99FF"/>
      <color rgb="FFF38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deloitte.sharepoint.com/sites/CHRISTUSHealthPodEngagement/Shared%20Documents/General/PTO%20Tracker%20(under%20development)/Christus_PTO_Tracker_Dev_Inprogress_VBA.xlsm" TargetMode="External"/><Relationship Id="rId1" Type="http://schemas.openxmlformats.org/officeDocument/2006/relationships/externalLinkPath" Target="https://amedeloitte.sharepoint.com/sites/CHRISTUSHealthPodEngagement/Shared%20Documents/General/PTO%20Tracker%20(under%20development)/Christus_PTO_Tracker_Dev_Inprogress_VB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TO_Entry_Form"/>
      <sheetName val="Analyst_Details"/>
      <sheetName val="Christus_Emp_Data"/>
      <sheetName val="Firm_Holiday's"/>
      <sheetName val="Holidays_2026"/>
      <sheetName val="Christus_PTO_Tracker_Dev_Inprog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ristus_Emp_Table" displayName="Christus_Emp_Table" ref="A1:M400" totalsRowShown="0">
  <autoFilter ref="A1:M400" xr:uid="{00000000-0009-0000-0100-000001000000}"/>
  <tableColumns count="13">
    <tableColumn id="1" xr3:uid="{00000000-0010-0000-0000-000001000000}" name="Analyst Name:"/>
    <tableColumn id="2" xr3:uid="{00000000-0010-0000-0000-000002000000}" name="Deloitte Email ID:">
      <calculatedColumnFormula>_xlfn.XLOOKUP(Christus_Emp_Table[[#This Row],[Analyst Name:]],[1]!Table1[Analyst Name],[1]!Table1[Deloitte Email ID])</calculatedColumnFormula>
    </tableColumn>
    <tableColumn id="3" xr3:uid="{00000000-0010-0000-0000-000003000000}" name="Module:">
      <calculatedColumnFormula>_xlfn.XLOOKUP(Christus_Emp_Table[[#This Row],[Analyst Name:]],[1]!Table1[Analyst Name],[1]!Table1[Module])</calculatedColumnFormula>
    </tableColumn>
    <tableColumn id="4" xr3:uid="{00000000-0010-0000-0000-000004000000}" name="Location:">
      <calculatedColumnFormula>_xlfn.XLOOKUP(Christus_Emp_Table[[#This Row],[Analyst Name:]],[1]!Table1[Analyst Name],[1]!Table1[Location])</calculatedColumnFormula>
    </tableColumn>
    <tableColumn id="5" xr3:uid="{00000000-0010-0000-0000-000005000000}" name="PTO Type:"/>
    <tableColumn id="6" xr3:uid="{00000000-0010-0000-0000-000006000000}" name="From Date:"/>
    <tableColumn id="7" xr3:uid="{00000000-0010-0000-0000-000007000000}" name="To Date:"/>
    <tableColumn id="8" xr3:uid="{00000000-0010-0000-0000-000008000000}" name="Reason of PTO:"/>
    <tableColumn id="9" xr3:uid="{00000000-0010-0000-0000-000009000000}" name="Status:"/>
    <tableColumn id="10" xr3:uid="{00000000-0010-0000-0000-00000A000000}" name="PTO Count"/>
    <tableColumn id="11" xr3:uid="{00000000-0010-0000-0000-00000B000000}" name="Email Status"/>
    <tableColumn id="12" xr3:uid="{00000000-0010-0000-0000-00000C000000}" name="Approver">
      <calculatedColumnFormula>_xlfn.XLOOKUP(Christus_Emp_Table[[#This Row],[Analyst Name:]],[1]!Table1[Analyst Name],[1]!Table1[Lead])</calculatedColumnFormula>
    </tableColumn>
    <tableColumn id="13" xr3:uid="{00000000-0010-0000-0000-00000D000000}" name="Active/Inactive" dataDxfId="63">
      <calculatedColumnFormula>_xlfn.XLOOKUP(Christus_Emp_Table[[#This Row],[Analyst Name:]],[1]!Table1[Analyst Name],[1]!Table1[Active/Inactive])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9D60-C2D6-4C1D-AC80-F678368421CD}">
  <sheetPr codeName="Sheet1"/>
  <dimension ref="A2:B2"/>
  <sheetViews>
    <sheetView workbookViewId="0">
      <selection activeCell="K20" sqref="K20"/>
    </sheetView>
  </sheetViews>
  <sheetFormatPr defaultRowHeight="14.5" x14ac:dyDescent="0.35"/>
  <cols>
    <col min="1" max="1" width="18.26953125" bestFit="1" customWidth="1"/>
    <col min="2" max="2" width="26.26953125" customWidth="1"/>
    <col min="3" max="4" width="9.1796875" customWidth="1"/>
    <col min="5" max="5" width="12.26953125" bestFit="1" customWidth="1"/>
  </cols>
  <sheetData>
    <row r="2" spans="1:2" ht="46" customHeight="1" x14ac:dyDescent="1">
      <c r="A2" s="25" t="s">
        <v>0</v>
      </c>
      <c r="B2" s="26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03C2-3755-49FC-B9F1-C4B3E990AC47}">
  <sheetPr codeName="Sheet2"/>
  <dimension ref="A1:M400"/>
  <sheetViews>
    <sheetView workbookViewId="0">
      <selection activeCell="C2" sqref="C2"/>
    </sheetView>
  </sheetViews>
  <sheetFormatPr defaultRowHeight="14.5" x14ac:dyDescent="0.35"/>
  <cols>
    <col min="1" max="1" width="21.54296875" bestFit="1" customWidth="1"/>
    <col min="2" max="2" width="27.7265625" bestFit="1" customWidth="1"/>
    <col min="3" max="3" width="12.54296875" bestFit="1" customWidth="1"/>
    <col min="4" max="5" width="9.1796875" customWidth="1"/>
    <col min="6" max="6" width="14.7265625" bestFit="1" customWidth="1"/>
    <col min="7" max="7" width="12.453125" bestFit="1" customWidth="1"/>
    <col min="8" max="8" width="41.1796875" bestFit="1" customWidth="1"/>
    <col min="9" max="11" width="9.1796875" customWidth="1"/>
    <col min="12" max="12" width="27" bestFit="1" customWidth="1"/>
  </cols>
  <sheetData>
    <row r="1" spans="1:13" x14ac:dyDescent="0.35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8" t="s">
        <v>10</v>
      </c>
      <c r="K1" s="18" t="s">
        <v>11</v>
      </c>
      <c r="L1" s="18" t="s">
        <v>12</v>
      </c>
      <c r="M1" s="18" t="s">
        <v>13</v>
      </c>
    </row>
    <row r="2" spans="1:13" x14ac:dyDescent="0.35">
      <c r="A2" s="19" t="s">
        <v>14</v>
      </c>
      <c r="B2" s="20" t="e">
        <f>_xlfn.XLOOKUP(Christus_Emp_Table[[#This Row],[Analyst Name:]],[1]!Table1[Analyst Name],[1]!Table1[Deloitte Email ID])</f>
        <v>#REF!</v>
      </c>
      <c r="C2" s="20" t="e">
        <f>_xlfn.XLOOKUP(Christus_Emp_Table[[#This Row],[Analyst Name:]],[1]!Table1[Analyst Name],[1]!Table1[Module])</f>
        <v>#REF!</v>
      </c>
      <c r="D2" s="20" t="e">
        <f>_xlfn.XLOOKUP(Christus_Emp_Table[[#This Row],[Analyst Name:]],[1]!Table1[Analyst Name],[1]!Table1[Location])</f>
        <v>#REF!</v>
      </c>
      <c r="E2" s="20" t="s">
        <v>15</v>
      </c>
      <c r="F2" s="21">
        <v>45663</v>
      </c>
      <c r="G2" s="21">
        <v>45663</v>
      </c>
      <c r="H2" s="20" t="s">
        <v>15</v>
      </c>
      <c r="I2" s="20" t="s">
        <v>16</v>
      </c>
      <c r="J2" s="20">
        <f>NETWORKDAYS(Christus_Emp_Table[[#This Row],[From Date:]],Christus_Emp_Table[[#This Row],[To Date:]])</f>
        <v>1</v>
      </c>
      <c r="K2" s="20"/>
      <c r="L2" s="20" t="e">
        <f>_xlfn.XLOOKUP(Christus_Emp_Table[[#This Row],[Analyst Name:]],[1]!Table1[Analyst Name],[1]!Table1[Lead])</f>
        <v>#REF!</v>
      </c>
      <c r="M2" s="20" t="e">
        <f>_xlfn.XLOOKUP(Christus_Emp_Table[[#This Row],[Analyst Name:]],[1]!Table1[Analyst Name],[1]!Table1[Active/Inactive])</f>
        <v>#REF!</v>
      </c>
    </row>
    <row r="3" spans="1:13" x14ac:dyDescent="0.35">
      <c r="A3" s="19" t="s">
        <v>17</v>
      </c>
      <c r="B3" s="20" t="e">
        <f>_xlfn.XLOOKUP(Christus_Emp_Table[[#This Row],[Analyst Name:]],[1]!Table1[Analyst Name],[1]!Table1[Deloitte Email ID])</f>
        <v>#REF!</v>
      </c>
      <c r="C3" s="20" t="e">
        <f>_xlfn.XLOOKUP(Christus_Emp_Table[[#This Row],[Analyst Name:]],[1]!Table1[Analyst Name],[1]!Table1[Module])</f>
        <v>#REF!</v>
      </c>
      <c r="D3" s="20" t="e">
        <f>_xlfn.XLOOKUP(Christus_Emp_Table[[#This Row],[Analyst Name:]],[1]!Table1[Analyst Name],[1]!Table1[Location])</f>
        <v>#REF!</v>
      </c>
      <c r="E3" s="20" t="s">
        <v>15</v>
      </c>
      <c r="F3" s="21">
        <v>45670</v>
      </c>
      <c r="G3" s="21">
        <v>45673</v>
      </c>
      <c r="H3" s="20" t="s">
        <v>15</v>
      </c>
      <c r="I3" s="20" t="s">
        <v>16</v>
      </c>
      <c r="J3" s="20">
        <f>NETWORKDAYS(Christus_Emp_Table[[#This Row],[From Date:]],Christus_Emp_Table[[#This Row],[To Date:]])</f>
        <v>4</v>
      </c>
      <c r="K3" s="20"/>
      <c r="L3" s="20" t="e">
        <f>_xlfn.XLOOKUP(Christus_Emp_Table[[#This Row],[Analyst Name:]],[1]!Table1[Analyst Name],[1]!Table1[Lead])</f>
        <v>#REF!</v>
      </c>
      <c r="M3" s="20" t="e">
        <f>_xlfn.XLOOKUP(Christus_Emp_Table[[#This Row],[Analyst Name:]],[1]!Table1[Analyst Name],[1]!Table1[Active/Inactive])</f>
        <v>#REF!</v>
      </c>
    </row>
    <row r="4" spans="1:13" x14ac:dyDescent="0.35">
      <c r="A4" s="19" t="s">
        <v>17</v>
      </c>
      <c r="B4" s="20" t="e">
        <f>_xlfn.XLOOKUP(Christus_Emp_Table[[#This Row],[Analyst Name:]],[1]!Table1[Analyst Name],[1]!Table1[Deloitte Email ID])</f>
        <v>#REF!</v>
      </c>
      <c r="C4" s="20" t="e">
        <f>_xlfn.XLOOKUP(Christus_Emp_Table[[#This Row],[Analyst Name:]],[1]!Table1[Analyst Name],[1]!Table1[Module])</f>
        <v>#REF!</v>
      </c>
      <c r="D4" s="20" t="e">
        <f>_xlfn.XLOOKUP(Christus_Emp_Table[[#This Row],[Analyst Name:]],[1]!Table1[Analyst Name],[1]!Table1[Location])</f>
        <v>#REF!</v>
      </c>
      <c r="E4" s="20" t="s">
        <v>15</v>
      </c>
      <c r="F4" s="21">
        <v>45677</v>
      </c>
      <c r="G4" s="21">
        <v>45677</v>
      </c>
      <c r="H4" s="20" t="s">
        <v>15</v>
      </c>
      <c r="I4" s="20" t="s">
        <v>16</v>
      </c>
      <c r="J4" s="20">
        <f>NETWORKDAYS(Christus_Emp_Table[[#This Row],[From Date:]],Christus_Emp_Table[[#This Row],[To Date:]])</f>
        <v>1</v>
      </c>
      <c r="K4" s="20"/>
      <c r="L4" s="20" t="e">
        <f>_xlfn.XLOOKUP(Christus_Emp_Table[[#This Row],[Analyst Name:]],[1]!Table1[Analyst Name],[1]!Table1[Lead])</f>
        <v>#REF!</v>
      </c>
      <c r="M4" s="20" t="e">
        <f>_xlfn.XLOOKUP(Christus_Emp_Table[[#This Row],[Analyst Name:]],[1]!Table1[Analyst Name],[1]!Table1[Active/Inactive])</f>
        <v>#REF!</v>
      </c>
    </row>
    <row r="5" spans="1:13" x14ac:dyDescent="0.35">
      <c r="A5" s="19" t="s">
        <v>18</v>
      </c>
      <c r="B5" s="20" t="e">
        <f>_xlfn.XLOOKUP(Christus_Emp_Table[[#This Row],[Analyst Name:]],[1]!Table1[Analyst Name],[1]!Table1[Deloitte Email ID])</f>
        <v>#REF!</v>
      </c>
      <c r="C5" s="20" t="e">
        <f>_xlfn.XLOOKUP(Christus_Emp_Table[[#This Row],[Analyst Name:]],[1]!Table1[Analyst Name],[1]!Table1[Module])</f>
        <v>#REF!</v>
      </c>
      <c r="D5" s="20" t="e">
        <f>_xlfn.XLOOKUP(Christus_Emp_Table[[#This Row],[Analyst Name:]],[1]!Table1[Analyst Name],[1]!Table1[Location])</f>
        <v>#REF!</v>
      </c>
      <c r="E5" s="20" t="s">
        <v>15</v>
      </c>
      <c r="F5" s="21">
        <v>45670</v>
      </c>
      <c r="G5" s="21">
        <v>45670</v>
      </c>
      <c r="H5" s="20" t="s">
        <v>15</v>
      </c>
      <c r="I5" s="20" t="s">
        <v>16</v>
      </c>
      <c r="J5" s="20">
        <f>NETWORKDAYS(Christus_Emp_Table[[#This Row],[From Date:]],Christus_Emp_Table[[#This Row],[To Date:]])</f>
        <v>1</v>
      </c>
      <c r="K5" s="20"/>
      <c r="L5" s="20" t="e">
        <f>_xlfn.XLOOKUP(Christus_Emp_Table[[#This Row],[Analyst Name:]],[1]!Table1[Analyst Name],[1]!Table1[Lead])</f>
        <v>#REF!</v>
      </c>
      <c r="M5" s="20" t="e">
        <f>_xlfn.XLOOKUP(Christus_Emp_Table[[#This Row],[Analyst Name:]],[1]!Table1[Analyst Name],[1]!Table1[Active/Inactive])</f>
        <v>#REF!</v>
      </c>
    </row>
    <row r="6" spans="1:13" x14ac:dyDescent="0.35">
      <c r="A6" s="19" t="s">
        <v>18</v>
      </c>
      <c r="B6" s="20" t="e">
        <f>_xlfn.XLOOKUP(Christus_Emp_Table[[#This Row],[Analyst Name:]],[1]!Table1[Analyst Name],[1]!Table1[Deloitte Email ID])</f>
        <v>#REF!</v>
      </c>
      <c r="C6" s="20" t="e">
        <f>_xlfn.XLOOKUP(Christus_Emp_Table[[#This Row],[Analyst Name:]],[1]!Table1[Analyst Name],[1]!Table1[Module])</f>
        <v>#REF!</v>
      </c>
      <c r="D6" s="20" t="e">
        <f>_xlfn.XLOOKUP(Christus_Emp_Table[[#This Row],[Analyst Name:]],[1]!Table1[Analyst Name],[1]!Table1[Location])</f>
        <v>#REF!</v>
      </c>
      <c r="E6" s="22" t="s">
        <v>19</v>
      </c>
      <c r="F6" s="21">
        <v>45688</v>
      </c>
      <c r="G6" s="21">
        <v>45688</v>
      </c>
      <c r="H6" s="20" t="s">
        <v>20</v>
      </c>
      <c r="I6" s="20" t="s">
        <v>16</v>
      </c>
      <c r="J6" s="20">
        <f>NETWORKDAYS(Christus_Emp_Table[[#This Row],[From Date:]],Christus_Emp_Table[[#This Row],[To Date:]])</f>
        <v>1</v>
      </c>
      <c r="K6" s="20"/>
      <c r="L6" s="20" t="e">
        <f>_xlfn.XLOOKUP(Christus_Emp_Table[[#This Row],[Analyst Name:]],[1]!Table1[Analyst Name],[1]!Table1[Lead])</f>
        <v>#REF!</v>
      </c>
      <c r="M6" s="20" t="e">
        <f>_xlfn.XLOOKUP(Christus_Emp_Table[[#This Row],[Analyst Name:]],[1]!Table1[Analyst Name],[1]!Table1[Active/Inactive])</f>
        <v>#REF!</v>
      </c>
    </row>
    <row r="7" spans="1:13" x14ac:dyDescent="0.35">
      <c r="A7" s="19" t="s">
        <v>21</v>
      </c>
      <c r="B7" s="20" t="e">
        <f>_xlfn.XLOOKUP(Christus_Emp_Table[[#This Row],[Analyst Name:]],[1]!Table1[Analyst Name],[1]!Table1[Deloitte Email ID])</f>
        <v>#REF!</v>
      </c>
      <c r="C7" s="20" t="e">
        <f>_xlfn.XLOOKUP(Christus_Emp_Table[[#This Row],[Analyst Name:]],[1]!Table1[Analyst Name],[1]!Table1[Module])</f>
        <v>#REF!</v>
      </c>
      <c r="D7" s="20" t="e">
        <f>_xlfn.XLOOKUP(Christus_Emp_Table[[#This Row],[Analyst Name:]],[1]!Table1[Analyst Name],[1]!Table1[Location])</f>
        <v>#REF!</v>
      </c>
      <c r="E7" s="22" t="s">
        <v>19</v>
      </c>
      <c r="F7" s="21">
        <v>45688</v>
      </c>
      <c r="G7" s="21">
        <v>45688</v>
      </c>
      <c r="H7" s="20" t="s">
        <v>20</v>
      </c>
      <c r="I7" s="20" t="s">
        <v>16</v>
      </c>
      <c r="J7" s="20">
        <f>NETWORKDAYS(Christus_Emp_Table[[#This Row],[From Date:]],Christus_Emp_Table[[#This Row],[To Date:]])</f>
        <v>1</v>
      </c>
      <c r="K7" s="20"/>
      <c r="L7" s="20" t="e">
        <f>_xlfn.XLOOKUP(Christus_Emp_Table[[#This Row],[Analyst Name:]],[1]!Table1[Analyst Name],[1]!Table1[Lead])</f>
        <v>#REF!</v>
      </c>
      <c r="M7" s="20" t="e">
        <f>_xlfn.XLOOKUP(Christus_Emp_Table[[#This Row],[Analyst Name:]],[1]!Table1[Analyst Name],[1]!Table1[Active/Inactive])</f>
        <v>#REF!</v>
      </c>
    </row>
    <row r="8" spans="1:13" x14ac:dyDescent="0.35">
      <c r="A8" s="19" t="s">
        <v>22</v>
      </c>
      <c r="B8" s="20" t="e">
        <f>_xlfn.XLOOKUP(Christus_Emp_Table[[#This Row],[Analyst Name:]],[1]!Table1[Analyst Name],[1]!Table1[Deloitte Email ID])</f>
        <v>#REF!</v>
      </c>
      <c r="C8" s="20" t="e">
        <f>_xlfn.XLOOKUP(Christus_Emp_Table[[#This Row],[Analyst Name:]],[1]!Table1[Analyst Name],[1]!Table1[Module])</f>
        <v>#REF!</v>
      </c>
      <c r="D8" s="20" t="e">
        <f>_xlfn.XLOOKUP(Christus_Emp_Table[[#This Row],[Analyst Name:]],[1]!Table1[Analyst Name],[1]!Table1[Location])</f>
        <v>#REF!</v>
      </c>
      <c r="E8" s="20" t="s">
        <v>15</v>
      </c>
      <c r="F8" s="21">
        <v>45663</v>
      </c>
      <c r="G8" s="21">
        <v>45663</v>
      </c>
      <c r="H8" s="20" t="s">
        <v>15</v>
      </c>
      <c r="I8" s="20" t="s">
        <v>16</v>
      </c>
      <c r="J8" s="20">
        <f>NETWORKDAYS(Christus_Emp_Table[[#This Row],[From Date:]],Christus_Emp_Table[[#This Row],[To Date:]])</f>
        <v>1</v>
      </c>
      <c r="K8" s="20"/>
      <c r="L8" s="20" t="e">
        <f>_xlfn.XLOOKUP(Christus_Emp_Table[[#This Row],[Analyst Name:]],[1]!Table1[Analyst Name],[1]!Table1[Lead])</f>
        <v>#REF!</v>
      </c>
      <c r="M8" s="20" t="e">
        <f>_xlfn.XLOOKUP(Christus_Emp_Table[[#This Row],[Analyst Name:]],[1]!Table1[Analyst Name],[1]!Table1[Active/Inactive])</f>
        <v>#REF!</v>
      </c>
    </row>
    <row r="9" spans="1:13" x14ac:dyDescent="0.35">
      <c r="A9" s="19" t="s">
        <v>22</v>
      </c>
      <c r="B9" s="20" t="e">
        <f>_xlfn.XLOOKUP(Christus_Emp_Table[[#This Row],[Analyst Name:]],[1]!Table1[Analyst Name],[1]!Table1[Deloitte Email ID])</f>
        <v>#REF!</v>
      </c>
      <c r="C9" s="20" t="e">
        <f>_xlfn.XLOOKUP(Christus_Emp_Table[[#This Row],[Analyst Name:]],[1]!Table1[Analyst Name],[1]!Table1[Module])</f>
        <v>#REF!</v>
      </c>
      <c r="D9" s="20" t="e">
        <f>_xlfn.XLOOKUP(Christus_Emp_Table[[#This Row],[Analyst Name:]],[1]!Table1[Analyst Name],[1]!Table1[Location])</f>
        <v>#REF!</v>
      </c>
      <c r="E9" s="20" t="s">
        <v>23</v>
      </c>
      <c r="F9" s="21">
        <v>45665</v>
      </c>
      <c r="G9" s="21">
        <v>45665</v>
      </c>
      <c r="H9" s="20" t="s">
        <v>15</v>
      </c>
      <c r="I9" s="20" t="s">
        <v>16</v>
      </c>
      <c r="J9" s="20">
        <f>NETWORKDAYS(Christus_Emp_Table[[#This Row],[From Date:]],Christus_Emp_Table[[#This Row],[To Date:]])</f>
        <v>1</v>
      </c>
      <c r="K9" s="20"/>
      <c r="L9" s="20" t="e">
        <f>_xlfn.XLOOKUP(Christus_Emp_Table[[#This Row],[Analyst Name:]],[1]!Table1[Analyst Name],[1]!Table1[Lead])</f>
        <v>#REF!</v>
      </c>
      <c r="M9" s="20" t="e">
        <f>_xlfn.XLOOKUP(Christus_Emp_Table[[#This Row],[Analyst Name:]],[1]!Table1[Analyst Name],[1]!Table1[Active/Inactive])</f>
        <v>#REF!</v>
      </c>
    </row>
    <row r="10" spans="1:13" x14ac:dyDescent="0.35">
      <c r="A10" s="19" t="s">
        <v>22</v>
      </c>
      <c r="B10" s="20" t="e">
        <f>_xlfn.XLOOKUP(Christus_Emp_Table[[#This Row],[Analyst Name:]],[1]!Table1[Analyst Name],[1]!Table1[Deloitte Email ID])</f>
        <v>#REF!</v>
      </c>
      <c r="C10" s="20" t="e">
        <f>_xlfn.XLOOKUP(Christus_Emp_Table[[#This Row],[Analyst Name:]],[1]!Table1[Analyst Name],[1]!Table1[Module])</f>
        <v>#REF!</v>
      </c>
      <c r="D10" s="20" t="e">
        <f>_xlfn.XLOOKUP(Christus_Emp_Table[[#This Row],[Analyst Name:]],[1]!Table1[Analyst Name],[1]!Table1[Location])</f>
        <v>#REF!</v>
      </c>
      <c r="E10" s="22" t="s">
        <v>19</v>
      </c>
      <c r="F10" s="21">
        <v>45685</v>
      </c>
      <c r="G10" s="21">
        <v>45685</v>
      </c>
      <c r="H10" s="20" t="s">
        <v>20</v>
      </c>
      <c r="I10" s="20" t="s">
        <v>16</v>
      </c>
      <c r="J10" s="20">
        <f>NETWORKDAYS(Christus_Emp_Table[[#This Row],[From Date:]],Christus_Emp_Table[[#This Row],[To Date:]])</f>
        <v>1</v>
      </c>
      <c r="K10" s="20"/>
      <c r="L10" s="20" t="e">
        <f>_xlfn.XLOOKUP(Christus_Emp_Table[[#This Row],[Analyst Name:]],[1]!Table1[Analyst Name],[1]!Table1[Lead])</f>
        <v>#REF!</v>
      </c>
      <c r="M10" s="20" t="e">
        <f>_xlfn.XLOOKUP(Christus_Emp_Table[[#This Row],[Analyst Name:]],[1]!Table1[Analyst Name],[1]!Table1[Active/Inactive])</f>
        <v>#REF!</v>
      </c>
    </row>
    <row r="11" spans="1:13" x14ac:dyDescent="0.35">
      <c r="A11" s="19" t="s">
        <v>24</v>
      </c>
      <c r="B11" s="20" t="e">
        <f>_xlfn.XLOOKUP(Christus_Emp_Table[[#This Row],[Analyst Name:]],[1]!Table1[Analyst Name],[1]!Table1[Deloitte Email ID])</f>
        <v>#REF!</v>
      </c>
      <c r="C11" s="20" t="e">
        <f>_xlfn.XLOOKUP(Christus_Emp_Table[[#This Row],[Analyst Name:]],[1]!Table1[Analyst Name],[1]!Table1[Module])</f>
        <v>#REF!</v>
      </c>
      <c r="D11" s="20" t="e">
        <f>_xlfn.XLOOKUP(Christus_Emp_Table[[#This Row],[Analyst Name:]],[1]!Table1[Analyst Name],[1]!Table1[Location])</f>
        <v>#REF!</v>
      </c>
      <c r="E11" s="20" t="s">
        <v>15</v>
      </c>
      <c r="F11" s="21">
        <v>45659</v>
      </c>
      <c r="G11" s="21">
        <v>45660</v>
      </c>
      <c r="H11" s="20" t="s">
        <v>15</v>
      </c>
      <c r="I11" s="20" t="s">
        <v>16</v>
      </c>
      <c r="J11" s="20">
        <f>NETWORKDAYS(Christus_Emp_Table[[#This Row],[From Date:]],Christus_Emp_Table[[#This Row],[To Date:]])</f>
        <v>2</v>
      </c>
      <c r="K11" s="20"/>
      <c r="L11" s="20" t="e">
        <f>_xlfn.XLOOKUP(Christus_Emp_Table[[#This Row],[Analyst Name:]],[1]!Table1[Analyst Name],[1]!Table1[Lead])</f>
        <v>#REF!</v>
      </c>
      <c r="M11" s="20" t="e">
        <f>_xlfn.XLOOKUP(Christus_Emp_Table[[#This Row],[Analyst Name:]],[1]!Table1[Analyst Name],[1]!Table1[Active/Inactive])</f>
        <v>#REF!</v>
      </c>
    </row>
    <row r="12" spans="1:13" x14ac:dyDescent="0.35">
      <c r="A12" s="19" t="s">
        <v>24</v>
      </c>
      <c r="B12" s="20" t="e">
        <f>_xlfn.XLOOKUP(Christus_Emp_Table[[#This Row],[Analyst Name:]],[1]!Table1[Analyst Name],[1]!Table1[Deloitte Email ID])</f>
        <v>#REF!</v>
      </c>
      <c r="C12" s="20" t="e">
        <f>_xlfn.XLOOKUP(Christus_Emp_Table[[#This Row],[Analyst Name:]],[1]!Table1[Analyst Name],[1]!Table1[Module])</f>
        <v>#REF!</v>
      </c>
      <c r="D12" s="20" t="e">
        <f>_xlfn.XLOOKUP(Christus_Emp_Table[[#This Row],[Analyst Name:]],[1]!Table1[Analyst Name],[1]!Table1[Location])</f>
        <v>#REF!</v>
      </c>
      <c r="E12" s="22" t="s">
        <v>19</v>
      </c>
      <c r="F12" s="21">
        <v>45666</v>
      </c>
      <c r="G12" s="21">
        <v>45666</v>
      </c>
      <c r="H12" s="20" t="s">
        <v>20</v>
      </c>
      <c r="I12" s="20" t="s">
        <v>16</v>
      </c>
      <c r="J12" s="20">
        <f>NETWORKDAYS(Christus_Emp_Table[[#This Row],[From Date:]],Christus_Emp_Table[[#This Row],[To Date:]])</f>
        <v>1</v>
      </c>
      <c r="K12" s="20"/>
      <c r="L12" s="20" t="e">
        <f>_xlfn.XLOOKUP(Christus_Emp_Table[[#This Row],[Analyst Name:]],[1]!Table1[Analyst Name],[1]!Table1[Lead])</f>
        <v>#REF!</v>
      </c>
      <c r="M12" s="20" t="e">
        <f>_xlfn.XLOOKUP(Christus_Emp_Table[[#This Row],[Analyst Name:]],[1]!Table1[Analyst Name],[1]!Table1[Active/Inactive])</f>
        <v>#REF!</v>
      </c>
    </row>
    <row r="13" spans="1:13" x14ac:dyDescent="0.35">
      <c r="A13" s="19" t="s">
        <v>25</v>
      </c>
      <c r="B13" s="20" t="e">
        <f>_xlfn.XLOOKUP(Christus_Emp_Table[[#This Row],[Analyst Name:]],[1]!Table1[Analyst Name],[1]!Table1[Deloitte Email ID])</f>
        <v>#REF!</v>
      </c>
      <c r="C13" s="20" t="e">
        <f>_xlfn.XLOOKUP(Christus_Emp_Table[[#This Row],[Analyst Name:]],[1]!Table1[Analyst Name],[1]!Table1[Module])</f>
        <v>#REF!</v>
      </c>
      <c r="D13" s="20" t="e">
        <f>_xlfn.XLOOKUP(Christus_Emp_Table[[#This Row],[Analyst Name:]],[1]!Table1[Analyst Name],[1]!Table1[Location])</f>
        <v>#REF!</v>
      </c>
      <c r="E13" s="22" t="s">
        <v>19</v>
      </c>
      <c r="F13" s="21">
        <v>45664</v>
      </c>
      <c r="G13" s="21">
        <v>45664</v>
      </c>
      <c r="H13" s="20" t="s">
        <v>20</v>
      </c>
      <c r="I13" s="20" t="s">
        <v>16</v>
      </c>
      <c r="J13" s="20">
        <f>NETWORKDAYS(Christus_Emp_Table[[#This Row],[From Date:]],Christus_Emp_Table[[#This Row],[To Date:]])</f>
        <v>1</v>
      </c>
      <c r="K13" s="20"/>
      <c r="L13" s="20" t="e">
        <f>_xlfn.XLOOKUP(Christus_Emp_Table[[#This Row],[Analyst Name:]],[1]!Table1[Analyst Name],[1]!Table1[Lead])</f>
        <v>#REF!</v>
      </c>
      <c r="M13" s="20" t="e">
        <f>_xlfn.XLOOKUP(Christus_Emp_Table[[#This Row],[Analyst Name:]],[1]!Table1[Analyst Name],[1]!Table1[Active/Inactive])</f>
        <v>#REF!</v>
      </c>
    </row>
    <row r="14" spans="1:13" x14ac:dyDescent="0.35">
      <c r="A14" s="19" t="s">
        <v>25</v>
      </c>
      <c r="B14" s="20" t="e">
        <f>_xlfn.XLOOKUP(Christus_Emp_Table[[#This Row],[Analyst Name:]],[1]!Table1[Analyst Name],[1]!Table1[Deloitte Email ID])</f>
        <v>#REF!</v>
      </c>
      <c r="C14" s="20" t="e">
        <f>_xlfn.XLOOKUP(Christus_Emp_Table[[#This Row],[Analyst Name:]],[1]!Table1[Analyst Name],[1]!Table1[Module])</f>
        <v>#REF!</v>
      </c>
      <c r="D14" s="20" t="e">
        <f>_xlfn.XLOOKUP(Christus_Emp_Table[[#This Row],[Analyst Name:]],[1]!Table1[Analyst Name],[1]!Table1[Location])</f>
        <v>#REF!</v>
      </c>
      <c r="E14" s="20" t="s">
        <v>15</v>
      </c>
      <c r="F14" s="21">
        <v>45681</v>
      </c>
      <c r="G14" s="21">
        <v>45684</v>
      </c>
      <c r="H14" s="20" t="s">
        <v>15</v>
      </c>
      <c r="I14" s="20" t="s">
        <v>16</v>
      </c>
      <c r="J14" s="20">
        <f>NETWORKDAYS(Christus_Emp_Table[[#This Row],[From Date:]],Christus_Emp_Table[[#This Row],[To Date:]])</f>
        <v>2</v>
      </c>
      <c r="K14" s="20"/>
      <c r="L14" s="20" t="e">
        <f>_xlfn.XLOOKUP(Christus_Emp_Table[[#This Row],[Analyst Name:]],[1]!Table1[Analyst Name],[1]!Table1[Lead])</f>
        <v>#REF!</v>
      </c>
      <c r="M14" s="20" t="e">
        <f>_xlfn.XLOOKUP(Christus_Emp_Table[[#This Row],[Analyst Name:]],[1]!Table1[Analyst Name],[1]!Table1[Active/Inactive])</f>
        <v>#REF!</v>
      </c>
    </row>
    <row r="15" spans="1:13" x14ac:dyDescent="0.35">
      <c r="A15" s="19" t="s">
        <v>26</v>
      </c>
      <c r="B15" s="20" t="e">
        <f>_xlfn.XLOOKUP(Christus_Emp_Table[[#This Row],[Analyst Name:]],[1]!Table1[Analyst Name],[1]!Table1[Deloitte Email ID])</f>
        <v>#REF!</v>
      </c>
      <c r="C15" s="20" t="e">
        <f>_xlfn.XLOOKUP(Christus_Emp_Table[[#This Row],[Analyst Name:]],[1]!Table1[Analyst Name],[1]!Table1[Module])</f>
        <v>#REF!</v>
      </c>
      <c r="D15" s="20" t="e">
        <f>_xlfn.XLOOKUP(Christus_Emp_Table[[#This Row],[Analyst Name:]],[1]!Table1[Analyst Name],[1]!Table1[Location])</f>
        <v>#REF!</v>
      </c>
      <c r="E15" s="20" t="s">
        <v>15</v>
      </c>
      <c r="F15" s="21">
        <v>45670</v>
      </c>
      <c r="G15" s="21">
        <v>45670</v>
      </c>
      <c r="H15" s="20" t="s">
        <v>15</v>
      </c>
      <c r="I15" s="20" t="s">
        <v>16</v>
      </c>
      <c r="J15" s="20">
        <f>NETWORKDAYS(Christus_Emp_Table[[#This Row],[From Date:]],Christus_Emp_Table[[#This Row],[To Date:]])</f>
        <v>1</v>
      </c>
      <c r="K15" s="20"/>
      <c r="L15" s="20" t="e">
        <f>_xlfn.XLOOKUP(Christus_Emp_Table[[#This Row],[Analyst Name:]],[1]!Table1[Analyst Name],[1]!Table1[Lead])</f>
        <v>#REF!</v>
      </c>
      <c r="M15" s="20" t="e">
        <f>_xlfn.XLOOKUP(Christus_Emp_Table[[#This Row],[Analyst Name:]],[1]!Table1[Analyst Name],[1]!Table1[Active/Inactive])</f>
        <v>#REF!</v>
      </c>
    </row>
    <row r="16" spans="1:13" x14ac:dyDescent="0.35">
      <c r="A16" s="19" t="s">
        <v>27</v>
      </c>
      <c r="B16" s="20" t="e">
        <f>_xlfn.XLOOKUP(Christus_Emp_Table[[#This Row],[Analyst Name:]],[1]!Table1[Analyst Name],[1]!Table1[Deloitte Email ID])</f>
        <v>#REF!</v>
      </c>
      <c r="C16" s="20" t="e">
        <f>_xlfn.XLOOKUP(Christus_Emp_Table[[#This Row],[Analyst Name:]],[1]!Table1[Analyst Name],[1]!Table1[Module])</f>
        <v>#REF!</v>
      </c>
      <c r="D16" s="20" t="e">
        <f>_xlfn.XLOOKUP(Christus_Emp_Table[[#This Row],[Analyst Name:]],[1]!Table1[Analyst Name],[1]!Table1[Location])</f>
        <v>#REF!</v>
      </c>
      <c r="E16" s="22" t="s">
        <v>19</v>
      </c>
      <c r="F16" s="21">
        <v>45677</v>
      </c>
      <c r="G16" s="21">
        <v>45677</v>
      </c>
      <c r="H16" s="20" t="s">
        <v>20</v>
      </c>
      <c r="I16" s="20" t="s">
        <v>16</v>
      </c>
      <c r="J16" s="20">
        <f>NETWORKDAYS(Christus_Emp_Table[[#This Row],[From Date:]],Christus_Emp_Table[[#This Row],[To Date:]])</f>
        <v>1</v>
      </c>
      <c r="K16" s="20"/>
      <c r="L16" s="20" t="e">
        <f>_xlfn.XLOOKUP(Christus_Emp_Table[[#This Row],[Analyst Name:]],[1]!Table1[Analyst Name],[1]!Table1[Lead])</f>
        <v>#REF!</v>
      </c>
      <c r="M16" s="20" t="e">
        <f>_xlfn.XLOOKUP(Christus_Emp_Table[[#This Row],[Analyst Name:]],[1]!Table1[Analyst Name],[1]!Table1[Active/Inactive])</f>
        <v>#REF!</v>
      </c>
    </row>
    <row r="17" spans="1:13" x14ac:dyDescent="0.35">
      <c r="A17" s="19" t="s">
        <v>28</v>
      </c>
      <c r="B17" s="20" t="e">
        <f>_xlfn.XLOOKUP(Christus_Emp_Table[[#This Row],[Analyst Name:]],[1]!Table1[Analyst Name],[1]!Table1[Deloitte Email ID])</f>
        <v>#REF!</v>
      </c>
      <c r="C17" s="20" t="e">
        <f>_xlfn.XLOOKUP(Christus_Emp_Table[[#This Row],[Analyst Name:]],[1]!Table1[Analyst Name],[1]!Table1[Module])</f>
        <v>#REF!</v>
      </c>
      <c r="D17" s="20" t="e">
        <f>_xlfn.XLOOKUP(Christus_Emp_Table[[#This Row],[Analyst Name:]],[1]!Table1[Analyst Name],[1]!Table1[Location])</f>
        <v>#REF!</v>
      </c>
      <c r="E17" s="20" t="s">
        <v>15</v>
      </c>
      <c r="F17" s="21">
        <v>45670</v>
      </c>
      <c r="G17" s="21">
        <v>45674</v>
      </c>
      <c r="H17" s="20" t="s">
        <v>15</v>
      </c>
      <c r="I17" s="20" t="s">
        <v>16</v>
      </c>
      <c r="J17" s="20">
        <f>NETWORKDAYS(Christus_Emp_Table[[#This Row],[From Date:]],Christus_Emp_Table[[#This Row],[To Date:]])</f>
        <v>5</v>
      </c>
      <c r="K17" s="20"/>
      <c r="L17" s="20" t="e">
        <f>_xlfn.XLOOKUP(Christus_Emp_Table[[#This Row],[Analyst Name:]],[1]!Table1[Analyst Name],[1]!Table1[Lead])</f>
        <v>#REF!</v>
      </c>
      <c r="M17" s="20" t="e">
        <f>_xlfn.XLOOKUP(Christus_Emp_Table[[#This Row],[Analyst Name:]],[1]!Table1[Analyst Name],[1]!Table1[Active/Inactive])</f>
        <v>#REF!</v>
      </c>
    </row>
    <row r="18" spans="1:13" x14ac:dyDescent="0.35">
      <c r="A18" s="19" t="s">
        <v>29</v>
      </c>
      <c r="B18" s="20" t="e">
        <f>_xlfn.XLOOKUP(Christus_Emp_Table[[#This Row],[Analyst Name:]],[1]!Table1[Analyst Name],[1]!Table1[Deloitte Email ID])</f>
        <v>#REF!</v>
      </c>
      <c r="C18" s="20" t="e">
        <f>_xlfn.XLOOKUP(Christus_Emp_Table[[#This Row],[Analyst Name:]],[1]!Table1[Analyst Name],[1]!Table1[Module])</f>
        <v>#REF!</v>
      </c>
      <c r="D18" s="20" t="e">
        <f>_xlfn.XLOOKUP(Christus_Emp_Table[[#This Row],[Analyst Name:]],[1]!Table1[Analyst Name],[1]!Table1[Location])</f>
        <v>#REF!</v>
      </c>
      <c r="E18" s="20" t="s">
        <v>15</v>
      </c>
      <c r="F18" s="21">
        <v>45659</v>
      </c>
      <c r="G18" s="21">
        <v>45660</v>
      </c>
      <c r="H18" s="20" t="s">
        <v>15</v>
      </c>
      <c r="I18" s="20" t="s">
        <v>16</v>
      </c>
      <c r="J18" s="20">
        <f>NETWORKDAYS(Christus_Emp_Table[[#This Row],[From Date:]],Christus_Emp_Table[[#This Row],[To Date:]])</f>
        <v>2</v>
      </c>
      <c r="K18" s="20"/>
      <c r="L18" s="20" t="e">
        <f>_xlfn.XLOOKUP(Christus_Emp_Table[[#This Row],[Analyst Name:]],[1]!Table1[Analyst Name],[1]!Table1[Lead])</f>
        <v>#REF!</v>
      </c>
      <c r="M18" s="20" t="e">
        <f>_xlfn.XLOOKUP(Christus_Emp_Table[[#This Row],[Analyst Name:]],[1]!Table1[Analyst Name],[1]!Table1[Active/Inactive])</f>
        <v>#REF!</v>
      </c>
    </row>
    <row r="19" spans="1:13" x14ac:dyDescent="0.35">
      <c r="A19" s="19" t="s">
        <v>29</v>
      </c>
      <c r="B19" s="20" t="e">
        <f>_xlfn.XLOOKUP(Christus_Emp_Table[[#This Row],[Analyst Name:]],[1]!Table1[Analyst Name],[1]!Table1[Deloitte Email ID])</f>
        <v>#REF!</v>
      </c>
      <c r="C19" s="20" t="e">
        <f>_xlfn.XLOOKUP(Christus_Emp_Table[[#This Row],[Analyst Name:]],[1]!Table1[Analyst Name],[1]!Table1[Module])</f>
        <v>#REF!</v>
      </c>
      <c r="D19" s="20" t="e">
        <f>_xlfn.XLOOKUP(Christus_Emp_Table[[#This Row],[Analyst Name:]],[1]!Table1[Analyst Name],[1]!Table1[Location])</f>
        <v>#REF!</v>
      </c>
      <c r="E19" s="20" t="s">
        <v>23</v>
      </c>
      <c r="F19" s="21">
        <v>45664</v>
      </c>
      <c r="G19" s="21">
        <v>45664</v>
      </c>
      <c r="H19" s="20" t="s">
        <v>15</v>
      </c>
      <c r="I19" s="20" t="s">
        <v>16</v>
      </c>
      <c r="J19" s="20">
        <f>NETWORKDAYS(Christus_Emp_Table[[#This Row],[From Date:]],Christus_Emp_Table[[#This Row],[To Date:]])</f>
        <v>1</v>
      </c>
      <c r="K19" s="20"/>
      <c r="L19" s="20" t="e">
        <f>_xlfn.XLOOKUP(Christus_Emp_Table[[#This Row],[Analyst Name:]],[1]!Table1[Analyst Name],[1]!Table1[Lead])</f>
        <v>#REF!</v>
      </c>
      <c r="M19" s="20" t="e">
        <f>_xlfn.XLOOKUP(Christus_Emp_Table[[#This Row],[Analyst Name:]],[1]!Table1[Analyst Name],[1]!Table1[Active/Inactive])</f>
        <v>#REF!</v>
      </c>
    </row>
    <row r="20" spans="1:13" x14ac:dyDescent="0.35">
      <c r="A20" s="19" t="s">
        <v>29</v>
      </c>
      <c r="B20" s="20" t="e">
        <f>_xlfn.XLOOKUP(Christus_Emp_Table[[#This Row],[Analyst Name:]],[1]!Table1[Analyst Name],[1]!Table1[Deloitte Email ID])</f>
        <v>#REF!</v>
      </c>
      <c r="C20" s="20" t="e">
        <f>_xlfn.XLOOKUP(Christus_Emp_Table[[#This Row],[Analyst Name:]],[1]!Table1[Analyst Name],[1]!Table1[Module])</f>
        <v>#REF!</v>
      </c>
      <c r="D20" s="20" t="e">
        <f>_xlfn.XLOOKUP(Christus_Emp_Table[[#This Row],[Analyst Name:]],[1]!Table1[Analyst Name],[1]!Table1[Location])</f>
        <v>#REF!</v>
      </c>
      <c r="E20" s="22" t="s">
        <v>19</v>
      </c>
      <c r="F20" s="21">
        <v>45670</v>
      </c>
      <c r="G20" s="21">
        <v>45670</v>
      </c>
      <c r="H20" s="20" t="s">
        <v>20</v>
      </c>
      <c r="I20" s="20" t="s">
        <v>16</v>
      </c>
      <c r="J20" s="20">
        <f>NETWORKDAYS(Christus_Emp_Table[[#This Row],[From Date:]],Christus_Emp_Table[[#This Row],[To Date:]])</f>
        <v>1</v>
      </c>
      <c r="K20" s="20"/>
      <c r="L20" s="20" t="e">
        <f>_xlfn.XLOOKUP(Christus_Emp_Table[[#This Row],[Analyst Name:]],[1]!Table1[Analyst Name],[1]!Table1[Lead])</f>
        <v>#REF!</v>
      </c>
      <c r="M20" s="20" t="e">
        <f>_xlfn.XLOOKUP(Christus_Emp_Table[[#This Row],[Analyst Name:]],[1]!Table1[Analyst Name],[1]!Table1[Active/Inactive])</f>
        <v>#REF!</v>
      </c>
    </row>
    <row r="21" spans="1:13" x14ac:dyDescent="0.35">
      <c r="A21" s="19" t="s">
        <v>30</v>
      </c>
      <c r="B21" s="20" t="e">
        <f>_xlfn.XLOOKUP(Christus_Emp_Table[[#This Row],[Analyst Name:]],[1]!Table1[Analyst Name],[1]!Table1[Deloitte Email ID])</f>
        <v>#REF!</v>
      </c>
      <c r="C21" s="20" t="e">
        <f>_xlfn.XLOOKUP(Christus_Emp_Table[[#This Row],[Analyst Name:]],[1]!Table1[Analyst Name],[1]!Table1[Module])</f>
        <v>#REF!</v>
      </c>
      <c r="D21" s="20" t="e">
        <f>_xlfn.XLOOKUP(Christus_Emp_Table[[#This Row],[Analyst Name:]],[1]!Table1[Analyst Name],[1]!Table1[Location])</f>
        <v>#REF!</v>
      </c>
      <c r="E21" s="22" t="s">
        <v>19</v>
      </c>
      <c r="F21" s="21">
        <v>45659</v>
      </c>
      <c r="G21" s="21">
        <v>45660</v>
      </c>
      <c r="H21" s="20" t="s">
        <v>20</v>
      </c>
      <c r="I21" s="20" t="s">
        <v>16</v>
      </c>
      <c r="J21" s="20">
        <f>NETWORKDAYS(Christus_Emp_Table[[#This Row],[From Date:]],Christus_Emp_Table[[#This Row],[To Date:]])</f>
        <v>2</v>
      </c>
      <c r="K21" s="20"/>
      <c r="L21" s="20" t="e">
        <f>_xlfn.XLOOKUP(Christus_Emp_Table[[#This Row],[Analyst Name:]],[1]!Table1[Analyst Name],[1]!Table1[Lead])</f>
        <v>#REF!</v>
      </c>
      <c r="M21" s="20" t="e">
        <f>_xlfn.XLOOKUP(Christus_Emp_Table[[#This Row],[Analyst Name:]],[1]!Table1[Analyst Name],[1]!Table1[Active/Inactive])</f>
        <v>#REF!</v>
      </c>
    </row>
    <row r="22" spans="1:13" x14ac:dyDescent="0.35">
      <c r="A22" s="19" t="s">
        <v>31</v>
      </c>
      <c r="B22" s="20" t="e">
        <f>_xlfn.XLOOKUP(Christus_Emp_Table[[#This Row],[Analyst Name:]],[1]!Table1[Analyst Name],[1]!Table1[Deloitte Email ID])</f>
        <v>#REF!</v>
      </c>
      <c r="C22" s="20" t="e">
        <f>_xlfn.XLOOKUP(Christus_Emp_Table[[#This Row],[Analyst Name:]],[1]!Table1[Analyst Name],[1]!Table1[Module])</f>
        <v>#REF!</v>
      </c>
      <c r="D22" s="20" t="e">
        <f>_xlfn.XLOOKUP(Christus_Emp_Table[[#This Row],[Analyst Name:]],[1]!Table1[Analyst Name],[1]!Table1[Location])</f>
        <v>#REF!</v>
      </c>
      <c r="E22" s="20" t="s">
        <v>15</v>
      </c>
      <c r="F22" s="21">
        <v>45670</v>
      </c>
      <c r="G22" s="21">
        <v>45670</v>
      </c>
      <c r="H22" s="20" t="s">
        <v>15</v>
      </c>
      <c r="I22" s="20" t="s">
        <v>16</v>
      </c>
      <c r="J22" s="20">
        <f>NETWORKDAYS(Christus_Emp_Table[[#This Row],[From Date:]],Christus_Emp_Table[[#This Row],[To Date:]])</f>
        <v>1</v>
      </c>
      <c r="K22" s="20"/>
      <c r="L22" s="20" t="e">
        <f>_xlfn.XLOOKUP(Christus_Emp_Table[[#This Row],[Analyst Name:]],[1]!Table1[Analyst Name],[1]!Table1[Lead])</f>
        <v>#REF!</v>
      </c>
      <c r="M22" s="20" t="e">
        <f>_xlfn.XLOOKUP(Christus_Emp_Table[[#This Row],[Analyst Name:]],[1]!Table1[Analyst Name],[1]!Table1[Active/Inactive])</f>
        <v>#REF!</v>
      </c>
    </row>
    <row r="23" spans="1:13" x14ac:dyDescent="0.35">
      <c r="A23" s="19" t="s">
        <v>31</v>
      </c>
      <c r="B23" s="20" t="e">
        <f>_xlfn.XLOOKUP(Christus_Emp_Table[[#This Row],[Analyst Name:]],[1]!Table1[Analyst Name],[1]!Table1[Deloitte Email ID])</f>
        <v>#REF!</v>
      </c>
      <c r="C23" s="20" t="e">
        <f>_xlfn.XLOOKUP(Christus_Emp_Table[[#This Row],[Analyst Name:]],[1]!Table1[Analyst Name],[1]!Table1[Module])</f>
        <v>#REF!</v>
      </c>
      <c r="D23" s="20" t="e">
        <f>_xlfn.XLOOKUP(Christus_Emp_Table[[#This Row],[Analyst Name:]],[1]!Table1[Analyst Name],[1]!Table1[Location])</f>
        <v>#REF!</v>
      </c>
      <c r="E23" s="22" t="s">
        <v>19</v>
      </c>
      <c r="F23" s="21">
        <v>45672</v>
      </c>
      <c r="G23" s="21">
        <v>45672</v>
      </c>
      <c r="H23" s="20" t="s">
        <v>20</v>
      </c>
      <c r="I23" s="20" t="s">
        <v>16</v>
      </c>
      <c r="J23" s="20">
        <f>NETWORKDAYS(Christus_Emp_Table[[#This Row],[From Date:]],Christus_Emp_Table[[#This Row],[To Date:]])</f>
        <v>1</v>
      </c>
      <c r="K23" s="20"/>
      <c r="L23" s="20" t="e">
        <f>_xlfn.XLOOKUP(Christus_Emp_Table[[#This Row],[Analyst Name:]],[1]!Table1[Analyst Name],[1]!Table1[Lead])</f>
        <v>#REF!</v>
      </c>
      <c r="M23" s="20" t="e">
        <f>_xlfn.XLOOKUP(Christus_Emp_Table[[#This Row],[Analyst Name:]],[1]!Table1[Analyst Name],[1]!Table1[Active/Inactive])</f>
        <v>#REF!</v>
      </c>
    </row>
    <row r="24" spans="1:13" x14ac:dyDescent="0.35">
      <c r="A24" s="19" t="s">
        <v>32</v>
      </c>
      <c r="B24" s="20" t="e">
        <f>_xlfn.XLOOKUP(Christus_Emp_Table[[#This Row],[Analyst Name:]],[1]!Table1[Analyst Name],[1]!Table1[Deloitte Email ID])</f>
        <v>#REF!</v>
      </c>
      <c r="C24" s="20" t="e">
        <f>_xlfn.XLOOKUP(Christus_Emp_Table[[#This Row],[Analyst Name:]],[1]!Table1[Analyst Name],[1]!Table1[Module])</f>
        <v>#REF!</v>
      </c>
      <c r="D24" s="20" t="e">
        <f>_xlfn.XLOOKUP(Christus_Emp_Table[[#This Row],[Analyst Name:]],[1]!Table1[Analyst Name],[1]!Table1[Location])</f>
        <v>#REF!</v>
      </c>
      <c r="E24" s="20" t="s">
        <v>15</v>
      </c>
      <c r="F24" s="21">
        <v>45659</v>
      </c>
      <c r="G24" s="21">
        <v>45660</v>
      </c>
      <c r="H24" s="20" t="s">
        <v>15</v>
      </c>
      <c r="I24" s="20" t="s">
        <v>16</v>
      </c>
      <c r="J24" s="20">
        <f>NETWORKDAYS(Christus_Emp_Table[[#This Row],[From Date:]],Christus_Emp_Table[[#This Row],[To Date:]])</f>
        <v>2</v>
      </c>
      <c r="K24" s="20"/>
      <c r="L24" s="20" t="e">
        <f>_xlfn.XLOOKUP(Christus_Emp_Table[[#This Row],[Analyst Name:]],[1]!Table1[Analyst Name],[1]!Table1[Lead])</f>
        <v>#REF!</v>
      </c>
      <c r="M24" s="20" t="e">
        <f>_xlfn.XLOOKUP(Christus_Emp_Table[[#This Row],[Analyst Name:]],[1]!Table1[Analyst Name],[1]!Table1[Active/Inactive])</f>
        <v>#REF!</v>
      </c>
    </row>
    <row r="25" spans="1:13" x14ac:dyDescent="0.35">
      <c r="A25" s="19" t="s">
        <v>32</v>
      </c>
      <c r="B25" s="20" t="e">
        <f>_xlfn.XLOOKUP(Christus_Emp_Table[[#This Row],[Analyst Name:]],[1]!Table1[Analyst Name],[1]!Table1[Deloitte Email ID])</f>
        <v>#REF!</v>
      </c>
      <c r="C25" s="20" t="e">
        <f>_xlfn.XLOOKUP(Christus_Emp_Table[[#This Row],[Analyst Name:]],[1]!Table1[Analyst Name],[1]!Table1[Module])</f>
        <v>#REF!</v>
      </c>
      <c r="D25" s="20" t="e">
        <f>_xlfn.XLOOKUP(Christus_Emp_Table[[#This Row],[Analyst Name:]],[1]!Table1[Analyst Name],[1]!Table1[Location])</f>
        <v>#REF!</v>
      </c>
      <c r="E25" s="20" t="s">
        <v>15</v>
      </c>
      <c r="F25" s="21">
        <v>45687</v>
      </c>
      <c r="G25" s="21">
        <v>45688</v>
      </c>
      <c r="H25" s="20" t="s">
        <v>15</v>
      </c>
      <c r="I25" s="20" t="s">
        <v>16</v>
      </c>
      <c r="J25" s="20">
        <f>NETWORKDAYS(Christus_Emp_Table[[#This Row],[From Date:]],Christus_Emp_Table[[#This Row],[To Date:]])</f>
        <v>2</v>
      </c>
      <c r="K25" s="20"/>
      <c r="L25" s="20" t="e">
        <f>_xlfn.XLOOKUP(Christus_Emp_Table[[#This Row],[Analyst Name:]],[1]!Table1[Analyst Name],[1]!Table1[Lead])</f>
        <v>#REF!</v>
      </c>
      <c r="M25" s="20" t="e">
        <f>_xlfn.XLOOKUP(Christus_Emp_Table[[#This Row],[Analyst Name:]],[1]!Table1[Analyst Name],[1]!Table1[Active/Inactive])</f>
        <v>#REF!</v>
      </c>
    </row>
    <row r="26" spans="1:13" x14ac:dyDescent="0.35">
      <c r="A26" s="19" t="s">
        <v>33</v>
      </c>
      <c r="B26" s="20" t="e">
        <f>_xlfn.XLOOKUP(Christus_Emp_Table[[#This Row],[Analyst Name:]],[1]!Table1[Analyst Name],[1]!Table1[Deloitte Email ID])</f>
        <v>#REF!</v>
      </c>
      <c r="C26" s="20" t="e">
        <f>_xlfn.XLOOKUP(Christus_Emp_Table[[#This Row],[Analyst Name:]],[1]!Table1[Analyst Name],[1]!Table1[Module])</f>
        <v>#REF!</v>
      </c>
      <c r="D26" s="20" t="e">
        <f>_xlfn.XLOOKUP(Christus_Emp_Table[[#This Row],[Analyst Name:]],[1]!Table1[Analyst Name],[1]!Table1[Location])</f>
        <v>#REF!</v>
      </c>
      <c r="E26" s="22" t="s">
        <v>19</v>
      </c>
      <c r="F26" s="21">
        <v>45688</v>
      </c>
      <c r="G26" s="21">
        <v>45688</v>
      </c>
      <c r="H26" s="20" t="s">
        <v>20</v>
      </c>
      <c r="I26" s="20" t="s">
        <v>16</v>
      </c>
      <c r="J26" s="20">
        <f>NETWORKDAYS(Christus_Emp_Table[[#This Row],[From Date:]],Christus_Emp_Table[[#This Row],[To Date:]])</f>
        <v>1</v>
      </c>
      <c r="K26" s="20"/>
      <c r="L26" s="20" t="e">
        <f>_xlfn.XLOOKUP(Christus_Emp_Table[[#This Row],[Analyst Name:]],[1]!Table1[Analyst Name],[1]!Table1[Lead])</f>
        <v>#REF!</v>
      </c>
      <c r="M26" s="20" t="e">
        <f>_xlfn.XLOOKUP(Christus_Emp_Table[[#This Row],[Analyst Name:]],[1]!Table1[Analyst Name],[1]!Table1[Active/Inactive])</f>
        <v>#REF!</v>
      </c>
    </row>
    <row r="27" spans="1:13" x14ac:dyDescent="0.35">
      <c r="A27" s="19" t="s">
        <v>34</v>
      </c>
      <c r="B27" s="20" t="e">
        <f>_xlfn.XLOOKUP(Christus_Emp_Table[[#This Row],[Analyst Name:]],[1]!Table1[Analyst Name],[1]!Table1[Deloitte Email ID])</f>
        <v>#REF!</v>
      </c>
      <c r="C27" s="20" t="e">
        <f>_xlfn.XLOOKUP(Christus_Emp_Table[[#This Row],[Analyst Name:]],[1]!Table1[Analyst Name],[1]!Table1[Module])</f>
        <v>#REF!</v>
      </c>
      <c r="D27" s="20" t="e">
        <f>_xlfn.XLOOKUP(Christus_Emp_Table[[#This Row],[Analyst Name:]],[1]!Table1[Analyst Name],[1]!Table1[Location])</f>
        <v>#REF!</v>
      </c>
      <c r="E27" s="20" t="s">
        <v>15</v>
      </c>
      <c r="F27" s="21">
        <v>45659</v>
      </c>
      <c r="G27" s="21">
        <v>45660</v>
      </c>
      <c r="H27" s="20" t="s">
        <v>15</v>
      </c>
      <c r="I27" s="20" t="s">
        <v>16</v>
      </c>
      <c r="J27" s="20">
        <f>NETWORKDAYS(Christus_Emp_Table[[#This Row],[From Date:]],Christus_Emp_Table[[#This Row],[To Date:]])</f>
        <v>2</v>
      </c>
      <c r="K27" s="20"/>
      <c r="L27" s="20" t="e">
        <f>_xlfn.XLOOKUP(Christus_Emp_Table[[#This Row],[Analyst Name:]],[1]!Table1[Analyst Name],[1]!Table1[Lead])</f>
        <v>#REF!</v>
      </c>
      <c r="M27" s="20" t="e">
        <f>_xlfn.XLOOKUP(Christus_Emp_Table[[#This Row],[Analyst Name:]],[1]!Table1[Analyst Name],[1]!Table1[Active/Inactive])</f>
        <v>#REF!</v>
      </c>
    </row>
    <row r="28" spans="1:13" x14ac:dyDescent="0.35">
      <c r="A28" s="19" t="s">
        <v>35</v>
      </c>
      <c r="B28" s="20" t="e">
        <f>_xlfn.XLOOKUP(Christus_Emp_Table[[#This Row],[Analyst Name:]],[1]!Table1[Analyst Name],[1]!Table1[Deloitte Email ID])</f>
        <v>#REF!</v>
      </c>
      <c r="C28" s="20" t="e">
        <f>_xlfn.XLOOKUP(Christus_Emp_Table[[#This Row],[Analyst Name:]],[1]!Table1[Analyst Name],[1]!Table1[Module])</f>
        <v>#REF!</v>
      </c>
      <c r="D28" s="20" t="e">
        <f>_xlfn.XLOOKUP(Christus_Emp_Table[[#This Row],[Analyst Name:]],[1]!Table1[Analyst Name],[1]!Table1[Location])</f>
        <v>#REF!</v>
      </c>
      <c r="E28" s="20" t="s">
        <v>15</v>
      </c>
      <c r="F28" s="21">
        <v>45659</v>
      </c>
      <c r="G28" s="21">
        <v>45660</v>
      </c>
      <c r="H28" s="20" t="s">
        <v>15</v>
      </c>
      <c r="I28" s="20" t="s">
        <v>16</v>
      </c>
      <c r="J28" s="20">
        <f>NETWORKDAYS(Christus_Emp_Table[[#This Row],[From Date:]],Christus_Emp_Table[[#This Row],[To Date:]])</f>
        <v>2</v>
      </c>
      <c r="K28" s="20"/>
      <c r="L28" s="20" t="e">
        <f>_xlfn.XLOOKUP(Christus_Emp_Table[[#This Row],[Analyst Name:]],[1]!Table1[Analyst Name],[1]!Table1[Lead])</f>
        <v>#REF!</v>
      </c>
      <c r="M28" s="20" t="e">
        <f>_xlfn.XLOOKUP(Christus_Emp_Table[[#This Row],[Analyst Name:]],[1]!Table1[Analyst Name],[1]!Table1[Active/Inactive])</f>
        <v>#REF!</v>
      </c>
    </row>
    <row r="29" spans="1:13" x14ac:dyDescent="0.35">
      <c r="A29" s="19" t="s">
        <v>35</v>
      </c>
      <c r="B29" s="20" t="e">
        <f>_xlfn.XLOOKUP(Christus_Emp_Table[[#This Row],[Analyst Name:]],[1]!Table1[Analyst Name],[1]!Table1[Deloitte Email ID])</f>
        <v>#REF!</v>
      </c>
      <c r="C29" s="20" t="e">
        <f>_xlfn.XLOOKUP(Christus_Emp_Table[[#This Row],[Analyst Name:]],[1]!Table1[Analyst Name],[1]!Table1[Module])</f>
        <v>#REF!</v>
      </c>
      <c r="D29" s="20" t="e">
        <f>_xlfn.XLOOKUP(Christus_Emp_Table[[#This Row],[Analyst Name:]],[1]!Table1[Analyst Name],[1]!Table1[Location])</f>
        <v>#REF!</v>
      </c>
      <c r="E29" s="22" t="s">
        <v>19</v>
      </c>
      <c r="F29" s="21">
        <v>45666</v>
      </c>
      <c r="G29" s="21">
        <v>45666</v>
      </c>
      <c r="H29" s="20" t="s">
        <v>20</v>
      </c>
      <c r="I29" s="20" t="s">
        <v>16</v>
      </c>
      <c r="J29" s="20">
        <f>NETWORKDAYS(Christus_Emp_Table[[#This Row],[From Date:]],Christus_Emp_Table[[#This Row],[To Date:]])</f>
        <v>1</v>
      </c>
      <c r="K29" s="20"/>
      <c r="L29" s="20" t="e">
        <f>_xlfn.XLOOKUP(Christus_Emp_Table[[#This Row],[Analyst Name:]],[1]!Table1[Analyst Name],[1]!Table1[Lead])</f>
        <v>#REF!</v>
      </c>
      <c r="M29" s="20" t="e">
        <f>_xlfn.XLOOKUP(Christus_Emp_Table[[#This Row],[Analyst Name:]],[1]!Table1[Analyst Name],[1]!Table1[Active/Inactive])</f>
        <v>#REF!</v>
      </c>
    </row>
    <row r="30" spans="1:13" x14ac:dyDescent="0.35">
      <c r="A30" s="19" t="s">
        <v>36</v>
      </c>
      <c r="B30" s="20" t="e">
        <f>_xlfn.XLOOKUP(Christus_Emp_Table[[#This Row],[Analyst Name:]],[1]!Table1[Analyst Name],[1]!Table1[Deloitte Email ID])</f>
        <v>#REF!</v>
      </c>
      <c r="C30" s="20" t="e">
        <f>_xlfn.XLOOKUP(Christus_Emp_Table[[#This Row],[Analyst Name:]],[1]!Table1[Analyst Name],[1]!Table1[Module])</f>
        <v>#REF!</v>
      </c>
      <c r="D30" s="20" t="e">
        <f>_xlfn.XLOOKUP(Christus_Emp_Table[[#This Row],[Analyst Name:]],[1]!Table1[Analyst Name],[1]!Table1[Location])</f>
        <v>#REF!</v>
      </c>
      <c r="E30" s="20" t="s">
        <v>15</v>
      </c>
      <c r="F30" s="21">
        <v>45685</v>
      </c>
      <c r="G30" s="21">
        <v>45686</v>
      </c>
      <c r="H30" s="20" t="s">
        <v>15</v>
      </c>
      <c r="I30" s="20" t="s">
        <v>16</v>
      </c>
      <c r="J30" s="20">
        <f>NETWORKDAYS(Christus_Emp_Table[[#This Row],[From Date:]],Christus_Emp_Table[[#This Row],[To Date:]])</f>
        <v>2</v>
      </c>
      <c r="K30" s="20"/>
      <c r="L30" s="20" t="e">
        <f>_xlfn.XLOOKUP(Christus_Emp_Table[[#This Row],[Analyst Name:]],[1]!Table1[Analyst Name],[1]!Table1[Lead])</f>
        <v>#REF!</v>
      </c>
      <c r="M30" s="20" t="e">
        <f>_xlfn.XLOOKUP(Christus_Emp_Table[[#This Row],[Analyst Name:]],[1]!Table1[Analyst Name],[1]!Table1[Active/Inactive])</f>
        <v>#REF!</v>
      </c>
    </row>
    <row r="31" spans="1:13" x14ac:dyDescent="0.35">
      <c r="A31" s="19" t="s">
        <v>37</v>
      </c>
      <c r="B31" s="20" t="e">
        <f>_xlfn.XLOOKUP(Christus_Emp_Table[[#This Row],[Analyst Name:]],[1]!Table1[Analyst Name],[1]!Table1[Deloitte Email ID])</f>
        <v>#REF!</v>
      </c>
      <c r="C31" s="20" t="e">
        <f>_xlfn.XLOOKUP(Christus_Emp_Table[[#This Row],[Analyst Name:]],[1]!Table1[Analyst Name],[1]!Table1[Module])</f>
        <v>#REF!</v>
      </c>
      <c r="D31" s="20" t="e">
        <f>_xlfn.XLOOKUP(Christus_Emp_Table[[#This Row],[Analyst Name:]],[1]!Table1[Analyst Name],[1]!Table1[Location])</f>
        <v>#REF!</v>
      </c>
      <c r="E31" s="20" t="s">
        <v>15</v>
      </c>
      <c r="F31" s="21">
        <v>45659</v>
      </c>
      <c r="G31" s="21">
        <v>45664</v>
      </c>
      <c r="H31" s="20" t="s">
        <v>15</v>
      </c>
      <c r="I31" s="20" t="s">
        <v>16</v>
      </c>
      <c r="J31" s="20">
        <f>NETWORKDAYS(Christus_Emp_Table[[#This Row],[From Date:]],Christus_Emp_Table[[#This Row],[To Date:]])</f>
        <v>4</v>
      </c>
      <c r="K31" s="20"/>
      <c r="L31" s="20" t="e">
        <f>_xlfn.XLOOKUP(Christus_Emp_Table[[#This Row],[Analyst Name:]],[1]!Table1[Analyst Name],[1]!Table1[Lead])</f>
        <v>#REF!</v>
      </c>
      <c r="M31" s="20" t="e">
        <f>_xlfn.XLOOKUP(Christus_Emp_Table[[#This Row],[Analyst Name:]],[1]!Table1[Analyst Name],[1]!Table1[Active/Inactive])</f>
        <v>#REF!</v>
      </c>
    </row>
    <row r="32" spans="1:13" x14ac:dyDescent="0.35">
      <c r="A32" s="19" t="s">
        <v>14</v>
      </c>
      <c r="B32" s="20" t="e">
        <f>_xlfn.XLOOKUP(Christus_Emp_Table[[#This Row],[Analyst Name:]],[1]!Table1[Analyst Name],[1]!Table1[Deloitte Email ID])</f>
        <v>#REF!</v>
      </c>
      <c r="C32" s="20" t="e">
        <f>_xlfn.XLOOKUP(Christus_Emp_Table[[#This Row],[Analyst Name:]],[1]!Table1[Analyst Name],[1]!Table1[Module])</f>
        <v>#REF!</v>
      </c>
      <c r="D32" s="20" t="e">
        <f>_xlfn.XLOOKUP(Christus_Emp_Table[[#This Row],[Analyst Name:]],[1]!Table1[Analyst Name],[1]!Table1[Location])</f>
        <v>#REF!</v>
      </c>
      <c r="E32" s="22" t="s">
        <v>19</v>
      </c>
      <c r="F32" s="21">
        <v>45685</v>
      </c>
      <c r="G32" s="21">
        <v>45686</v>
      </c>
      <c r="H32" s="20" t="s">
        <v>20</v>
      </c>
      <c r="I32" s="20" t="s">
        <v>16</v>
      </c>
      <c r="J32" s="20">
        <f>NETWORKDAYS(Christus_Emp_Table[[#This Row],[From Date:]],Christus_Emp_Table[[#This Row],[To Date:]])</f>
        <v>2</v>
      </c>
      <c r="K32" s="20"/>
      <c r="L32" s="20" t="e">
        <f>_xlfn.XLOOKUP(Christus_Emp_Table[[#This Row],[Analyst Name:]],[1]!Table1[Analyst Name],[1]!Table1[Lead])</f>
        <v>#REF!</v>
      </c>
      <c r="M32" s="20" t="e">
        <f>_xlfn.XLOOKUP(Christus_Emp_Table[[#This Row],[Analyst Name:]],[1]!Table1[Analyst Name],[1]!Table1[Active/Inactive])</f>
        <v>#REF!</v>
      </c>
    </row>
    <row r="33" spans="1:13" x14ac:dyDescent="0.35">
      <c r="A33" s="19" t="s">
        <v>17</v>
      </c>
      <c r="B33" s="20" t="e">
        <f>_xlfn.XLOOKUP(Christus_Emp_Table[[#This Row],[Analyst Name:]],[1]!Table1[Analyst Name],[1]!Table1[Deloitte Email ID])</f>
        <v>#REF!</v>
      </c>
      <c r="C33" s="20" t="e">
        <f>_xlfn.XLOOKUP(Christus_Emp_Table[[#This Row],[Analyst Name:]],[1]!Table1[Analyst Name],[1]!Table1[Module])</f>
        <v>#REF!</v>
      </c>
      <c r="D33" s="20" t="e">
        <f>_xlfn.XLOOKUP(Christus_Emp_Table[[#This Row],[Analyst Name:]],[1]!Table1[Analyst Name],[1]!Table1[Location])</f>
        <v>#REF!</v>
      </c>
      <c r="E33" s="20" t="s">
        <v>15</v>
      </c>
      <c r="F33" s="21">
        <v>45702</v>
      </c>
      <c r="G33" s="21">
        <v>45702</v>
      </c>
      <c r="H33" s="20" t="s">
        <v>15</v>
      </c>
      <c r="I33" s="20" t="s">
        <v>16</v>
      </c>
      <c r="J33" s="20">
        <f>NETWORKDAYS(Christus_Emp_Table[[#This Row],[From Date:]],Christus_Emp_Table[[#This Row],[To Date:]])</f>
        <v>1</v>
      </c>
      <c r="K33" s="20"/>
      <c r="L33" s="20" t="e">
        <f>_xlfn.XLOOKUP(Christus_Emp_Table[[#This Row],[Analyst Name:]],[1]!Table1[Analyst Name],[1]!Table1[Lead])</f>
        <v>#REF!</v>
      </c>
      <c r="M33" s="20" t="e">
        <f>_xlfn.XLOOKUP(Christus_Emp_Table[[#This Row],[Analyst Name:]],[1]!Table1[Analyst Name],[1]!Table1[Active/Inactive])</f>
        <v>#REF!</v>
      </c>
    </row>
    <row r="34" spans="1:13" x14ac:dyDescent="0.35">
      <c r="A34" s="19" t="s">
        <v>18</v>
      </c>
      <c r="B34" s="20" t="e">
        <f>_xlfn.XLOOKUP(Christus_Emp_Table[[#This Row],[Analyst Name:]],[1]!Table1[Analyst Name],[1]!Table1[Deloitte Email ID])</f>
        <v>#REF!</v>
      </c>
      <c r="C34" s="20" t="e">
        <f>_xlfn.XLOOKUP(Christus_Emp_Table[[#This Row],[Analyst Name:]],[1]!Table1[Analyst Name],[1]!Table1[Module])</f>
        <v>#REF!</v>
      </c>
      <c r="D34" s="20" t="e">
        <f>_xlfn.XLOOKUP(Christus_Emp_Table[[#This Row],[Analyst Name:]],[1]!Table1[Analyst Name],[1]!Table1[Location])</f>
        <v>#REF!</v>
      </c>
      <c r="E34" s="20" t="s">
        <v>15</v>
      </c>
      <c r="F34" s="21">
        <v>45691</v>
      </c>
      <c r="G34" s="21">
        <v>45702</v>
      </c>
      <c r="H34" s="20" t="s">
        <v>15</v>
      </c>
      <c r="I34" s="20" t="s">
        <v>16</v>
      </c>
      <c r="J34" s="20">
        <f>NETWORKDAYS(Christus_Emp_Table[[#This Row],[From Date:]],Christus_Emp_Table[[#This Row],[To Date:]])</f>
        <v>10</v>
      </c>
      <c r="K34" s="20"/>
      <c r="L34" s="20" t="e">
        <f>_xlfn.XLOOKUP(Christus_Emp_Table[[#This Row],[Analyst Name:]],[1]!Table1[Analyst Name],[1]!Table1[Lead])</f>
        <v>#REF!</v>
      </c>
      <c r="M34" s="20" t="e">
        <f>_xlfn.XLOOKUP(Christus_Emp_Table[[#This Row],[Analyst Name:]],[1]!Table1[Analyst Name],[1]!Table1[Active/Inactive])</f>
        <v>#REF!</v>
      </c>
    </row>
    <row r="35" spans="1:13" x14ac:dyDescent="0.35">
      <c r="A35" s="19" t="s">
        <v>18</v>
      </c>
      <c r="B35" s="20" t="e">
        <f>_xlfn.XLOOKUP(Christus_Emp_Table[[#This Row],[Analyst Name:]],[1]!Table1[Analyst Name],[1]!Table1[Deloitte Email ID])</f>
        <v>#REF!</v>
      </c>
      <c r="C35" s="20" t="e">
        <f>_xlfn.XLOOKUP(Christus_Emp_Table[[#This Row],[Analyst Name:]],[1]!Table1[Analyst Name],[1]!Table1[Module])</f>
        <v>#REF!</v>
      </c>
      <c r="D35" s="20" t="e">
        <f>_xlfn.XLOOKUP(Christus_Emp_Table[[#This Row],[Analyst Name:]],[1]!Table1[Analyst Name],[1]!Table1[Location])</f>
        <v>#REF!</v>
      </c>
      <c r="E35" s="20" t="s">
        <v>15</v>
      </c>
      <c r="F35" s="21">
        <v>45713</v>
      </c>
      <c r="G35" s="21">
        <v>45713</v>
      </c>
      <c r="H35" s="20" t="s">
        <v>15</v>
      </c>
      <c r="I35" s="20" t="s">
        <v>16</v>
      </c>
      <c r="J35" s="20">
        <f>NETWORKDAYS(Christus_Emp_Table[[#This Row],[From Date:]],Christus_Emp_Table[[#This Row],[To Date:]])</f>
        <v>1</v>
      </c>
      <c r="K35" s="20"/>
      <c r="L35" s="20" t="e">
        <f>_xlfn.XLOOKUP(Christus_Emp_Table[[#This Row],[Analyst Name:]],[1]!Table1[Analyst Name],[1]!Table1[Lead])</f>
        <v>#REF!</v>
      </c>
      <c r="M35" s="20" t="e">
        <f>_xlfn.XLOOKUP(Christus_Emp_Table[[#This Row],[Analyst Name:]],[1]!Table1[Analyst Name],[1]!Table1[Active/Inactive])</f>
        <v>#REF!</v>
      </c>
    </row>
    <row r="36" spans="1:13" x14ac:dyDescent="0.35">
      <c r="A36" s="19" t="s">
        <v>22</v>
      </c>
      <c r="B36" s="20" t="e">
        <f>_xlfn.XLOOKUP(Christus_Emp_Table[[#This Row],[Analyst Name:]],[1]!Table1[Analyst Name],[1]!Table1[Deloitte Email ID])</f>
        <v>#REF!</v>
      </c>
      <c r="C36" s="20" t="e">
        <f>_xlfn.XLOOKUP(Christus_Emp_Table[[#This Row],[Analyst Name:]],[1]!Table1[Analyst Name],[1]!Table1[Module])</f>
        <v>#REF!</v>
      </c>
      <c r="D36" s="20" t="e">
        <f>_xlfn.XLOOKUP(Christus_Emp_Table[[#This Row],[Analyst Name:]],[1]!Table1[Analyst Name],[1]!Table1[Location])</f>
        <v>#REF!</v>
      </c>
      <c r="E36" s="20" t="s">
        <v>15</v>
      </c>
      <c r="F36" s="21">
        <v>45701</v>
      </c>
      <c r="G36" s="21">
        <v>45702</v>
      </c>
      <c r="H36" s="20" t="s">
        <v>15</v>
      </c>
      <c r="I36" s="20" t="s">
        <v>16</v>
      </c>
      <c r="J36" s="20">
        <f>NETWORKDAYS(Christus_Emp_Table[[#This Row],[From Date:]],Christus_Emp_Table[[#This Row],[To Date:]])</f>
        <v>2</v>
      </c>
      <c r="K36" s="20"/>
      <c r="L36" s="20" t="e">
        <f>_xlfn.XLOOKUP(Christus_Emp_Table[[#This Row],[Analyst Name:]],[1]!Table1[Analyst Name],[1]!Table1[Lead])</f>
        <v>#REF!</v>
      </c>
      <c r="M36" s="20" t="e">
        <f>_xlfn.XLOOKUP(Christus_Emp_Table[[#This Row],[Analyst Name:]],[1]!Table1[Analyst Name],[1]!Table1[Active/Inactive])</f>
        <v>#REF!</v>
      </c>
    </row>
    <row r="37" spans="1:13" x14ac:dyDescent="0.35">
      <c r="A37" s="19" t="s">
        <v>22</v>
      </c>
      <c r="B37" s="20" t="e">
        <f>_xlfn.XLOOKUP(Christus_Emp_Table[[#This Row],[Analyst Name:]],[1]!Table1[Analyst Name],[1]!Table1[Deloitte Email ID])</f>
        <v>#REF!</v>
      </c>
      <c r="C37" s="20" t="e">
        <f>_xlfn.XLOOKUP(Christus_Emp_Table[[#This Row],[Analyst Name:]],[1]!Table1[Analyst Name],[1]!Table1[Module])</f>
        <v>#REF!</v>
      </c>
      <c r="D37" s="20" t="e">
        <f>_xlfn.XLOOKUP(Christus_Emp_Table[[#This Row],[Analyst Name:]],[1]!Table1[Analyst Name],[1]!Table1[Location])</f>
        <v>#REF!</v>
      </c>
      <c r="E37" s="20" t="s">
        <v>15</v>
      </c>
      <c r="F37" s="21">
        <v>45715</v>
      </c>
      <c r="G37" s="21">
        <v>45716</v>
      </c>
      <c r="H37" s="20" t="s">
        <v>15</v>
      </c>
      <c r="I37" s="20" t="s">
        <v>16</v>
      </c>
      <c r="J37" s="20">
        <f>NETWORKDAYS(Christus_Emp_Table[[#This Row],[From Date:]],Christus_Emp_Table[[#This Row],[To Date:]])</f>
        <v>2</v>
      </c>
      <c r="K37" s="20"/>
      <c r="L37" s="20" t="e">
        <f>_xlfn.XLOOKUP(Christus_Emp_Table[[#This Row],[Analyst Name:]],[1]!Table1[Analyst Name],[1]!Table1[Lead])</f>
        <v>#REF!</v>
      </c>
      <c r="M37" s="20" t="e">
        <f>_xlfn.XLOOKUP(Christus_Emp_Table[[#This Row],[Analyst Name:]],[1]!Table1[Analyst Name],[1]!Table1[Active/Inactive])</f>
        <v>#REF!</v>
      </c>
    </row>
    <row r="38" spans="1:13" x14ac:dyDescent="0.35">
      <c r="A38" s="19" t="s">
        <v>24</v>
      </c>
      <c r="B38" s="20" t="e">
        <f>_xlfn.XLOOKUP(Christus_Emp_Table[[#This Row],[Analyst Name:]],[1]!Table1[Analyst Name],[1]!Table1[Deloitte Email ID])</f>
        <v>#REF!</v>
      </c>
      <c r="C38" s="20" t="e">
        <f>_xlfn.XLOOKUP(Christus_Emp_Table[[#This Row],[Analyst Name:]],[1]!Table1[Analyst Name],[1]!Table1[Module])</f>
        <v>#REF!</v>
      </c>
      <c r="D38" s="20" t="e">
        <f>_xlfn.XLOOKUP(Christus_Emp_Table[[#This Row],[Analyst Name:]],[1]!Table1[Analyst Name],[1]!Table1[Location])</f>
        <v>#REF!</v>
      </c>
      <c r="E38" s="20" t="s">
        <v>15</v>
      </c>
      <c r="F38" s="21">
        <v>45705</v>
      </c>
      <c r="G38" s="21">
        <v>45706</v>
      </c>
      <c r="H38" s="20" t="s">
        <v>15</v>
      </c>
      <c r="I38" s="20" t="s">
        <v>16</v>
      </c>
      <c r="J38" s="20">
        <f>NETWORKDAYS(Christus_Emp_Table[[#This Row],[From Date:]],Christus_Emp_Table[[#This Row],[To Date:]])</f>
        <v>2</v>
      </c>
      <c r="K38" s="20"/>
      <c r="L38" s="20" t="e">
        <f>_xlfn.XLOOKUP(Christus_Emp_Table[[#This Row],[Analyst Name:]],[1]!Table1[Analyst Name],[1]!Table1[Lead])</f>
        <v>#REF!</v>
      </c>
      <c r="M38" s="20" t="e">
        <f>_xlfn.XLOOKUP(Christus_Emp_Table[[#This Row],[Analyst Name:]],[1]!Table1[Analyst Name],[1]!Table1[Active/Inactive])</f>
        <v>#REF!</v>
      </c>
    </row>
    <row r="39" spans="1:13" x14ac:dyDescent="0.35">
      <c r="A39" s="19" t="s">
        <v>25</v>
      </c>
      <c r="B39" s="20" t="e">
        <f>_xlfn.XLOOKUP(Christus_Emp_Table[[#This Row],[Analyst Name:]],[1]!Table1[Analyst Name],[1]!Table1[Deloitte Email ID])</f>
        <v>#REF!</v>
      </c>
      <c r="C39" s="20" t="e">
        <f>_xlfn.XLOOKUP(Christus_Emp_Table[[#This Row],[Analyst Name:]],[1]!Table1[Analyst Name],[1]!Table1[Module])</f>
        <v>#REF!</v>
      </c>
      <c r="D39" s="20" t="e">
        <f>_xlfn.XLOOKUP(Christus_Emp_Table[[#This Row],[Analyst Name:]],[1]!Table1[Analyst Name],[1]!Table1[Location])</f>
        <v>#REF!</v>
      </c>
      <c r="E39" s="20" t="s">
        <v>15</v>
      </c>
      <c r="F39" s="21">
        <v>45701</v>
      </c>
      <c r="G39" s="21">
        <v>45702</v>
      </c>
      <c r="H39" s="20" t="s">
        <v>15</v>
      </c>
      <c r="I39" s="20" t="s">
        <v>16</v>
      </c>
      <c r="J39" s="20">
        <f>NETWORKDAYS(Christus_Emp_Table[[#This Row],[From Date:]],Christus_Emp_Table[[#This Row],[To Date:]])</f>
        <v>2</v>
      </c>
      <c r="K39" s="20"/>
      <c r="L39" s="20" t="e">
        <f>_xlfn.XLOOKUP(Christus_Emp_Table[[#This Row],[Analyst Name:]],[1]!Table1[Analyst Name],[1]!Table1[Lead])</f>
        <v>#REF!</v>
      </c>
      <c r="M39" s="20" t="e">
        <f>_xlfn.XLOOKUP(Christus_Emp_Table[[#This Row],[Analyst Name:]],[1]!Table1[Analyst Name],[1]!Table1[Active/Inactive])</f>
        <v>#REF!</v>
      </c>
    </row>
    <row r="40" spans="1:13" x14ac:dyDescent="0.35">
      <c r="A40" s="19" t="s">
        <v>25</v>
      </c>
      <c r="B40" s="20" t="e">
        <f>_xlfn.XLOOKUP(Christus_Emp_Table[[#This Row],[Analyst Name:]],[1]!Table1[Analyst Name],[1]!Table1[Deloitte Email ID])</f>
        <v>#REF!</v>
      </c>
      <c r="C40" s="20" t="e">
        <f>_xlfn.XLOOKUP(Christus_Emp_Table[[#This Row],[Analyst Name:]],[1]!Table1[Analyst Name],[1]!Table1[Module])</f>
        <v>#REF!</v>
      </c>
      <c r="D40" s="20" t="e">
        <f>_xlfn.XLOOKUP(Christus_Emp_Table[[#This Row],[Analyst Name:]],[1]!Table1[Analyst Name],[1]!Table1[Location])</f>
        <v>#REF!</v>
      </c>
      <c r="E40" s="20" t="s">
        <v>15</v>
      </c>
      <c r="F40" s="21">
        <v>45715</v>
      </c>
      <c r="G40" s="21">
        <v>45716</v>
      </c>
      <c r="H40" s="20" t="s">
        <v>15</v>
      </c>
      <c r="I40" s="20" t="s">
        <v>16</v>
      </c>
      <c r="J40" s="20">
        <f>NETWORKDAYS(Christus_Emp_Table[[#This Row],[From Date:]],Christus_Emp_Table[[#This Row],[To Date:]])</f>
        <v>2</v>
      </c>
      <c r="K40" s="20"/>
      <c r="L40" s="20" t="e">
        <f>_xlfn.XLOOKUP(Christus_Emp_Table[[#This Row],[Analyst Name:]],[1]!Table1[Analyst Name],[1]!Table1[Lead])</f>
        <v>#REF!</v>
      </c>
      <c r="M40" s="20" t="e">
        <f>_xlfn.XLOOKUP(Christus_Emp_Table[[#This Row],[Analyst Name:]],[1]!Table1[Analyst Name],[1]!Table1[Active/Inactive])</f>
        <v>#REF!</v>
      </c>
    </row>
    <row r="41" spans="1:13" x14ac:dyDescent="0.35">
      <c r="A41" s="19" t="s">
        <v>26</v>
      </c>
      <c r="B41" s="20" t="e">
        <f>_xlfn.XLOOKUP(Christus_Emp_Table[[#This Row],[Analyst Name:]],[1]!Table1[Analyst Name],[1]!Table1[Deloitte Email ID])</f>
        <v>#REF!</v>
      </c>
      <c r="C41" s="20" t="e">
        <f>_xlfn.XLOOKUP(Christus_Emp_Table[[#This Row],[Analyst Name:]],[1]!Table1[Analyst Name],[1]!Table1[Module])</f>
        <v>#REF!</v>
      </c>
      <c r="D41" s="20" t="e">
        <f>_xlfn.XLOOKUP(Christus_Emp_Table[[#This Row],[Analyst Name:]],[1]!Table1[Analyst Name],[1]!Table1[Location])</f>
        <v>#REF!</v>
      </c>
      <c r="E41" s="22" t="s">
        <v>19</v>
      </c>
      <c r="F41" s="21">
        <v>45716</v>
      </c>
      <c r="G41" s="21">
        <v>45716</v>
      </c>
      <c r="H41" s="20" t="s">
        <v>20</v>
      </c>
      <c r="I41" s="20" t="s">
        <v>16</v>
      </c>
      <c r="J41" s="20">
        <f>NETWORKDAYS(Christus_Emp_Table[[#This Row],[From Date:]],Christus_Emp_Table[[#This Row],[To Date:]])</f>
        <v>1</v>
      </c>
      <c r="K41" s="20"/>
      <c r="L41" s="20" t="e">
        <f>_xlfn.XLOOKUP(Christus_Emp_Table[[#This Row],[Analyst Name:]],[1]!Table1[Analyst Name],[1]!Table1[Lead])</f>
        <v>#REF!</v>
      </c>
      <c r="M41" s="20" t="e">
        <f>_xlfn.XLOOKUP(Christus_Emp_Table[[#This Row],[Analyst Name:]],[1]!Table1[Analyst Name],[1]!Table1[Active/Inactive])</f>
        <v>#REF!</v>
      </c>
    </row>
    <row r="42" spans="1:13" x14ac:dyDescent="0.35">
      <c r="A42" s="19" t="s">
        <v>38</v>
      </c>
      <c r="B42" s="20" t="e">
        <f>_xlfn.XLOOKUP(Christus_Emp_Table[[#This Row],[Analyst Name:]],[1]!Table1[Analyst Name],[1]!Table1[Deloitte Email ID])</f>
        <v>#REF!</v>
      </c>
      <c r="C42" s="20" t="e">
        <f>_xlfn.XLOOKUP(Christus_Emp_Table[[#This Row],[Analyst Name:]],[1]!Table1[Analyst Name],[1]!Table1[Module])</f>
        <v>#REF!</v>
      </c>
      <c r="D42" s="20" t="e">
        <f>_xlfn.XLOOKUP(Christus_Emp_Table[[#This Row],[Analyst Name:]],[1]!Table1[Analyst Name],[1]!Table1[Location])</f>
        <v>#REF!</v>
      </c>
      <c r="E42" s="20" t="s">
        <v>15</v>
      </c>
      <c r="F42" s="21">
        <v>45716</v>
      </c>
      <c r="G42" s="21">
        <v>45716</v>
      </c>
      <c r="H42" s="20" t="s">
        <v>15</v>
      </c>
      <c r="I42" s="20" t="s">
        <v>16</v>
      </c>
      <c r="J42" s="20">
        <f>NETWORKDAYS(Christus_Emp_Table[[#This Row],[From Date:]],Christus_Emp_Table[[#This Row],[To Date:]])</f>
        <v>1</v>
      </c>
      <c r="K42" s="20"/>
      <c r="L42" s="20" t="e">
        <f>_xlfn.XLOOKUP(Christus_Emp_Table[[#This Row],[Analyst Name:]],[1]!Table1[Analyst Name],[1]!Table1[Lead])</f>
        <v>#REF!</v>
      </c>
      <c r="M42" s="20" t="e">
        <f>_xlfn.XLOOKUP(Christus_Emp_Table[[#This Row],[Analyst Name:]],[1]!Table1[Analyst Name],[1]!Table1[Active/Inactive])</f>
        <v>#REF!</v>
      </c>
    </row>
    <row r="43" spans="1:13" x14ac:dyDescent="0.35">
      <c r="A43" s="19" t="s">
        <v>27</v>
      </c>
      <c r="B43" s="20" t="e">
        <f>_xlfn.XLOOKUP(Christus_Emp_Table[[#This Row],[Analyst Name:]],[1]!Table1[Analyst Name],[1]!Table1[Deloitte Email ID])</f>
        <v>#REF!</v>
      </c>
      <c r="C43" s="20" t="e">
        <f>_xlfn.XLOOKUP(Christus_Emp_Table[[#This Row],[Analyst Name:]],[1]!Table1[Analyst Name],[1]!Table1[Module])</f>
        <v>#REF!</v>
      </c>
      <c r="D43" s="20" t="e">
        <f>_xlfn.XLOOKUP(Christus_Emp_Table[[#This Row],[Analyst Name:]],[1]!Table1[Analyst Name],[1]!Table1[Location])</f>
        <v>#REF!</v>
      </c>
      <c r="E43" s="20" t="s">
        <v>15</v>
      </c>
      <c r="F43" s="21">
        <v>45701</v>
      </c>
      <c r="G43" s="21">
        <v>45702</v>
      </c>
      <c r="H43" s="20" t="s">
        <v>15</v>
      </c>
      <c r="I43" s="20" t="s">
        <v>16</v>
      </c>
      <c r="J43" s="20">
        <f>NETWORKDAYS(Christus_Emp_Table[[#This Row],[From Date:]],Christus_Emp_Table[[#This Row],[To Date:]])</f>
        <v>2</v>
      </c>
      <c r="K43" s="20"/>
      <c r="L43" s="20" t="e">
        <f>_xlfn.XLOOKUP(Christus_Emp_Table[[#This Row],[Analyst Name:]],[1]!Table1[Analyst Name],[1]!Table1[Lead])</f>
        <v>#REF!</v>
      </c>
      <c r="M43" s="20" t="e">
        <f>_xlfn.XLOOKUP(Christus_Emp_Table[[#This Row],[Analyst Name:]],[1]!Table1[Analyst Name],[1]!Table1[Active/Inactive])</f>
        <v>#REF!</v>
      </c>
    </row>
    <row r="44" spans="1:13" x14ac:dyDescent="0.35">
      <c r="A44" s="19" t="s">
        <v>28</v>
      </c>
      <c r="B44" s="20" t="e">
        <f>_xlfn.XLOOKUP(Christus_Emp_Table[[#This Row],[Analyst Name:]],[1]!Table1[Analyst Name],[1]!Table1[Deloitte Email ID])</f>
        <v>#REF!</v>
      </c>
      <c r="C44" s="20" t="e">
        <f>_xlfn.XLOOKUP(Christus_Emp_Table[[#This Row],[Analyst Name:]],[1]!Table1[Analyst Name],[1]!Table1[Module])</f>
        <v>#REF!</v>
      </c>
      <c r="D44" s="20" t="e">
        <f>_xlfn.XLOOKUP(Christus_Emp_Table[[#This Row],[Analyst Name:]],[1]!Table1[Analyst Name],[1]!Table1[Location])</f>
        <v>#REF!</v>
      </c>
      <c r="E44" s="22" t="s">
        <v>19</v>
      </c>
      <c r="F44" s="21">
        <v>45694</v>
      </c>
      <c r="G44" s="21">
        <v>45694</v>
      </c>
      <c r="H44" s="20" t="s">
        <v>20</v>
      </c>
      <c r="I44" s="20" t="s">
        <v>16</v>
      </c>
      <c r="J44" s="20">
        <f>NETWORKDAYS(Christus_Emp_Table[[#This Row],[From Date:]],Christus_Emp_Table[[#This Row],[To Date:]])</f>
        <v>1</v>
      </c>
      <c r="K44" s="20"/>
      <c r="L44" s="20" t="e">
        <f>_xlfn.XLOOKUP(Christus_Emp_Table[[#This Row],[Analyst Name:]],[1]!Table1[Analyst Name],[1]!Table1[Lead])</f>
        <v>#REF!</v>
      </c>
      <c r="M44" s="20" t="e">
        <f>_xlfn.XLOOKUP(Christus_Emp_Table[[#This Row],[Analyst Name:]],[1]!Table1[Analyst Name],[1]!Table1[Active/Inactive])</f>
        <v>#REF!</v>
      </c>
    </row>
    <row r="45" spans="1:13" x14ac:dyDescent="0.35">
      <c r="A45" s="19" t="s">
        <v>39</v>
      </c>
      <c r="B45" s="20" t="e">
        <f>_xlfn.XLOOKUP(Christus_Emp_Table[[#This Row],[Analyst Name:]],[1]!Table1[Analyst Name],[1]!Table1[Deloitte Email ID])</f>
        <v>#REF!</v>
      </c>
      <c r="C45" s="20" t="e">
        <f>_xlfn.XLOOKUP(Christus_Emp_Table[[#This Row],[Analyst Name:]],[1]!Table1[Analyst Name],[1]!Table1[Module])</f>
        <v>#REF!</v>
      </c>
      <c r="D45" s="20" t="e">
        <f>_xlfn.XLOOKUP(Christus_Emp_Table[[#This Row],[Analyst Name:]],[1]!Table1[Analyst Name],[1]!Table1[Location])</f>
        <v>#REF!</v>
      </c>
      <c r="E45" s="20" t="s">
        <v>15</v>
      </c>
      <c r="F45" s="21">
        <v>45695</v>
      </c>
      <c r="G45" s="21">
        <v>45695</v>
      </c>
      <c r="H45" s="20" t="s">
        <v>15</v>
      </c>
      <c r="I45" s="20" t="s">
        <v>16</v>
      </c>
      <c r="J45" s="20">
        <f>NETWORKDAYS(Christus_Emp_Table[[#This Row],[From Date:]],Christus_Emp_Table[[#This Row],[To Date:]])</f>
        <v>1</v>
      </c>
      <c r="K45" s="20"/>
      <c r="L45" s="20" t="e">
        <f>_xlfn.XLOOKUP(Christus_Emp_Table[[#This Row],[Analyst Name:]],[1]!Table1[Analyst Name],[1]!Table1[Lead])</f>
        <v>#REF!</v>
      </c>
      <c r="M45" s="20" t="e">
        <f>_xlfn.XLOOKUP(Christus_Emp_Table[[#This Row],[Analyst Name:]],[1]!Table1[Analyst Name],[1]!Table1[Active/Inactive])</f>
        <v>#REF!</v>
      </c>
    </row>
    <row r="46" spans="1:13" x14ac:dyDescent="0.35">
      <c r="A46" s="19" t="s">
        <v>29</v>
      </c>
      <c r="B46" s="20" t="e">
        <f>_xlfn.XLOOKUP(Christus_Emp_Table[[#This Row],[Analyst Name:]],[1]!Table1[Analyst Name],[1]!Table1[Deloitte Email ID])</f>
        <v>#REF!</v>
      </c>
      <c r="C46" s="20" t="e">
        <f>_xlfn.XLOOKUP(Christus_Emp_Table[[#This Row],[Analyst Name:]],[1]!Table1[Analyst Name],[1]!Table1[Module])</f>
        <v>#REF!</v>
      </c>
      <c r="D46" s="20" t="e">
        <f>_xlfn.XLOOKUP(Christus_Emp_Table[[#This Row],[Analyst Name:]],[1]!Table1[Analyst Name],[1]!Table1[Location])</f>
        <v>#REF!</v>
      </c>
      <c r="E46" s="20" t="s">
        <v>15</v>
      </c>
      <c r="F46" s="21">
        <v>45705</v>
      </c>
      <c r="G46" s="21">
        <v>45706</v>
      </c>
      <c r="H46" s="20" t="s">
        <v>15</v>
      </c>
      <c r="I46" s="20" t="s">
        <v>16</v>
      </c>
      <c r="J46" s="20">
        <f>NETWORKDAYS(Christus_Emp_Table[[#This Row],[From Date:]],Christus_Emp_Table[[#This Row],[To Date:]])</f>
        <v>2</v>
      </c>
      <c r="K46" s="20"/>
      <c r="L46" s="20" t="e">
        <f>_xlfn.XLOOKUP(Christus_Emp_Table[[#This Row],[Analyst Name:]],[1]!Table1[Analyst Name],[1]!Table1[Lead])</f>
        <v>#REF!</v>
      </c>
      <c r="M46" s="20" t="e">
        <f>_xlfn.XLOOKUP(Christus_Emp_Table[[#This Row],[Analyst Name:]],[1]!Table1[Analyst Name],[1]!Table1[Active/Inactive])</f>
        <v>#REF!</v>
      </c>
    </row>
    <row r="47" spans="1:13" x14ac:dyDescent="0.35">
      <c r="A47" s="19" t="s">
        <v>30</v>
      </c>
      <c r="B47" s="20" t="e">
        <f>_xlfn.XLOOKUP(Christus_Emp_Table[[#This Row],[Analyst Name:]],[1]!Table1[Analyst Name],[1]!Table1[Deloitte Email ID])</f>
        <v>#REF!</v>
      </c>
      <c r="C47" s="20" t="e">
        <f>_xlfn.XLOOKUP(Christus_Emp_Table[[#This Row],[Analyst Name:]],[1]!Table1[Analyst Name],[1]!Table1[Module])</f>
        <v>#REF!</v>
      </c>
      <c r="D47" s="20" t="e">
        <f>_xlfn.XLOOKUP(Christus_Emp_Table[[#This Row],[Analyst Name:]],[1]!Table1[Analyst Name],[1]!Table1[Location])</f>
        <v>#REF!</v>
      </c>
      <c r="E47" s="20" t="s">
        <v>23</v>
      </c>
      <c r="F47" s="21">
        <v>45698</v>
      </c>
      <c r="G47" s="21">
        <v>45698</v>
      </c>
      <c r="H47" s="20" t="s">
        <v>23</v>
      </c>
      <c r="I47" s="20" t="s">
        <v>16</v>
      </c>
      <c r="J47" s="20">
        <f>NETWORKDAYS(Christus_Emp_Table[[#This Row],[From Date:]],Christus_Emp_Table[[#This Row],[To Date:]])</f>
        <v>1</v>
      </c>
      <c r="K47" s="20"/>
      <c r="L47" s="20" t="e">
        <f>_xlfn.XLOOKUP(Christus_Emp_Table[[#This Row],[Analyst Name:]],[1]!Table1[Analyst Name],[1]!Table1[Lead])</f>
        <v>#REF!</v>
      </c>
      <c r="M47" s="20" t="e">
        <f>_xlfn.XLOOKUP(Christus_Emp_Table[[#This Row],[Analyst Name:]],[1]!Table1[Analyst Name],[1]!Table1[Active/Inactive])</f>
        <v>#REF!</v>
      </c>
    </row>
    <row r="48" spans="1:13" x14ac:dyDescent="0.35">
      <c r="A48" s="19" t="s">
        <v>31</v>
      </c>
      <c r="B48" s="20" t="e">
        <f>_xlfn.XLOOKUP(Christus_Emp_Table[[#This Row],[Analyst Name:]],[1]!Table1[Analyst Name],[1]!Table1[Deloitte Email ID])</f>
        <v>#REF!</v>
      </c>
      <c r="C48" s="20" t="e">
        <f>_xlfn.XLOOKUP(Christus_Emp_Table[[#This Row],[Analyst Name:]],[1]!Table1[Analyst Name],[1]!Table1[Module])</f>
        <v>#REF!</v>
      </c>
      <c r="D48" s="20" t="e">
        <f>_xlfn.XLOOKUP(Christus_Emp_Table[[#This Row],[Analyst Name:]],[1]!Table1[Analyst Name],[1]!Table1[Location])</f>
        <v>#REF!</v>
      </c>
      <c r="E48" s="20" t="s">
        <v>15</v>
      </c>
      <c r="F48" s="21">
        <v>45712</v>
      </c>
      <c r="G48" s="21">
        <v>45712</v>
      </c>
      <c r="H48" s="20" t="s">
        <v>15</v>
      </c>
      <c r="I48" s="20" t="s">
        <v>16</v>
      </c>
      <c r="J48" s="20">
        <f>NETWORKDAYS(Christus_Emp_Table[[#This Row],[From Date:]],Christus_Emp_Table[[#This Row],[To Date:]])</f>
        <v>1</v>
      </c>
      <c r="K48" s="20"/>
      <c r="L48" s="20" t="e">
        <f>_xlfn.XLOOKUP(Christus_Emp_Table[[#This Row],[Analyst Name:]],[1]!Table1[Analyst Name],[1]!Table1[Lead])</f>
        <v>#REF!</v>
      </c>
      <c r="M48" s="20" t="e">
        <f>_xlfn.XLOOKUP(Christus_Emp_Table[[#This Row],[Analyst Name:]],[1]!Table1[Analyst Name],[1]!Table1[Active/Inactive])</f>
        <v>#REF!</v>
      </c>
    </row>
    <row r="49" spans="1:13" x14ac:dyDescent="0.35">
      <c r="A49" s="19" t="s">
        <v>32</v>
      </c>
      <c r="B49" s="20" t="e">
        <f>_xlfn.XLOOKUP(Christus_Emp_Table[[#This Row],[Analyst Name:]],[1]!Table1[Analyst Name],[1]!Table1[Deloitte Email ID])</f>
        <v>#REF!</v>
      </c>
      <c r="C49" s="20" t="e">
        <f>_xlfn.XLOOKUP(Christus_Emp_Table[[#This Row],[Analyst Name:]],[1]!Table1[Analyst Name],[1]!Table1[Module])</f>
        <v>#REF!</v>
      </c>
      <c r="D49" s="20" t="e">
        <f>_xlfn.XLOOKUP(Christus_Emp_Table[[#This Row],[Analyst Name:]],[1]!Table1[Analyst Name],[1]!Table1[Location])</f>
        <v>#REF!</v>
      </c>
      <c r="E49" s="20" t="s">
        <v>23</v>
      </c>
      <c r="F49" s="21">
        <v>45692</v>
      </c>
      <c r="G49" s="21">
        <v>45692</v>
      </c>
      <c r="H49" s="20" t="s">
        <v>23</v>
      </c>
      <c r="I49" s="20" t="s">
        <v>16</v>
      </c>
      <c r="J49" s="20">
        <f>NETWORKDAYS(Christus_Emp_Table[[#This Row],[From Date:]],Christus_Emp_Table[[#This Row],[To Date:]])</f>
        <v>1</v>
      </c>
      <c r="K49" s="20"/>
      <c r="L49" s="20" t="e">
        <f>_xlfn.XLOOKUP(Christus_Emp_Table[[#This Row],[Analyst Name:]],[1]!Table1[Analyst Name],[1]!Table1[Lead])</f>
        <v>#REF!</v>
      </c>
      <c r="M49" s="20" t="e">
        <f>_xlfn.XLOOKUP(Christus_Emp_Table[[#This Row],[Analyst Name:]],[1]!Table1[Analyst Name],[1]!Table1[Active/Inactive])</f>
        <v>#REF!</v>
      </c>
    </row>
    <row r="50" spans="1:13" x14ac:dyDescent="0.35">
      <c r="A50" s="19" t="s">
        <v>32</v>
      </c>
      <c r="B50" s="20" t="e">
        <f>_xlfn.XLOOKUP(Christus_Emp_Table[[#This Row],[Analyst Name:]],[1]!Table1[Analyst Name],[1]!Table1[Deloitte Email ID])</f>
        <v>#REF!</v>
      </c>
      <c r="C50" s="20" t="e">
        <f>_xlfn.XLOOKUP(Christus_Emp_Table[[#This Row],[Analyst Name:]],[1]!Table1[Analyst Name],[1]!Table1[Module])</f>
        <v>#REF!</v>
      </c>
      <c r="D50" s="20" t="e">
        <f>_xlfn.XLOOKUP(Christus_Emp_Table[[#This Row],[Analyst Name:]],[1]!Table1[Analyst Name],[1]!Table1[Location])</f>
        <v>#REF!</v>
      </c>
      <c r="E50" s="22" t="s">
        <v>19</v>
      </c>
      <c r="F50" s="21">
        <v>45716</v>
      </c>
      <c r="G50" s="21">
        <v>45716</v>
      </c>
      <c r="H50" s="20" t="s">
        <v>20</v>
      </c>
      <c r="I50" s="20" t="s">
        <v>16</v>
      </c>
      <c r="J50" s="20">
        <f>NETWORKDAYS(Christus_Emp_Table[[#This Row],[From Date:]],Christus_Emp_Table[[#This Row],[To Date:]])</f>
        <v>1</v>
      </c>
      <c r="K50" s="20"/>
      <c r="L50" s="20" t="e">
        <f>_xlfn.XLOOKUP(Christus_Emp_Table[[#This Row],[Analyst Name:]],[1]!Table1[Analyst Name],[1]!Table1[Lead])</f>
        <v>#REF!</v>
      </c>
      <c r="M50" s="20" t="e">
        <f>_xlfn.XLOOKUP(Christus_Emp_Table[[#This Row],[Analyst Name:]],[1]!Table1[Analyst Name],[1]!Table1[Active/Inactive])</f>
        <v>#REF!</v>
      </c>
    </row>
    <row r="51" spans="1:13" x14ac:dyDescent="0.35">
      <c r="A51" s="19" t="s">
        <v>34</v>
      </c>
      <c r="B51" s="20" t="e">
        <f>_xlfn.XLOOKUP(Christus_Emp_Table[[#This Row],[Analyst Name:]],[1]!Table1[Analyst Name],[1]!Table1[Deloitte Email ID])</f>
        <v>#REF!</v>
      </c>
      <c r="C51" s="20" t="e">
        <f>_xlfn.XLOOKUP(Christus_Emp_Table[[#This Row],[Analyst Name:]],[1]!Table1[Analyst Name],[1]!Table1[Module])</f>
        <v>#REF!</v>
      </c>
      <c r="D51" s="20" t="e">
        <f>_xlfn.XLOOKUP(Christus_Emp_Table[[#This Row],[Analyst Name:]],[1]!Table1[Analyst Name],[1]!Table1[Location])</f>
        <v>#REF!</v>
      </c>
      <c r="E51" s="20" t="s">
        <v>15</v>
      </c>
      <c r="F51" s="21">
        <v>45705</v>
      </c>
      <c r="G51" s="21">
        <v>45709</v>
      </c>
      <c r="H51" s="20" t="s">
        <v>15</v>
      </c>
      <c r="I51" s="20" t="s">
        <v>16</v>
      </c>
      <c r="J51" s="20">
        <f>NETWORKDAYS(Christus_Emp_Table[[#This Row],[From Date:]],Christus_Emp_Table[[#This Row],[To Date:]])</f>
        <v>5</v>
      </c>
      <c r="K51" s="20"/>
      <c r="L51" s="20" t="e">
        <f>_xlfn.XLOOKUP(Christus_Emp_Table[[#This Row],[Analyst Name:]],[1]!Table1[Analyst Name],[1]!Table1[Lead])</f>
        <v>#REF!</v>
      </c>
      <c r="M51" s="20" t="e">
        <f>_xlfn.XLOOKUP(Christus_Emp_Table[[#This Row],[Analyst Name:]],[1]!Table1[Analyst Name],[1]!Table1[Active/Inactive])</f>
        <v>#REF!</v>
      </c>
    </row>
    <row r="52" spans="1:13" x14ac:dyDescent="0.35">
      <c r="A52" s="19" t="s">
        <v>35</v>
      </c>
      <c r="B52" s="20" t="e">
        <f>_xlfn.XLOOKUP(Christus_Emp_Table[[#This Row],[Analyst Name:]],[1]!Table1[Analyst Name],[1]!Table1[Deloitte Email ID])</f>
        <v>#REF!</v>
      </c>
      <c r="C52" s="20" t="e">
        <f>_xlfn.XLOOKUP(Christus_Emp_Table[[#This Row],[Analyst Name:]],[1]!Table1[Analyst Name],[1]!Table1[Module])</f>
        <v>#REF!</v>
      </c>
      <c r="D52" s="20" t="e">
        <f>_xlfn.XLOOKUP(Christus_Emp_Table[[#This Row],[Analyst Name:]],[1]!Table1[Analyst Name],[1]!Table1[Location])</f>
        <v>#REF!</v>
      </c>
      <c r="E52" s="22" t="s">
        <v>19</v>
      </c>
      <c r="F52" s="21">
        <v>45701</v>
      </c>
      <c r="G52" s="21">
        <v>45701</v>
      </c>
      <c r="H52" s="20" t="s">
        <v>20</v>
      </c>
      <c r="I52" s="20" t="s">
        <v>16</v>
      </c>
      <c r="J52" s="20">
        <f>NETWORKDAYS(Christus_Emp_Table[[#This Row],[From Date:]],Christus_Emp_Table[[#This Row],[To Date:]])</f>
        <v>1</v>
      </c>
      <c r="K52" s="20"/>
      <c r="L52" s="20" t="e">
        <f>_xlfn.XLOOKUP(Christus_Emp_Table[[#This Row],[Analyst Name:]],[1]!Table1[Analyst Name],[1]!Table1[Lead])</f>
        <v>#REF!</v>
      </c>
      <c r="M52" s="20" t="e">
        <f>_xlfn.XLOOKUP(Christus_Emp_Table[[#This Row],[Analyst Name:]],[1]!Table1[Analyst Name],[1]!Table1[Active/Inactive])</f>
        <v>#REF!</v>
      </c>
    </row>
    <row r="53" spans="1:13" x14ac:dyDescent="0.35">
      <c r="A53" s="19" t="s">
        <v>36</v>
      </c>
      <c r="B53" s="20" t="e">
        <f>_xlfn.XLOOKUP(Christus_Emp_Table[[#This Row],[Analyst Name:]],[1]!Table1[Analyst Name],[1]!Table1[Deloitte Email ID])</f>
        <v>#REF!</v>
      </c>
      <c r="C53" s="20" t="e">
        <f>_xlfn.XLOOKUP(Christus_Emp_Table[[#This Row],[Analyst Name:]],[1]!Table1[Analyst Name],[1]!Table1[Module])</f>
        <v>#REF!</v>
      </c>
      <c r="D53" s="20" t="e">
        <f>_xlfn.XLOOKUP(Christus_Emp_Table[[#This Row],[Analyst Name:]],[1]!Table1[Analyst Name],[1]!Table1[Location])</f>
        <v>#REF!</v>
      </c>
      <c r="E53" s="20" t="s">
        <v>15</v>
      </c>
      <c r="F53" s="21">
        <v>45699</v>
      </c>
      <c r="G53" s="21">
        <v>45702</v>
      </c>
      <c r="H53" s="20" t="s">
        <v>15</v>
      </c>
      <c r="I53" s="20" t="s">
        <v>16</v>
      </c>
      <c r="J53" s="20">
        <f>NETWORKDAYS(Christus_Emp_Table[[#This Row],[From Date:]],Christus_Emp_Table[[#This Row],[To Date:]])</f>
        <v>4</v>
      </c>
      <c r="K53" s="20"/>
      <c r="L53" s="20" t="e">
        <f>_xlfn.XLOOKUP(Christus_Emp_Table[[#This Row],[Analyst Name:]],[1]!Table1[Analyst Name],[1]!Table1[Lead])</f>
        <v>#REF!</v>
      </c>
      <c r="M53" s="20" t="e">
        <f>_xlfn.XLOOKUP(Christus_Emp_Table[[#This Row],[Analyst Name:]],[1]!Table1[Analyst Name],[1]!Table1[Active/Inactive])</f>
        <v>#REF!</v>
      </c>
    </row>
    <row r="54" spans="1:13" x14ac:dyDescent="0.35">
      <c r="A54" s="19" t="s">
        <v>37</v>
      </c>
      <c r="B54" s="20" t="e">
        <f>_xlfn.XLOOKUP(Christus_Emp_Table[[#This Row],[Analyst Name:]],[1]!Table1[Analyst Name],[1]!Table1[Deloitte Email ID])</f>
        <v>#REF!</v>
      </c>
      <c r="C54" s="20" t="e">
        <f>_xlfn.XLOOKUP(Christus_Emp_Table[[#This Row],[Analyst Name:]],[1]!Table1[Analyst Name],[1]!Table1[Module])</f>
        <v>#REF!</v>
      </c>
      <c r="D54" s="20" t="e">
        <f>_xlfn.XLOOKUP(Christus_Emp_Table[[#This Row],[Analyst Name:]],[1]!Table1[Analyst Name],[1]!Table1[Location])</f>
        <v>#REF!</v>
      </c>
      <c r="E54" s="22" t="s">
        <v>19</v>
      </c>
      <c r="F54" s="21">
        <v>45707</v>
      </c>
      <c r="G54" s="21">
        <v>45707</v>
      </c>
      <c r="H54" s="20" t="s">
        <v>20</v>
      </c>
      <c r="I54" s="20" t="s">
        <v>16</v>
      </c>
      <c r="J54" s="20">
        <f>NETWORKDAYS(Christus_Emp_Table[[#This Row],[From Date:]],Christus_Emp_Table[[#This Row],[To Date:]])</f>
        <v>1</v>
      </c>
      <c r="K54" s="20"/>
      <c r="L54" s="20" t="e">
        <f>_xlfn.XLOOKUP(Christus_Emp_Table[[#This Row],[Analyst Name:]],[1]!Table1[Analyst Name],[1]!Table1[Lead])</f>
        <v>#REF!</v>
      </c>
      <c r="M54" s="20" t="e">
        <f>_xlfn.XLOOKUP(Christus_Emp_Table[[#This Row],[Analyst Name:]],[1]!Table1[Analyst Name],[1]!Table1[Active/Inactive])</f>
        <v>#REF!</v>
      </c>
    </row>
    <row r="55" spans="1:13" x14ac:dyDescent="0.35">
      <c r="A55" s="19" t="s">
        <v>17</v>
      </c>
      <c r="B55" s="20" t="e">
        <f>_xlfn.XLOOKUP(Christus_Emp_Table[[#This Row],[Analyst Name:]],[1]!Table1[Analyst Name],[1]!Table1[Deloitte Email ID])</f>
        <v>#REF!</v>
      </c>
      <c r="C55" s="20" t="e">
        <f>_xlfn.XLOOKUP(Christus_Emp_Table[[#This Row],[Analyst Name:]],[1]!Table1[Analyst Name],[1]!Table1[Module])</f>
        <v>#REF!</v>
      </c>
      <c r="D55" s="20" t="e">
        <f>_xlfn.XLOOKUP(Christus_Emp_Table[[#This Row],[Analyst Name:]],[1]!Table1[Analyst Name],[1]!Table1[Location])</f>
        <v>#REF!</v>
      </c>
      <c r="E55" s="22" t="s">
        <v>19</v>
      </c>
      <c r="F55" s="21">
        <v>45741</v>
      </c>
      <c r="G55" s="21">
        <v>45741</v>
      </c>
      <c r="H55" s="20" t="s">
        <v>20</v>
      </c>
      <c r="I55" s="20" t="s">
        <v>16</v>
      </c>
      <c r="J55" s="20">
        <f>NETWORKDAYS(Christus_Emp_Table[[#This Row],[From Date:]],Christus_Emp_Table[[#This Row],[To Date:]])</f>
        <v>1</v>
      </c>
      <c r="K55" s="20"/>
      <c r="L55" s="20" t="e">
        <f>_xlfn.XLOOKUP(Christus_Emp_Table[[#This Row],[Analyst Name:]],[1]!Table1[Analyst Name],[1]!Table1[Lead])</f>
        <v>#REF!</v>
      </c>
      <c r="M55" s="20" t="e">
        <f>_xlfn.XLOOKUP(Christus_Emp_Table[[#This Row],[Analyst Name:]],[1]!Table1[Analyst Name],[1]!Table1[Active/Inactive])</f>
        <v>#REF!</v>
      </c>
    </row>
    <row r="56" spans="1:13" x14ac:dyDescent="0.35">
      <c r="A56" s="19" t="s">
        <v>21</v>
      </c>
      <c r="B56" s="20" t="e">
        <f>_xlfn.XLOOKUP(Christus_Emp_Table[[#This Row],[Analyst Name:]],[1]!Table1[Analyst Name],[1]!Table1[Deloitte Email ID])</f>
        <v>#REF!</v>
      </c>
      <c r="C56" s="20" t="e">
        <f>_xlfn.XLOOKUP(Christus_Emp_Table[[#This Row],[Analyst Name:]],[1]!Table1[Analyst Name],[1]!Table1[Module])</f>
        <v>#REF!</v>
      </c>
      <c r="D56" s="20" t="e">
        <f>_xlfn.XLOOKUP(Christus_Emp_Table[[#This Row],[Analyst Name:]],[1]!Table1[Analyst Name],[1]!Table1[Location])</f>
        <v>#REF!</v>
      </c>
      <c r="E56" s="22" t="s">
        <v>19</v>
      </c>
      <c r="F56" s="21">
        <v>45744</v>
      </c>
      <c r="G56" s="21">
        <v>45744</v>
      </c>
      <c r="H56" s="20" t="s">
        <v>20</v>
      </c>
      <c r="I56" s="20" t="s">
        <v>16</v>
      </c>
      <c r="J56" s="20">
        <f>NETWORKDAYS(Christus_Emp_Table[[#This Row],[From Date:]],Christus_Emp_Table[[#This Row],[To Date:]])</f>
        <v>1</v>
      </c>
      <c r="K56" s="20"/>
      <c r="L56" s="20" t="e">
        <f>_xlfn.XLOOKUP(Christus_Emp_Table[[#This Row],[Analyst Name:]],[1]!Table1[Analyst Name],[1]!Table1[Lead])</f>
        <v>#REF!</v>
      </c>
      <c r="M56" s="20" t="e">
        <f>_xlfn.XLOOKUP(Christus_Emp_Table[[#This Row],[Analyst Name:]],[1]!Table1[Analyst Name],[1]!Table1[Active/Inactive])</f>
        <v>#REF!</v>
      </c>
    </row>
    <row r="57" spans="1:13" x14ac:dyDescent="0.35">
      <c r="A57" s="19" t="s">
        <v>22</v>
      </c>
      <c r="B57" s="20" t="e">
        <f>_xlfn.XLOOKUP(Christus_Emp_Table[[#This Row],[Analyst Name:]],[1]!Table1[Analyst Name],[1]!Table1[Deloitte Email ID])</f>
        <v>#REF!</v>
      </c>
      <c r="C57" s="20" t="e">
        <f>_xlfn.XLOOKUP(Christus_Emp_Table[[#This Row],[Analyst Name:]],[1]!Table1[Analyst Name],[1]!Table1[Module])</f>
        <v>#REF!</v>
      </c>
      <c r="D57" s="20" t="e">
        <f>_xlfn.XLOOKUP(Christus_Emp_Table[[#This Row],[Analyst Name:]],[1]!Table1[Analyst Name],[1]!Table1[Location])</f>
        <v>#REF!</v>
      </c>
      <c r="E57" s="22" t="s">
        <v>19</v>
      </c>
      <c r="F57" s="21">
        <v>45719</v>
      </c>
      <c r="G57" s="21">
        <v>45719</v>
      </c>
      <c r="H57" s="20" t="s">
        <v>20</v>
      </c>
      <c r="I57" s="20" t="s">
        <v>16</v>
      </c>
      <c r="J57" s="20">
        <f>NETWORKDAYS(Christus_Emp_Table[[#This Row],[From Date:]],Christus_Emp_Table[[#This Row],[To Date:]])</f>
        <v>1</v>
      </c>
      <c r="K57" s="20"/>
      <c r="L57" s="20" t="e">
        <f>_xlfn.XLOOKUP(Christus_Emp_Table[[#This Row],[Analyst Name:]],[1]!Table1[Analyst Name],[1]!Table1[Lead])</f>
        <v>#REF!</v>
      </c>
      <c r="M57" s="20" t="e">
        <f>_xlfn.XLOOKUP(Christus_Emp_Table[[#This Row],[Analyst Name:]],[1]!Table1[Analyst Name],[1]!Table1[Active/Inactive])</f>
        <v>#REF!</v>
      </c>
    </row>
    <row r="58" spans="1:13" x14ac:dyDescent="0.35">
      <c r="A58" s="19" t="s">
        <v>24</v>
      </c>
      <c r="B58" s="20" t="e">
        <f>_xlfn.XLOOKUP(Christus_Emp_Table[[#This Row],[Analyst Name:]],[1]!Table1[Analyst Name],[1]!Table1[Deloitte Email ID])</f>
        <v>#REF!</v>
      </c>
      <c r="C58" s="20" t="e">
        <f>_xlfn.XLOOKUP(Christus_Emp_Table[[#This Row],[Analyst Name:]],[1]!Table1[Analyst Name],[1]!Table1[Module])</f>
        <v>#REF!</v>
      </c>
      <c r="D58" s="20" t="e">
        <f>_xlfn.XLOOKUP(Christus_Emp_Table[[#This Row],[Analyst Name:]],[1]!Table1[Analyst Name],[1]!Table1[Location])</f>
        <v>#REF!</v>
      </c>
      <c r="E58" s="22" t="s">
        <v>19</v>
      </c>
      <c r="F58" s="21">
        <v>45740</v>
      </c>
      <c r="G58" s="21">
        <v>45744</v>
      </c>
      <c r="H58" s="20" t="s">
        <v>20</v>
      </c>
      <c r="I58" s="20" t="s">
        <v>16</v>
      </c>
      <c r="J58" s="20">
        <f>NETWORKDAYS(Christus_Emp_Table[[#This Row],[From Date:]],Christus_Emp_Table[[#This Row],[To Date:]])</f>
        <v>5</v>
      </c>
      <c r="K58" s="20"/>
      <c r="L58" s="20" t="e">
        <f>_xlfn.XLOOKUP(Christus_Emp_Table[[#This Row],[Analyst Name:]],[1]!Table1[Analyst Name],[1]!Table1[Lead])</f>
        <v>#REF!</v>
      </c>
      <c r="M58" s="20" t="e">
        <f>_xlfn.XLOOKUP(Christus_Emp_Table[[#This Row],[Analyst Name:]],[1]!Table1[Analyst Name],[1]!Table1[Active/Inactive])</f>
        <v>#REF!</v>
      </c>
    </row>
    <row r="59" spans="1:13" x14ac:dyDescent="0.35">
      <c r="A59" s="19" t="s">
        <v>38</v>
      </c>
      <c r="B59" s="20" t="e">
        <f>_xlfn.XLOOKUP(Christus_Emp_Table[[#This Row],[Analyst Name:]],[1]!Table1[Analyst Name],[1]!Table1[Deloitte Email ID])</f>
        <v>#REF!</v>
      </c>
      <c r="C59" s="20" t="e">
        <f>_xlfn.XLOOKUP(Christus_Emp_Table[[#This Row],[Analyst Name:]],[1]!Table1[Analyst Name],[1]!Table1[Module])</f>
        <v>#REF!</v>
      </c>
      <c r="D59" s="20" t="e">
        <f>_xlfn.XLOOKUP(Christus_Emp_Table[[#This Row],[Analyst Name:]],[1]!Table1[Analyst Name],[1]!Table1[Location])</f>
        <v>#REF!</v>
      </c>
      <c r="E59" s="20" t="s">
        <v>15</v>
      </c>
      <c r="F59" s="21">
        <v>45719</v>
      </c>
      <c r="G59" s="21">
        <v>45720</v>
      </c>
      <c r="H59" s="20" t="s">
        <v>15</v>
      </c>
      <c r="I59" s="20" t="s">
        <v>16</v>
      </c>
      <c r="J59" s="20">
        <f>NETWORKDAYS(Christus_Emp_Table[[#This Row],[From Date:]],Christus_Emp_Table[[#This Row],[To Date:]])</f>
        <v>2</v>
      </c>
      <c r="K59" s="20"/>
      <c r="L59" s="20" t="e">
        <f>_xlfn.XLOOKUP(Christus_Emp_Table[[#This Row],[Analyst Name:]],[1]!Table1[Analyst Name],[1]!Table1[Lead])</f>
        <v>#REF!</v>
      </c>
      <c r="M59" s="20" t="e">
        <f>_xlfn.XLOOKUP(Christus_Emp_Table[[#This Row],[Analyst Name:]],[1]!Table1[Analyst Name],[1]!Table1[Active/Inactive])</f>
        <v>#REF!</v>
      </c>
    </row>
    <row r="60" spans="1:13" x14ac:dyDescent="0.35">
      <c r="A60" s="19" t="s">
        <v>38</v>
      </c>
      <c r="B60" s="20" t="e">
        <f>_xlfn.XLOOKUP(Christus_Emp_Table[[#This Row],[Analyst Name:]],[1]!Table1[Analyst Name],[1]!Table1[Deloitte Email ID])</f>
        <v>#REF!</v>
      </c>
      <c r="C60" s="20" t="e">
        <f>_xlfn.XLOOKUP(Christus_Emp_Table[[#This Row],[Analyst Name:]],[1]!Table1[Analyst Name],[1]!Table1[Module])</f>
        <v>#REF!</v>
      </c>
      <c r="D60" s="20" t="e">
        <f>_xlfn.XLOOKUP(Christus_Emp_Table[[#This Row],[Analyst Name:]],[1]!Table1[Analyst Name],[1]!Table1[Location])</f>
        <v>#REF!</v>
      </c>
      <c r="E60" s="20" t="s">
        <v>15</v>
      </c>
      <c r="F60" s="21">
        <v>45722</v>
      </c>
      <c r="G60" s="21">
        <v>45723</v>
      </c>
      <c r="H60" s="20" t="s">
        <v>15</v>
      </c>
      <c r="I60" s="20" t="s">
        <v>16</v>
      </c>
      <c r="J60" s="20">
        <f>NETWORKDAYS(Christus_Emp_Table[[#This Row],[From Date:]],Christus_Emp_Table[[#This Row],[To Date:]])</f>
        <v>2</v>
      </c>
      <c r="K60" s="20"/>
      <c r="L60" s="20" t="e">
        <f>_xlfn.XLOOKUP(Christus_Emp_Table[[#This Row],[Analyst Name:]],[1]!Table1[Analyst Name],[1]!Table1[Lead])</f>
        <v>#REF!</v>
      </c>
      <c r="M60" s="20" t="e">
        <f>_xlfn.XLOOKUP(Christus_Emp_Table[[#This Row],[Analyst Name:]],[1]!Table1[Analyst Name],[1]!Table1[Active/Inactive])</f>
        <v>#REF!</v>
      </c>
    </row>
    <row r="61" spans="1:13" x14ac:dyDescent="0.35">
      <c r="A61" s="19" t="s">
        <v>38</v>
      </c>
      <c r="B61" s="20" t="e">
        <f>_xlfn.XLOOKUP(Christus_Emp_Table[[#This Row],[Analyst Name:]],[1]!Table1[Analyst Name],[1]!Table1[Deloitte Email ID])</f>
        <v>#REF!</v>
      </c>
      <c r="C61" s="20" t="e">
        <f>_xlfn.XLOOKUP(Christus_Emp_Table[[#This Row],[Analyst Name:]],[1]!Table1[Analyst Name],[1]!Table1[Module])</f>
        <v>#REF!</v>
      </c>
      <c r="D61" s="20" t="e">
        <f>_xlfn.XLOOKUP(Christus_Emp_Table[[#This Row],[Analyst Name:]],[1]!Table1[Analyst Name],[1]!Table1[Location])</f>
        <v>#REF!</v>
      </c>
      <c r="E61" s="20" t="s">
        <v>15</v>
      </c>
      <c r="F61" s="21">
        <v>45733</v>
      </c>
      <c r="G61" s="21">
        <v>45733</v>
      </c>
      <c r="H61" s="20" t="s">
        <v>15</v>
      </c>
      <c r="I61" s="20" t="s">
        <v>16</v>
      </c>
      <c r="J61" s="20">
        <f>NETWORKDAYS(Christus_Emp_Table[[#This Row],[From Date:]],Christus_Emp_Table[[#This Row],[To Date:]])</f>
        <v>1</v>
      </c>
      <c r="K61" s="20"/>
      <c r="L61" s="20" t="e">
        <f>_xlfn.XLOOKUP(Christus_Emp_Table[[#This Row],[Analyst Name:]],[1]!Table1[Analyst Name],[1]!Table1[Lead])</f>
        <v>#REF!</v>
      </c>
      <c r="M61" s="20" t="e">
        <f>_xlfn.XLOOKUP(Christus_Emp_Table[[#This Row],[Analyst Name:]],[1]!Table1[Analyst Name],[1]!Table1[Active/Inactive])</f>
        <v>#REF!</v>
      </c>
    </row>
    <row r="62" spans="1:13" x14ac:dyDescent="0.35">
      <c r="A62" s="19" t="s">
        <v>27</v>
      </c>
      <c r="B62" s="20" t="e">
        <f>_xlfn.XLOOKUP(Christus_Emp_Table[[#This Row],[Analyst Name:]],[1]!Table1[Analyst Name],[1]!Table1[Deloitte Email ID])</f>
        <v>#REF!</v>
      </c>
      <c r="C62" s="20" t="e">
        <f>_xlfn.XLOOKUP(Christus_Emp_Table[[#This Row],[Analyst Name:]],[1]!Table1[Analyst Name],[1]!Table1[Module])</f>
        <v>#REF!</v>
      </c>
      <c r="D62" s="20" t="e">
        <f>_xlfn.XLOOKUP(Christus_Emp_Table[[#This Row],[Analyst Name:]],[1]!Table1[Analyst Name],[1]!Table1[Location])</f>
        <v>#REF!</v>
      </c>
      <c r="E62" s="22" t="s">
        <v>19</v>
      </c>
      <c r="F62" s="21">
        <v>45723</v>
      </c>
      <c r="G62" s="21">
        <v>45723</v>
      </c>
      <c r="H62" s="20" t="s">
        <v>20</v>
      </c>
      <c r="I62" s="20" t="s">
        <v>16</v>
      </c>
      <c r="J62" s="20">
        <f>NETWORKDAYS(Christus_Emp_Table[[#This Row],[From Date:]],Christus_Emp_Table[[#This Row],[To Date:]])</f>
        <v>1</v>
      </c>
      <c r="K62" s="20"/>
      <c r="L62" s="20" t="e">
        <f>_xlfn.XLOOKUP(Christus_Emp_Table[[#This Row],[Analyst Name:]],[1]!Table1[Analyst Name],[1]!Table1[Lead])</f>
        <v>#REF!</v>
      </c>
      <c r="M62" s="20" t="e">
        <f>_xlfn.XLOOKUP(Christus_Emp_Table[[#This Row],[Analyst Name:]],[1]!Table1[Analyst Name],[1]!Table1[Active/Inactive])</f>
        <v>#REF!</v>
      </c>
    </row>
    <row r="63" spans="1:13" x14ac:dyDescent="0.35">
      <c r="A63" s="19" t="s">
        <v>28</v>
      </c>
      <c r="B63" s="20" t="e">
        <f>_xlfn.XLOOKUP(Christus_Emp_Table[[#This Row],[Analyst Name:]],[1]!Table1[Analyst Name],[1]!Table1[Deloitte Email ID])</f>
        <v>#REF!</v>
      </c>
      <c r="C63" s="20" t="e">
        <f>_xlfn.XLOOKUP(Christus_Emp_Table[[#This Row],[Analyst Name:]],[1]!Table1[Analyst Name],[1]!Table1[Module])</f>
        <v>#REF!</v>
      </c>
      <c r="D63" s="20" t="e">
        <f>_xlfn.XLOOKUP(Christus_Emp_Table[[#This Row],[Analyst Name:]],[1]!Table1[Analyst Name],[1]!Table1[Location])</f>
        <v>#REF!</v>
      </c>
      <c r="E63" s="22" t="s">
        <v>19</v>
      </c>
      <c r="F63" s="21">
        <v>45726</v>
      </c>
      <c r="G63" s="21">
        <v>45726</v>
      </c>
      <c r="H63" s="20" t="s">
        <v>20</v>
      </c>
      <c r="I63" s="20" t="s">
        <v>16</v>
      </c>
      <c r="J63" s="20">
        <f>NETWORKDAYS(Christus_Emp_Table[[#This Row],[From Date:]],Christus_Emp_Table[[#This Row],[To Date:]])</f>
        <v>1</v>
      </c>
      <c r="K63" s="20"/>
      <c r="L63" s="20" t="e">
        <f>_xlfn.XLOOKUP(Christus_Emp_Table[[#This Row],[Analyst Name:]],[1]!Table1[Analyst Name],[1]!Table1[Lead])</f>
        <v>#REF!</v>
      </c>
      <c r="M63" s="20" t="e">
        <f>_xlfn.XLOOKUP(Christus_Emp_Table[[#This Row],[Analyst Name:]],[1]!Table1[Analyst Name],[1]!Table1[Active/Inactive])</f>
        <v>#REF!</v>
      </c>
    </row>
    <row r="64" spans="1:13" x14ac:dyDescent="0.35">
      <c r="A64" s="19" t="s">
        <v>39</v>
      </c>
      <c r="B64" s="20" t="e">
        <f>_xlfn.XLOOKUP(Christus_Emp_Table[[#This Row],[Analyst Name:]],[1]!Table1[Analyst Name],[1]!Table1[Deloitte Email ID])</f>
        <v>#REF!</v>
      </c>
      <c r="C64" s="20" t="e">
        <f>_xlfn.XLOOKUP(Christus_Emp_Table[[#This Row],[Analyst Name:]],[1]!Table1[Analyst Name],[1]!Table1[Module])</f>
        <v>#REF!</v>
      </c>
      <c r="D64" s="20" t="e">
        <f>_xlfn.XLOOKUP(Christus_Emp_Table[[#This Row],[Analyst Name:]],[1]!Table1[Analyst Name],[1]!Table1[Location])</f>
        <v>#REF!</v>
      </c>
      <c r="E64" s="20" t="s">
        <v>15</v>
      </c>
      <c r="F64" s="21">
        <v>45726</v>
      </c>
      <c r="G64" s="21">
        <v>45730</v>
      </c>
      <c r="H64" s="20" t="s">
        <v>15</v>
      </c>
      <c r="I64" s="20" t="s">
        <v>16</v>
      </c>
      <c r="J64" s="20">
        <f>NETWORKDAYS(Christus_Emp_Table[[#This Row],[From Date:]],Christus_Emp_Table[[#This Row],[To Date:]])</f>
        <v>5</v>
      </c>
      <c r="K64" s="20"/>
      <c r="L64" s="20" t="e">
        <f>_xlfn.XLOOKUP(Christus_Emp_Table[[#This Row],[Analyst Name:]],[1]!Table1[Analyst Name],[1]!Table1[Lead])</f>
        <v>#REF!</v>
      </c>
      <c r="M64" s="20" t="e">
        <f>_xlfn.XLOOKUP(Christus_Emp_Table[[#This Row],[Analyst Name:]],[1]!Table1[Analyst Name],[1]!Table1[Active/Inactive])</f>
        <v>#REF!</v>
      </c>
    </row>
    <row r="65" spans="1:13" x14ac:dyDescent="0.35">
      <c r="A65" s="19" t="s">
        <v>29</v>
      </c>
      <c r="B65" s="20" t="e">
        <f>_xlfn.XLOOKUP(Christus_Emp_Table[[#This Row],[Analyst Name:]],[1]!Table1[Analyst Name],[1]!Table1[Deloitte Email ID])</f>
        <v>#REF!</v>
      </c>
      <c r="C65" s="20" t="e">
        <f>_xlfn.XLOOKUP(Christus_Emp_Table[[#This Row],[Analyst Name:]],[1]!Table1[Analyst Name],[1]!Table1[Module])</f>
        <v>#REF!</v>
      </c>
      <c r="D65" s="20" t="e">
        <f>_xlfn.XLOOKUP(Christus_Emp_Table[[#This Row],[Analyst Name:]],[1]!Table1[Analyst Name],[1]!Table1[Location])</f>
        <v>#REF!</v>
      </c>
      <c r="E65" s="20" t="s">
        <v>15</v>
      </c>
      <c r="F65" s="21">
        <v>45730</v>
      </c>
      <c r="G65" s="21">
        <v>45730</v>
      </c>
      <c r="H65" s="20" t="s">
        <v>15</v>
      </c>
      <c r="I65" s="20" t="s">
        <v>16</v>
      </c>
      <c r="J65" s="20">
        <f>NETWORKDAYS(Christus_Emp_Table[[#This Row],[From Date:]],Christus_Emp_Table[[#This Row],[To Date:]])</f>
        <v>1</v>
      </c>
      <c r="K65" s="20"/>
      <c r="L65" s="20" t="e">
        <f>_xlfn.XLOOKUP(Christus_Emp_Table[[#This Row],[Analyst Name:]],[1]!Table1[Analyst Name],[1]!Table1[Lead])</f>
        <v>#REF!</v>
      </c>
      <c r="M65" s="20" t="e">
        <f>_xlfn.XLOOKUP(Christus_Emp_Table[[#This Row],[Analyst Name:]],[1]!Table1[Analyst Name],[1]!Table1[Active/Inactive])</f>
        <v>#REF!</v>
      </c>
    </row>
    <row r="66" spans="1:13" x14ac:dyDescent="0.35">
      <c r="A66" s="19" t="s">
        <v>40</v>
      </c>
      <c r="B66" s="20" t="e">
        <f>_xlfn.XLOOKUP(Christus_Emp_Table[[#This Row],[Analyst Name:]],[1]!Table1[Analyst Name],[1]!Table1[Deloitte Email ID])</f>
        <v>#REF!</v>
      </c>
      <c r="C66" s="20" t="e">
        <f>_xlfn.XLOOKUP(Christus_Emp_Table[[#This Row],[Analyst Name:]],[1]!Table1[Analyst Name],[1]!Table1[Module])</f>
        <v>#REF!</v>
      </c>
      <c r="D66" s="20" t="e">
        <f>_xlfn.XLOOKUP(Christus_Emp_Table[[#This Row],[Analyst Name:]],[1]!Table1[Analyst Name],[1]!Table1[Location])</f>
        <v>#REF!</v>
      </c>
      <c r="E66" s="20" t="s">
        <v>15</v>
      </c>
      <c r="F66" s="21">
        <v>45740</v>
      </c>
      <c r="G66" s="21">
        <v>45742</v>
      </c>
      <c r="H66" s="20" t="s">
        <v>15</v>
      </c>
      <c r="I66" s="20" t="s">
        <v>16</v>
      </c>
      <c r="J66" s="20">
        <f>NETWORKDAYS(Christus_Emp_Table[[#This Row],[From Date:]],Christus_Emp_Table[[#This Row],[To Date:]])</f>
        <v>3</v>
      </c>
      <c r="K66" s="20"/>
      <c r="L66" s="20" t="e">
        <f>_xlfn.XLOOKUP(Christus_Emp_Table[[#This Row],[Analyst Name:]],[1]!Table1[Analyst Name],[1]!Table1[Lead])</f>
        <v>#REF!</v>
      </c>
      <c r="M66" s="20" t="e">
        <f>_xlfn.XLOOKUP(Christus_Emp_Table[[#This Row],[Analyst Name:]],[1]!Table1[Analyst Name],[1]!Table1[Active/Inactive])</f>
        <v>#REF!</v>
      </c>
    </row>
    <row r="67" spans="1:13" x14ac:dyDescent="0.35">
      <c r="A67" s="19" t="s">
        <v>33</v>
      </c>
      <c r="B67" s="20" t="e">
        <f>_xlfn.XLOOKUP(Christus_Emp_Table[[#This Row],[Analyst Name:]],[1]!Table1[Analyst Name],[1]!Table1[Deloitte Email ID])</f>
        <v>#REF!</v>
      </c>
      <c r="C67" s="20" t="e">
        <f>_xlfn.XLOOKUP(Christus_Emp_Table[[#This Row],[Analyst Name:]],[1]!Table1[Analyst Name],[1]!Table1[Module])</f>
        <v>#REF!</v>
      </c>
      <c r="D67" s="20" t="e">
        <f>_xlfn.XLOOKUP(Christus_Emp_Table[[#This Row],[Analyst Name:]],[1]!Table1[Analyst Name],[1]!Table1[Location])</f>
        <v>#REF!</v>
      </c>
      <c r="E67" s="20" t="s">
        <v>15</v>
      </c>
      <c r="F67" s="21">
        <v>45744</v>
      </c>
      <c r="G67" s="21">
        <v>45744</v>
      </c>
      <c r="H67" s="20" t="s">
        <v>15</v>
      </c>
      <c r="I67" s="20" t="s">
        <v>16</v>
      </c>
      <c r="J67" s="20">
        <f>NETWORKDAYS(Christus_Emp_Table[[#This Row],[From Date:]],Christus_Emp_Table[[#This Row],[To Date:]])</f>
        <v>1</v>
      </c>
      <c r="K67" s="20"/>
      <c r="L67" s="20" t="e">
        <f>_xlfn.XLOOKUP(Christus_Emp_Table[[#This Row],[Analyst Name:]],[1]!Table1[Analyst Name],[1]!Table1[Lead])</f>
        <v>#REF!</v>
      </c>
      <c r="M67" s="20" t="e">
        <f>_xlfn.XLOOKUP(Christus_Emp_Table[[#This Row],[Analyst Name:]],[1]!Table1[Analyst Name],[1]!Table1[Active/Inactive])</f>
        <v>#REF!</v>
      </c>
    </row>
    <row r="68" spans="1:13" x14ac:dyDescent="0.35">
      <c r="A68" s="19" t="s">
        <v>35</v>
      </c>
      <c r="B68" s="20" t="e">
        <f>_xlfn.XLOOKUP(Christus_Emp_Table[[#This Row],[Analyst Name:]],[1]!Table1[Analyst Name],[1]!Table1[Deloitte Email ID])</f>
        <v>#REF!</v>
      </c>
      <c r="C68" s="20" t="e">
        <f>_xlfn.XLOOKUP(Christus_Emp_Table[[#This Row],[Analyst Name:]],[1]!Table1[Analyst Name],[1]!Table1[Module])</f>
        <v>#REF!</v>
      </c>
      <c r="D68" s="20" t="e">
        <f>_xlfn.XLOOKUP(Christus_Emp_Table[[#This Row],[Analyst Name:]],[1]!Table1[Analyst Name],[1]!Table1[Location])</f>
        <v>#REF!</v>
      </c>
      <c r="E68" s="22" t="s">
        <v>19</v>
      </c>
      <c r="F68" s="21">
        <v>45740</v>
      </c>
      <c r="G68" s="21">
        <v>45740</v>
      </c>
      <c r="H68" s="20" t="s">
        <v>20</v>
      </c>
      <c r="I68" s="20" t="s">
        <v>16</v>
      </c>
      <c r="J68" s="20">
        <f>NETWORKDAYS(Christus_Emp_Table[[#This Row],[From Date:]],Christus_Emp_Table[[#This Row],[To Date:]])</f>
        <v>1</v>
      </c>
      <c r="K68" s="20"/>
      <c r="L68" s="20" t="e">
        <f>_xlfn.XLOOKUP(Christus_Emp_Table[[#This Row],[Analyst Name:]],[1]!Table1[Analyst Name],[1]!Table1[Lead])</f>
        <v>#REF!</v>
      </c>
      <c r="M68" s="20" t="e">
        <f>_xlfn.XLOOKUP(Christus_Emp_Table[[#This Row],[Analyst Name:]],[1]!Table1[Analyst Name],[1]!Table1[Active/Inactive])</f>
        <v>#REF!</v>
      </c>
    </row>
    <row r="69" spans="1:13" x14ac:dyDescent="0.35">
      <c r="A69" s="19" t="s">
        <v>36</v>
      </c>
      <c r="B69" s="20" t="e">
        <f>_xlfn.XLOOKUP(Christus_Emp_Table[[#This Row],[Analyst Name:]],[1]!Table1[Analyst Name],[1]!Table1[Deloitte Email ID])</f>
        <v>#REF!</v>
      </c>
      <c r="C69" s="20" t="e">
        <f>_xlfn.XLOOKUP(Christus_Emp_Table[[#This Row],[Analyst Name:]],[1]!Table1[Analyst Name],[1]!Table1[Module])</f>
        <v>#REF!</v>
      </c>
      <c r="D69" s="20" t="e">
        <f>_xlfn.XLOOKUP(Christus_Emp_Table[[#This Row],[Analyst Name:]],[1]!Table1[Analyst Name],[1]!Table1[Location])</f>
        <v>#REF!</v>
      </c>
      <c r="E69" s="22" t="s">
        <v>19</v>
      </c>
      <c r="F69" s="21">
        <v>45735</v>
      </c>
      <c r="G69" s="21">
        <v>45735</v>
      </c>
      <c r="H69" s="20" t="s">
        <v>20</v>
      </c>
      <c r="I69" s="20" t="s">
        <v>16</v>
      </c>
      <c r="J69" s="20">
        <f>NETWORKDAYS(Christus_Emp_Table[[#This Row],[From Date:]],Christus_Emp_Table[[#This Row],[To Date:]])</f>
        <v>1</v>
      </c>
      <c r="K69" s="20"/>
      <c r="L69" s="20" t="e">
        <f>_xlfn.XLOOKUP(Christus_Emp_Table[[#This Row],[Analyst Name:]],[1]!Table1[Analyst Name],[1]!Table1[Lead])</f>
        <v>#REF!</v>
      </c>
      <c r="M69" s="20" t="e">
        <f>_xlfn.XLOOKUP(Christus_Emp_Table[[#This Row],[Analyst Name:]],[1]!Table1[Analyst Name],[1]!Table1[Active/Inactive])</f>
        <v>#REF!</v>
      </c>
    </row>
    <row r="70" spans="1:13" x14ac:dyDescent="0.35">
      <c r="A70" s="19" t="s">
        <v>36</v>
      </c>
      <c r="B70" s="20" t="e">
        <f>_xlfn.XLOOKUP(Christus_Emp_Table[[#This Row],[Analyst Name:]],[1]!Table1[Analyst Name],[1]!Table1[Deloitte Email ID])</f>
        <v>#REF!</v>
      </c>
      <c r="C70" s="20" t="e">
        <f>_xlfn.XLOOKUP(Christus_Emp_Table[[#This Row],[Analyst Name:]],[1]!Table1[Analyst Name],[1]!Table1[Module])</f>
        <v>#REF!</v>
      </c>
      <c r="D70" s="20" t="e">
        <f>_xlfn.XLOOKUP(Christus_Emp_Table[[#This Row],[Analyst Name:]],[1]!Table1[Analyst Name],[1]!Table1[Location])</f>
        <v>#REF!</v>
      </c>
      <c r="E70" s="20" t="s">
        <v>15</v>
      </c>
      <c r="F70" s="21">
        <v>45744</v>
      </c>
      <c r="G70" s="21">
        <v>45744</v>
      </c>
      <c r="H70" s="20" t="s">
        <v>15</v>
      </c>
      <c r="I70" s="20" t="s">
        <v>16</v>
      </c>
      <c r="J70" s="20">
        <f>NETWORKDAYS(Christus_Emp_Table[[#This Row],[From Date:]],Christus_Emp_Table[[#This Row],[To Date:]])</f>
        <v>1</v>
      </c>
      <c r="K70" s="20"/>
      <c r="L70" s="20" t="e">
        <f>_xlfn.XLOOKUP(Christus_Emp_Table[[#This Row],[Analyst Name:]],[1]!Table1[Analyst Name],[1]!Table1[Lead])</f>
        <v>#REF!</v>
      </c>
      <c r="M70" s="20" t="e">
        <f>_xlfn.XLOOKUP(Christus_Emp_Table[[#This Row],[Analyst Name:]],[1]!Table1[Analyst Name],[1]!Table1[Active/Inactive])</f>
        <v>#REF!</v>
      </c>
    </row>
    <row r="71" spans="1:13" x14ac:dyDescent="0.35">
      <c r="A71" s="19" t="s">
        <v>37</v>
      </c>
      <c r="B71" s="20" t="e">
        <f>_xlfn.XLOOKUP(Christus_Emp_Table[[#This Row],[Analyst Name:]],[1]!Table1[Analyst Name],[1]!Table1[Deloitte Email ID])</f>
        <v>#REF!</v>
      </c>
      <c r="C71" s="20" t="e">
        <f>_xlfn.XLOOKUP(Christus_Emp_Table[[#This Row],[Analyst Name:]],[1]!Table1[Analyst Name],[1]!Table1[Module])</f>
        <v>#REF!</v>
      </c>
      <c r="D71" s="20" t="e">
        <f>_xlfn.XLOOKUP(Christus_Emp_Table[[#This Row],[Analyst Name:]],[1]!Table1[Analyst Name],[1]!Table1[Location])</f>
        <v>#REF!</v>
      </c>
      <c r="E71" s="20" t="s">
        <v>15</v>
      </c>
      <c r="F71" s="21">
        <v>45737</v>
      </c>
      <c r="G71" s="21">
        <v>45744</v>
      </c>
      <c r="H71" s="20" t="s">
        <v>15</v>
      </c>
      <c r="I71" s="20" t="s">
        <v>16</v>
      </c>
      <c r="J71" s="20">
        <f>NETWORKDAYS(Christus_Emp_Table[[#This Row],[From Date:]],Christus_Emp_Table[[#This Row],[To Date:]])</f>
        <v>6</v>
      </c>
      <c r="K71" s="20"/>
      <c r="L71" s="20" t="e">
        <f>_xlfn.XLOOKUP(Christus_Emp_Table[[#This Row],[Analyst Name:]],[1]!Table1[Analyst Name],[1]!Table1[Lead])</f>
        <v>#REF!</v>
      </c>
      <c r="M71" s="20" t="e">
        <f>_xlfn.XLOOKUP(Christus_Emp_Table[[#This Row],[Analyst Name:]],[1]!Table1[Analyst Name],[1]!Table1[Active/Inactive])</f>
        <v>#REF!</v>
      </c>
    </row>
    <row r="72" spans="1:13" x14ac:dyDescent="0.35">
      <c r="A72" s="19" t="s">
        <v>14</v>
      </c>
      <c r="B72" s="20" t="e">
        <f>_xlfn.XLOOKUP(Christus_Emp_Table[[#This Row],[Analyst Name:]],[1]!Table1[Analyst Name],[1]!Table1[Deloitte Email ID])</f>
        <v>#REF!</v>
      </c>
      <c r="C72" s="20" t="e">
        <f>_xlfn.XLOOKUP(Christus_Emp_Table[[#This Row],[Analyst Name:]],[1]!Table1[Analyst Name],[1]!Table1[Module])</f>
        <v>#REF!</v>
      </c>
      <c r="D72" s="20" t="e">
        <f>_xlfn.XLOOKUP(Christus_Emp_Table[[#This Row],[Analyst Name:]],[1]!Table1[Analyst Name],[1]!Table1[Location])</f>
        <v>#REF!</v>
      </c>
      <c r="E72" s="20" t="s">
        <v>15</v>
      </c>
      <c r="F72" s="21">
        <v>45733</v>
      </c>
      <c r="G72" s="21">
        <v>45733</v>
      </c>
      <c r="H72" s="20" t="s">
        <v>15</v>
      </c>
      <c r="I72" s="20" t="s">
        <v>16</v>
      </c>
      <c r="J72" s="20">
        <f>NETWORKDAYS(Christus_Emp_Table[[#This Row],[From Date:]],Christus_Emp_Table[[#This Row],[To Date:]])</f>
        <v>1</v>
      </c>
      <c r="K72" s="20"/>
      <c r="L72" s="20" t="e">
        <f>_xlfn.XLOOKUP(Christus_Emp_Table[[#This Row],[Analyst Name:]],[1]!Table1[Analyst Name],[1]!Table1[Lead])</f>
        <v>#REF!</v>
      </c>
      <c r="M72" s="20" t="e">
        <f>_xlfn.XLOOKUP(Christus_Emp_Table[[#This Row],[Analyst Name:]],[1]!Table1[Analyst Name],[1]!Table1[Active/Inactive])</f>
        <v>#REF!</v>
      </c>
    </row>
    <row r="73" spans="1:13" x14ac:dyDescent="0.35">
      <c r="A73" s="19" t="s">
        <v>17</v>
      </c>
      <c r="B73" s="20" t="e">
        <f>_xlfn.XLOOKUP(Christus_Emp_Table[[#This Row],[Analyst Name:]],[1]!Table1[Analyst Name],[1]!Table1[Deloitte Email ID])</f>
        <v>#REF!</v>
      </c>
      <c r="C73" s="20" t="e">
        <f>_xlfn.XLOOKUP(Christus_Emp_Table[[#This Row],[Analyst Name:]],[1]!Table1[Analyst Name],[1]!Table1[Module])</f>
        <v>#REF!</v>
      </c>
      <c r="D73" s="20" t="e">
        <f>_xlfn.XLOOKUP(Christus_Emp_Table[[#This Row],[Analyst Name:]],[1]!Table1[Analyst Name],[1]!Table1[Location])</f>
        <v>#REF!</v>
      </c>
      <c r="E73" s="20" t="s">
        <v>15</v>
      </c>
      <c r="F73" s="21">
        <v>45754</v>
      </c>
      <c r="G73" s="21">
        <v>45756</v>
      </c>
      <c r="H73" s="20" t="s">
        <v>15</v>
      </c>
      <c r="I73" s="20" t="s">
        <v>16</v>
      </c>
      <c r="J73" s="20">
        <f>NETWORKDAYS(Christus_Emp_Table[[#This Row],[From Date:]],Christus_Emp_Table[[#This Row],[To Date:]])</f>
        <v>3</v>
      </c>
      <c r="K73" s="20"/>
      <c r="L73" s="20" t="e">
        <f>_xlfn.XLOOKUP(Christus_Emp_Table[[#This Row],[Analyst Name:]],[1]!Table1[Analyst Name],[1]!Table1[Lead])</f>
        <v>#REF!</v>
      </c>
      <c r="M73" s="20" t="e">
        <f>_xlfn.XLOOKUP(Christus_Emp_Table[[#This Row],[Analyst Name:]],[1]!Table1[Analyst Name],[1]!Table1[Active/Inactive])</f>
        <v>#REF!</v>
      </c>
    </row>
    <row r="74" spans="1:13" x14ac:dyDescent="0.35">
      <c r="A74" s="19" t="s">
        <v>18</v>
      </c>
      <c r="B74" s="20" t="e">
        <f>_xlfn.XLOOKUP(Christus_Emp_Table[[#This Row],[Analyst Name:]],[1]!Table1[Analyst Name],[1]!Table1[Deloitte Email ID])</f>
        <v>#REF!</v>
      </c>
      <c r="C74" s="20" t="e">
        <f>_xlfn.XLOOKUP(Christus_Emp_Table[[#This Row],[Analyst Name:]],[1]!Table1[Analyst Name],[1]!Table1[Module])</f>
        <v>#REF!</v>
      </c>
      <c r="D74" s="20" t="e">
        <f>_xlfn.XLOOKUP(Christus_Emp_Table[[#This Row],[Analyst Name:]],[1]!Table1[Analyst Name],[1]!Table1[Location])</f>
        <v>#REF!</v>
      </c>
      <c r="E74" s="22" t="s">
        <v>19</v>
      </c>
      <c r="F74" s="21">
        <v>45761</v>
      </c>
      <c r="G74" s="21">
        <v>45761</v>
      </c>
      <c r="H74" s="20" t="s">
        <v>20</v>
      </c>
      <c r="I74" s="20" t="s">
        <v>16</v>
      </c>
      <c r="J74" s="20">
        <f>NETWORKDAYS(Christus_Emp_Table[[#This Row],[From Date:]],Christus_Emp_Table[[#This Row],[To Date:]])</f>
        <v>1</v>
      </c>
      <c r="K74" s="20"/>
      <c r="L74" s="20" t="e">
        <f>_xlfn.XLOOKUP(Christus_Emp_Table[[#This Row],[Analyst Name:]],[1]!Table1[Analyst Name],[1]!Table1[Lead])</f>
        <v>#REF!</v>
      </c>
      <c r="M74" s="20" t="e">
        <f>_xlfn.XLOOKUP(Christus_Emp_Table[[#This Row],[Analyst Name:]],[1]!Table1[Analyst Name],[1]!Table1[Active/Inactive])</f>
        <v>#REF!</v>
      </c>
    </row>
    <row r="75" spans="1:13" x14ac:dyDescent="0.35">
      <c r="A75" s="19" t="s">
        <v>21</v>
      </c>
      <c r="B75" s="20" t="e">
        <f>_xlfn.XLOOKUP(Christus_Emp_Table[[#This Row],[Analyst Name:]],[1]!Table1[Analyst Name],[1]!Table1[Deloitte Email ID])</f>
        <v>#REF!</v>
      </c>
      <c r="C75" s="20" t="e">
        <f>_xlfn.XLOOKUP(Christus_Emp_Table[[#This Row],[Analyst Name:]],[1]!Table1[Analyst Name],[1]!Table1[Module])</f>
        <v>#REF!</v>
      </c>
      <c r="D75" s="20" t="e">
        <f>_xlfn.XLOOKUP(Christus_Emp_Table[[#This Row],[Analyst Name:]],[1]!Table1[Analyst Name],[1]!Table1[Location])</f>
        <v>#REF!</v>
      </c>
      <c r="E75" s="20" t="s">
        <v>15</v>
      </c>
      <c r="F75" s="21">
        <v>45761</v>
      </c>
      <c r="G75" s="21">
        <v>45764</v>
      </c>
      <c r="H75" s="20" t="s">
        <v>15</v>
      </c>
      <c r="I75" s="20" t="s">
        <v>16</v>
      </c>
      <c r="J75" s="20">
        <f>NETWORKDAYS(Christus_Emp_Table[[#This Row],[From Date:]],Christus_Emp_Table[[#This Row],[To Date:]])</f>
        <v>4</v>
      </c>
      <c r="K75" s="20"/>
      <c r="L75" s="20" t="e">
        <f>_xlfn.XLOOKUP(Christus_Emp_Table[[#This Row],[Analyst Name:]],[1]!Table1[Analyst Name],[1]!Table1[Lead])</f>
        <v>#REF!</v>
      </c>
      <c r="M75" s="20" t="e">
        <f>_xlfn.XLOOKUP(Christus_Emp_Table[[#This Row],[Analyst Name:]],[1]!Table1[Analyst Name],[1]!Table1[Active/Inactive])</f>
        <v>#REF!</v>
      </c>
    </row>
    <row r="76" spans="1:13" x14ac:dyDescent="0.35">
      <c r="A76" s="19" t="s">
        <v>25</v>
      </c>
      <c r="B76" s="20" t="e">
        <f>_xlfn.XLOOKUP(Christus_Emp_Table[[#This Row],[Analyst Name:]],[1]!Table1[Analyst Name],[1]!Table1[Deloitte Email ID])</f>
        <v>#REF!</v>
      </c>
      <c r="C76" s="20" t="e">
        <f>_xlfn.XLOOKUP(Christus_Emp_Table[[#This Row],[Analyst Name:]],[1]!Table1[Analyst Name],[1]!Table1[Module])</f>
        <v>#REF!</v>
      </c>
      <c r="D76" s="20" t="e">
        <f>_xlfn.XLOOKUP(Christus_Emp_Table[[#This Row],[Analyst Name:]],[1]!Table1[Analyst Name],[1]!Table1[Location])</f>
        <v>#REF!</v>
      </c>
      <c r="E76" s="20" t="s">
        <v>15</v>
      </c>
      <c r="F76" s="21">
        <v>45765</v>
      </c>
      <c r="G76" s="21">
        <v>45765</v>
      </c>
      <c r="H76" s="20" t="s">
        <v>15</v>
      </c>
      <c r="I76" s="20" t="s">
        <v>16</v>
      </c>
      <c r="J76" s="20">
        <f>NETWORKDAYS(Christus_Emp_Table[[#This Row],[From Date:]],Christus_Emp_Table[[#This Row],[To Date:]])</f>
        <v>1</v>
      </c>
      <c r="K76" s="20"/>
      <c r="L76" s="20" t="e">
        <f>_xlfn.XLOOKUP(Christus_Emp_Table[[#This Row],[Analyst Name:]],[1]!Table1[Analyst Name],[1]!Table1[Lead])</f>
        <v>#REF!</v>
      </c>
      <c r="M76" s="20" t="e">
        <f>_xlfn.XLOOKUP(Christus_Emp_Table[[#This Row],[Analyst Name:]],[1]!Table1[Analyst Name],[1]!Table1[Active/Inactive])</f>
        <v>#REF!</v>
      </c>
    </row>
    <row r="77" spans="1:13" x14ac:dyDescent="0.35">
      <c r="A77" s="19" t="s">
        <v>38</v>
      </c>
      <c r="B77" s="20" t="e">
        <f>_xlfn.XLOOKUP(Christus_Emp_Table[[#This Row],[Analyst Name:]],[1]!Table1[Analyst Name],[1]!Table1[Deloitte Email ID])</f>
        <v>#REF!</v>
      </c>
      <c r="C77" s="20" t="e">
        <f>_xlfn.XLOOKUP(Christus_Emp_Table[[#This Row],[Analyst Name:]],[1]!Table1[Analyst Name],[1]!Table1[Module])</f>
        <v>#REF!</v>
      </c>
      <c r="D77" s="20" t="e">
        <f>_xlfn.XLOOKUP(Christus_Emp_Table[[#This Row],[Analyst Name:]],[1]!Table1[Analyst Name],[1]!Table1[Location])</f>
        <v>#REF!</v>
      </c>
      <c r="E77" s="20" t="s">
        <v>15</v>
      </c>
      <c r="F77" s="21">
        <v>45763</v>
      </c>
      <c r="G77" s="21">
        <v>45763</v>
      </c>
      <c r="H77" s="20" t="s">
        <v>15</v>
      </c>
      <c r="I77" s="20" t="s">
        <v>16</v>
      </c>
      <c r="J77" s="20">
        <f>NETWORKDAYS(Christus_Emp_Table[[#This Row],[From Date:]],Christus_Emp_Table[[#This Row],[To Date:]])</f>
        <v>1</v>
      </c>
      <c r="K77" s="20"/>
      <c r="L77" s="20" t="e">
        <f>_xlfn.XLOOKUP(Christus_Emp_Table[[#This Row],[Analyst Name:]],[1]!Table1[Analyst Name],[1]!Table1[Lead])</f>
        <v>#REF!</v>
      </c>
      <c r="M77" s="20" t="e">
        <f>_xlfn.XLOOKUP(Christus_Emp_Table[[#This Row],[Analyst Name:]],[1]!Table1[Analyst Name],[1]!Table1[Active/Inactive])</f>
        <v>#REF!</v>
      </c>
    </row>
    <row r="78" spans="1:13" x14ac:dyDescent="0.35">
      <c r="A78" s="19" t="s">
        <v>27</v>
      </c>
      <c r="B78" s="20" t="e">
        <f>_xlfn.XLOOKUP(Christus_Emp_Table[[#This Row],[Analyst Name:]],[1]!Table1[Analyst Name],[1]!Table1[Deloitte Email ID])</f>
        <v>#REF!</v>
      </c>
      <c r="C78" s="20" t="e">
        <f>_xlfn.XLOOKUP(Christus_Emp_Table[[#This Row],[Analyst Name:]],[1]!Table1[Analyst Name],[1]!Table1[Module])</f>
        <v>#REF!</v>
      </c>
      <c r="D78" s="20" t="e">
        <f>_xlfn.XLOOKUP(Christus_Emp_Table[[#This Row],[Analyst Name:]],[1]!Table1[Analyst Name],[1]!Table1[Location])</f>
        <v>#REF!</v>
      </c>
      <c r="E78" s="20" t="s">
        <v>15</v>
      </c>
      <c r="F78" s="21">
        <v>45751</v>
      </c>
      <c r="G78" s="21">
        <v>45751</v>
      </c>
      <c r="H78" s="20" t="s">
        <v>15</v>
      </c>
      <c r="I78" s="20" t="s">
        <v>16</v>
      </c>
      <c r="J78" s="20">
        <f>NETWORKDAYS(Christus_Emp_Table[[#This Row],[From Date:]],Christus_Emp_Table[[#This Row],[To Date:]])</f>
        <v>1</v>
      </c>
      <c r="K78" s="20"/>
      <c r="L78" s="20" t="e">
        <f>_xlfn.XLOOKUP(Christus_Emp_Table[[#This Row],[Analyst Name:]],[1]!Table1[Analyst Name],[1]!Table1[Lead])</f>
        <v>#REF!</v>
      </c>
      <c r="M78" s="20" t="e">
        <f>_xlfn.XLOOKUP(Christus_Emp_Table[[#This Row],[Analyst Name:]],[1]!Table1[Analyst Name],[1]!Table1[Active/Inactive])</f>
        <v>#REF!</v>
      </c>
    </row>
    <row r="79" spans="1:13" x14ac:dyDescent="0.35">
      <c r="A79" s="19" t="s">
        <v>27</v>
      </c>
      <c r="B79" s="20" t="e">
        <f>_xlfn.XLOOKUP(Christus_Emp_Table[[#This Row],[Analyst Name:]],[1]!Table1[Analyst Name],[1]!Table1[Deloitte Email ID])</f>
        <v>#REF!</v>
      </c>
      <c r="C79" s="20" t="e">
        <f>_xlfn.XLOOKUP(Christus_Emp_Table[[#This Row],[Analyst Name:]],[1]!Table1[Analyst Name],[1]!Table1[Module])</f>
        <v>#REF!</v>
      </c>
      <c r="D79" s="20" t="e">
        <f>_xlfn.XLOOKUP(Christus_Emp_Table[[#This Row],[Analyst Name:]],[1]!Table1[Analyst Name],[1]!Table1[Location])</f>
        <v>#REF!</v>
      </c>
      <c r="E79" s="22" t="s">
        <v>19</v>
      </c>
      <c r="F79" s="21">
        <v>45754</v>
      </c>
      <c r="G79" s="21">
        <v>45754</v>
      </c>
      <c r="H79" s="20" t="s">
        <v>20</v>
      </c>
      <c r="I79" s="20" t="s">
        <v>16</v>
      </c>
      <c r="J79" s="20">
        <f>NETWORKDAYS(Christus_Emp_Table[[#This Row],[From Date:]],Christus_Emp_Table[[#This Row],[To Date:]])</f>
        <v>1</v>
      </c>
      <c r="K79" s="20"/>
      <c r="L79" s="20" t="e">
        <f>_xlfn.XLOOKUP(Christus_Emp_Table[[#This Row],[Analyst Name:]],[1]!Table1[Analyst Name],[1]!Table1[Lead])</f>
        <v>#REF!</v>
      </c>
      <c r="M79" s="20" t="e">
        <f>_xlfn.XLOOKUP(Christus_Emp_Table[[#This Row],[Analyst Name:]],[1]!Table1[Analyst Name],[1]!Table1[Active/Inactive])</f>
        <v>#REF!</v>
      </c>
    </row>
    <row r="80" spans="1:13" x14ac:dyDescent="0.35">
      <c r="A80" s="19" t="s">
        <v>27</v>
      </c>
      <c r="B80" s="20" t="e">
        <f>_xlfn.XLOOKUP(Christus_Emp_Table[[#This Row],[Analyst Name:]],[1]!Table1[Analyst Name],[1]!Table1[Deloitte Email ID])</f>
        <v>#REF!</v>
      </c>
      <c r="C80" s="20" t="e">
        <f>_xlfn.XLOOKUP(Christus_Emp_Table[[#This Row],[Analyst Name:]],[1]!Table1[Analyst Name],[1]!Table1[Module])</f>
        <v>#REF!</v>
      </c>
      <c r="D80" s="20" t="e">
        <f>_xlfn.XLOOKUP(Christus_Emp_Table[[#This Row],[Analyst Name:]],[1]!Table1[Analyst Name],[1]!Table1[Location])</f>
        <v>#REF!</v>
      </c>
      <c r="E80" s="20" t="s">
        <v>15</v>
      </c>
      <c r="F80" s="21">
        <v>45755</v>
      </c>
      <c r="G80" s="21">
        <v>45756</v>
      </c>
      <c r="H80" s="20" t="s">
        <v>15</v>
      </c>
      <c r="I80" s="20" t="s">
        <v>16</v>
      </c>
      <c r="J80" s="20">
        <f>NETWORKDAYS(Christus_Emp_Table[[#This Row],[From Date:]],Christus_Emp_Table[[#This Row],[To Date:]])</f>
        <v>2</v>
      </c>
      <c r="K80" s="20"/>
      <c r="L80" s="20" t="e">
        <f>_xlfn.XLOOKUP(Christus_Emp_Table[[#This Row],[Analyst Name:]],[1]!Table1[Analyst Name],[1]!Table1[Lead])</f>
        <v>#REF!</v>
      </c>
      <c r="M80" s="20" t="e">
        <f>_xlfn.XLOOKUP(Christus_Emp_Table[[#This Row],[Analyst Name:]],[1]!Table1[Analyst Name],[1]!Table1[Active/Inactive])</f>
        <v>#REF!</v>
      </c>
    </row>
    <row r="81" spans="1:13" x14ac:dyDescent="0.35">
      <c r="A81" s="19" t="s">
        <v>39</v>
      </c>
      <c r="B81" s="20" t="e">
        <f>_xlfn.XLOOKUP(Christus_Emp_Table[[#This Row],[Analyst Name:]],[1]!Table1[Analyst Name],[1]!Table1[Deloitte Email ID])</f>
        <v>#REF!</v>
      </c>
      <c r="C81" s="20" t="e">
        <f>_xlfn.XLOOKUP(Christus_Emp_Table[[#This Row],[Analyst Name:]],[1]!Table1[Analyst Name],[1]!Table1[Module])</f>
        <v>#REF!</v>
      </c>
      <c r="D81" s="20" t="e">
        <f>_xlfn.XLOOKUP(Christus_Emp_Table[[#This Row],[Analyst Name:]],[1]!Table1[Analyst Name],[1]!Table1[Location])</f>
        <v>#REF!</v>
      </c>
      <c r="E81" s="22" t="s">
        <v>19</v>
      </c>
      <c r="F81" s="21">
        <v>45775</v>
      </c>
      <c r="G81" s="21">
        <v>45775</v>
      </c>
      <c r="H81" s="20" t="s">
        <v>20</v>
      </c>
      <c r="I81" s="20" t="s">
        <v>16</v>
      </c>
      <c r="J81" s="20">
        <f>NETWORKDAYS(Christus_Emp_Table[[#This Row],[From Date:]],Christus_Emp_Table[[#This Row],[To Date:]])</f>
        <v>1</v>
      </c>
      <c r="K81" s="20"/>
      <c r="L81" s="20" t="e">
        <f>_xlfn.XLOOKUP(Christus_Emp_Table[[#This Row],[Analyst Name:]],[1]!Table1[Analyst Name],[1]!Table1[Lead])</f>
        <v>#REF!</v>
      </c>
      <c r="M81" s="20" t="e">
        <f>_xlfn.XLOOKUP(Christus_Emp_Table[[#This Row],[Analyst Name:]],[1]!Table1[Analyst Name],[1]!Table1[Active/Inactive])</f>
        <v>#REF!</v>
      </c>
    </row>
    <row r="82" spans="1:13" x14ac:dyDescent="0.35">
      <c r="A82" s="19" t="s">
        <v>29</v>
      </c>
      <c r="B82" s="20" t="e">
        <f>_xlfn.XLOOKUP(Christus_Emp_Table[[#This Row],[Analyst Name:]],[1]!Table1[Analyst Name],[1]!Table1[Deloitte Email ID])</f>
        <v>#REF!</v>
      </c>
      <c r="C82" s="20" t="e">
        <f>_xlfn.XLOOKUP(Christus_Emp_Table[[#This Row],[Analyst Name:]],[1]!Table1[Analyst Name],[1]!Table1[Module])</f>
        <v>#REF!</v>
      </c>
      <c r="D82" s="20" t="e">
        <f>_xlfn.XLOOKUP(Christus_Emp_Table[[#This Row],[Analyst Name:]],[1]!Table1[Analyst Name],[1]!Table1[Location])</f>
        <v>#REF!</v>
      </c>
      <c r="E82" s="20" t="s">
        <v>15</v>
      </c>
      <c r="F82" s="21">
        <v>45748</v>
      </c>
      <c r="G82" s="21">
        <v>45751</v>
      </c>
      <c r="H82" s="20" t="s">
        <v>15</v>
      </c>
      <c r="I82" s="20" t="s">
        <v>16</v>
      </c>
      <c r="J82" s="20">
        <f>NETWORKDAYS(Christus_Emp_Table[[#This Row],[From Date:]],Christus_Emp_Table[[#This Row],[To Date:]])</f>
        <v>4</v>
      </c>
      <c r="K82" s="20"/>
      <c r="L82" s="20" t="e">
        <f>_xlfn.XLOOKUP(Christus_Emp_Table[[#This Row],[Analyst Name:]],[1]!Table1[Analyst Name],[1]!Table1[Lead])</f>
        <v>#REF!</v>
      </c>
      <c r="M82" s="20" t="e">
        <f>_xlfn.XLOOKUP(Christus_Emp_Table[[#This Row],[Analyst Name:]],[1]!Table1[Analyst Name],[1]!Table1[Active/Inactive])</f>
        <v>#REF!</v>
      </c>
    </row>
    <row r="83" spans="1:13" x14ac:dyDescent="0.35">
      <c r="A83" s="19" t="s">
        <v>30</v>
      </c>
      <c r="B83" s="20" t="e">
        <f>_xlfn.XLOOKUP(Christus_Emp_Table[[#This Row],[Analyst Name:]],[1]!Table1[Analyst Name],[1]!Table1[Deloitte Email ID])</f>
        <v>#REF!</v>
      </c>
      <c r="C83" s="20" t="e">
        <f>_xlfn.XLOOKUP(Christus_Emp_Table[[#This Row],[Analyst Name:]],[1]!Table1[Analyst Name],[1]!Table1[Module])</f>
        <v>#REF!</v>
      </c>
      <c r="D83" s="20" t="e">
        <f>_xlfn.XLOOKUP(Christus_Emp_Table[[#This Row],[Analyst Name:]],[1]!Table1[Analyst Name],[1]!Table1[Location])</f>
        <v>#REF!</v>
      </c>
      <c r="E83" s="22" t="s">
        <v>19</v>
      </c>
      <c r="F83" s="21">
        <v>45748</v>
      </c>
      <c r="G83" s="21">
        <v>45750</v>
      </c>
      <c r="H83" s="20" t="s">
        <v>20</v>
      </c>
      <c r="I83" s="20" t="s">
        <v>16</v>
      </c>
      <c r="J83" s="20">
        <f>NETWORKDAYS(Christus_Emp_Table[[#This Row],[From Date:]],Christus_Emp_Table[[#This Row],[To Date:]])</f>
        <v>3</v>
      </c>
      <c r="K83" s="20"/>
      <c r="L83" s="20" t="e">
        <f>_xlfn.XLOOKUP(Christus_Emp_Table[[#This Row],[Analyst Name:]],[1]!Table1[Analyst Name],[1]!Table1[Lead])</f>
        <v>#REF!</v>
      </c>
      <c r="M83" s="20" t="e">
        <f>_xlfn.XLOOKUP(Christus_Emp_Table[[#This Row],[Analyst Name:]],[1]!Table1[Analyst Name],[1]!Table1[Active/Inactive])</f>
        <v>#REF!</v>
      </c>
    </row>
    <row r="84" spans="1:13" x14ac:dyDescent="0.35">
      <c r="A84" s="19" t="s">
        <v>30</v>
      </c>
      <c r="B84" s="20" t="e">
        <f>_xlfn.XLOOKUP(Christus_Emp_Table[[#This Row],[Analyst Name:]],[1]!Table1[Analyst Name],[1]!Table1[Deloitte Email ID])</f>
        <v>#REF!</v>
      </c>
      <c r="C84" s="20" t="e">
        <f>_xlfn.XLOOKUP(Christus_Emp_Table[[#This Row],[Analyst Name:]],[1]!Table1[Analyst Name],[1]!Table1[Module])</f>
        <v>#REF!</v>
      </c>
      <c r="D84" s="20" t="e">
        <f>_xlfn.XLOOKUP(Christus_Emp_Table[[#This Row],[Analyst Name:]],[1]!Table1[Analyst Name],[1]!Table1[Location])</f>
        <v>#REF!</v>
      </c>
      <c r="E84" s="22" t="s">
        <v>19</v>
      </c>
      <c r="F84" s="21">
        <v>45755</v>
      </c>
      <c r="G84" s="21">
        <v>45757</v>
      </c>
      <c r="H84" s="20" t="s">
        <v>20</v>
      </c>
      <c r="I84" s="20" t="s">
        <v>16</v>
      </c>
      <c r="J84" s="20">
        <f>NETWORKDAYS(Christus_Emp_Table[[#This Row],[From Date:]],Christus_Emp_Table[[#This Row],[To Date:]])</f>
        <v>3</v>
      </c>
      <c r="K84" s="20"/>
      <c r="L84" s="20" t="e">
        <f>_xlfn.XLOOKUP(Christus_Emp_Table[[#This Row],[Analyst Name:]],[1]!Table1[Analyst Name],[1]!Table1[Lead])</f>
        <v>#REF!</v>
      </c>
      <c r="M84" s="20" t="e">
        <f>_xlfn.XLOOKUP(Christus_Emp_Table[[#This Row],[Analyst Name:]],[1]!Table1[Analyst Name],[1]!Table1[Active/Inactive])</f>
        <v>#REF!</v>
      </c>
    </row>
    <row r="85" spans="1:13" x14ac:dyDescent="0.35">
      <c r="A85" s="19" t="s">
        <v>31</v>
      </c>
      <c r="B85" s="20" t="e">
        <f>_xlfn.XLOOKUP(Christus_Emp_Table[[#This Row],[Analyst Name:]],[1]!Table1[Analyst Name],[1]!Table1[Deloitte Email ID])</f>
        <v>#REF!</v>
      </c>
      <c r="C85" s="20" t="e">
        <f>_xlfn.XLOOKUP(Christus_Emp_Table[[#This Row],[Analyst Name:]],[1]!Table1[Analyst Name],[1]!Table1[Module])</f>
        <v>#REF!</v>
      </c>
      <c r="D85" s="20" t="e">
        <f>_xlfn.XLOOKUP(Christus_Emp_Table[[#This Row],[Analyst Name:]],[1]!Table1[Analyst Name],[1]!Table1[Location])</f>
        <v>#REF!</v>
      </c>
      <c r="E85" s="20" t="s">
        <v>15</v>
      </c>
      <c r="F85" s="21">
        <v>45751</v>
      </c>
      <c r="G85" s="21">
        <v>45754</v>
      </c>
      <c r="H85" s="20" t="s">
        <v>15</v>
      </c>
      <c r="I85" s="20" t="s">
        <v>16</v>
      </c>
      <c r="J85" s="20">
        <f>NETWORKDAYS(Christus_Emp_Table[[#This Row],[From Date:]],Christus_Emp_Table[[#This Row],[To Date:]])</f>
        <v>2</v>
      </c>
      <c r="K85" s="20"/>
      <c r="L85" s="20" t="e">
        <f>_xlfn.XLOOKUP(Christus_Emp_Table[[#This Row],[Analyst Name:]],[1]!Table1[Analyst Name],[1]!Table1[Lead])</f>
        <v>#REF!</v>
      </c>
      <c r="M85" s="20" t="e">
        <f>_xlfn.XLOOKUP(Christus_Emp_Table[[#This Row],[Analyst Name:]],[1]!Table1[Analyst Name],[1]!Table1[Active/Inactive])</f>
        <v>#REF!</v>
      </c>
    </row>
    <row r="86" spans="1:13" x14ac:dyDescent="0.35">
      <c r="A86" s="19" t="s">
        <v>31</v>
      </c>
      <c r="B86" s="20" t="e">
        <f>_xlfn.XLOOKUP(Christus_Emp_Table[[#This Row],[Analyst Name:]],[1]!Table1[Analyst Name],[1]!Table1[Deloitte Email ID])</f>
        <v>#REF!</v>
      </c>
      <c r="C86" s="20" t="e">
        <f>_xlfn.XLOOKUP(Christus_Emp_Table[[#This Row],[Analyst Name:]],[1]!Table1[Analyst Name],[1]!Table1[Module])</f>
        <v>#REF!</v>
      </c>
      <c r="D86" s="20" t="e">
        <f>_xlfn.XLOOKUP(Christus_Emp_Table[[#This Row],[Analyst Name:]],[1]!Table1[Analyst Name],[1]!Table1[Location])</f>
        <v>#REF!</v>
      </c>
      <c r="E86" s="22" t="s">
        <v>19</v>
      </c>
      <c r="F86" s="21">
        <v>45755</v>
      </c>
      <c r="G86" s="21">
        <v>45756</v>
      </c>
      <c r="H86" s="20" t="s">
        <v>20</v>
      </c>
      <c r="I86" s="20" t="s">
        <v>16</v>
      </c>
      <c r="J86" s="20">
        <f>NETWORKDAYS(Christus_Emp_Table[[#This Row],[From Date:]],Christus_Emp_Table[[#This Row],[To Date:]])</f>
        <v>2</v>
      </c>
      <c r="K86" s="20"/>
      <c r="L86" s="20" t="e">
        <f>_xlfn.XLOOKUP(Christus_Emp_Table[[#This Row],[Analyst Name:]],[1]!Table1[Analyst Name],[1]!Table1[Lead])</f>
        <v>#REF!</v>
      </c>
      <c r="M86" s="20" t="e">
        <f>_xlfn.XLOOKUP(Christus_Emp_Table[[#This Row],[Analyst Name:]],[1]!Table1[Analyst Name],[1]!Table1[Active/Inactive])</f>
        <v>#REF!</v>
      </c>
    </row>
    <row r="87" spans="1:13" x14ac:dyDescent="0.35">
      <c r="A87" s="19" t="s">
        <v>31</v>
      </c>
      <c r="B87" s="20" t="e">
        <f>_xlfn.XLOOKUP(Christus_Emp_Table[[#This Row],[Analyst Name:]],[1]!Table1[Analyst Name],[1]!Table1[Deloitte Email ID])</f>
        <v>#REF!</v>
      </c>
      <c r="C87" s="20" t="e">
        <f>_xlfn.XLOOKUP(Christus_Emp_Table[[#This Row],[Analyst Name:]],[1]!Table1[Analyst Name],[1]!Table1[Module])</f>
        <v>#REF!</v>
      </c>
      <c r="D87" s="20" t="e">
        <f>_xlfn.XLOOKUP(Christus_Emp_Table[[#This Row],[Analyst Name:]],[1]!Table1[Analyst Name],[1]!Table1[Location])</f>
        <v>#REF!</v>
      </c>
      <c r="E87" s="20" t="s">
        <v>15</v>
      </c>
      <c r="F87" s="21">
        <v>45768</v>
      </c>
      <c r="G87" s="21">
        <v>45768</v>
      </c>
      <c r="H87" s="20" t="s">
        <v>15</v>
      </c>
      <c r="I87" s="20" t="s">
        <v>16</v>
      </c>
      <c r="J87" s="20">
        <f>NETWORKDAYS(Christus_Emp_Table[[#This Row],[From Date:]],Christus_Emp_Table[[#This Row],[To Date:]])</f>
        <v>1</v>
      </c>
      <c r="K87" s="20"/>
      <c r="L87" s="20" t="e">
        <f>_xlfn.XLOOKUP(Christus_Emp_Table[[#This Row],[Analyst Name:]],[1]!Table1[Analyst Name],[1]!Table1[Lead])</f>
        <v>#REF!</v>
      </c>
      <c r="M87" s="20" t="e">
        <f>_xlfn.XLOOKUP(Christus_Emp_Table[[#This Row],[Analyst Name:]],[1]!Table1[Analyst Name],[1]!Table1[Active/Inactive])</f>
        <v>#REF!</v>
      </c>
    </row>
    <row r="88" spans="1:13" x14ac:dyDescent="0.35">
      <c r="A88" s="19" t="s">
        <v>32</v>
      </c>
      <c r="B88" s="20" t="e">
        <f>_xlfn.XLOOKUP(Christus_Emp_Table[[#This Row],[Analyst Name:]],[1]!Table1[Analyst Name],[1]!Table1[Deloitte Email ID])</f>
        <v>#REF!</v>
      </c>
      <c r="C88" s="20" t="e">
        <f>_xlfn.XLOOKUP(Christus_Emp_Table[[#This Row],[Analyst Name:]],[1]!Table1[Analyst Name],[1]!Table1[Module])</f>
        <v>#REF!</v>
      </c>
      <c r="D88" s="20" t="e">
        <f>_xlfn.XLOOKUP(Christus_Emp_Table[[#This Row],[Analyst Name:]],[1]!Table1[Analyst Name],[1]!Table1[Location])</f>
        <v>#REF!</v>
      </c>
      <c r="E88" s="20" t="s">
        <v>15</v>
      </c>
      <c r="F88" s="21">
        <v>45768</v>
      </c>
      <c r="G88" s="21">
        <v>45768</v>
      </c>
      <c r="H88" s="20" t="s">
        <v>15</v>
      </c>
      <c r="I88" s="20" t="s">
        <v>16</v>
      </c>
      <c r="J88" s="20">
        <f>NETWORKDAYS(Christus_Emp_Table[[#This Row],[From Date:]],Christus_Emp_Table[[#This Row],[To Date:]])</f>
        <v>1</v>
      </c>
      <c r="K88" s="20"/>
      <c r="L88" s="20" t="e">
        <f>_xlfn.XLOOKUP(Christus_Emp_Table[[#This Row],[Analyst Name:]],[1]!Table1[Analyst Name],[1]!Table1[Lead])</f>
        <v>#REF!</v>
      </c>
      <c r="M88" s="20" t="e">
        <f>_xlfn.XLOOKUP(Christus_Emp_Table[[#This Row],[Analyst Name:]],[1]!Table1[Analyst Name],[1]!Table1[Active/Inactive])</f>
        <v>#REF!</v>
      </c>
    </row>
    <row r="89" spans="1:13" x14ac:dyDescent="0.35">
      <c r="A89" s="19" t="s">
        <v>33</v>
      </c>
      <c r="B89" s="20" t="e">
        <f>_xlfn.XLOOKUP(Christus_Emp_Table[[#This Row],[Analyst Name:]],[1]!Table1[Analyst Name],[1]!Table1[Deloitte Email ID])</f>
        <v>#REF!</v>
      </c>
      <c r="C89" s="20" t="e">
        <f>_xlfn.XLOOKUP(Christus_Emp_Table[[#This Row],[Analyst Name:]],[1]!Table1[Analyst Name],[1]!Table1[Module])</f>
        <v>#REF!</v>
      </c>
      <c r="D89" s="20" t="e">
        <f>_xlfn.XLOOKUP(Christus_Emp_Table[[#This Row],[Analyst Name:]],[1]!Table1[Analyst Name],[1]!Table1[Location])</f>
        <v>#REF!</v>
      </c>
      <c r="E89" s="20" t="s">
        <v>15</v>
      </c>
      <c r="F89" s="21">
        <v>45748</v>
      </c>
      <c r="G89" s="21">
        <v>45751</v>
      </c>
      <c r="H89" s="20" t="s">
        <v>15</v>
      </c>
      <c r="I89" s="20" t="s">
        <v>16</v>
      </c>
      <c r="J89" s="20">
        <f>NETWORKDAYS(Christus_Emp_Table[[#This Row],[From Date:]],Christus_Emp_Table[[#This Row],[To Date:]])</f>
        <v>4</v>
      </c>
      <c r="K89" s="20"/>
      <c r="L89" s="20" t="e">
        <f>_xlfn.XLOOKUP(Christus_Emp_Table[[#This Row],[Analyst Name:]],[1]!Table1[Analyst Name],[1]!Table1[Lead])</f>
        <v>#REF!</v>
      </c>
      <c r="M89" s="20" t="e">
        <f>_xlfn.XLOOKUP(Christus_Emp_Table[[#This Row],[Analyst Name:]],[1]!Table1[Analyst Name],[1]!Table1[Active/Inactive])</f>
        <v>#REF!</v>
      </c>
    </row>
    <row r="90" spans="1:13" x14ac:dyDescent="0.35">
      <c r="A90" s="19" t="s">
        <v>34</v>
      </c>
      <c r="B90" s="20" t="e">
        <f>_xlfn.XLOOKUP(Christus_Emp_Table[[#This Row],[Analyst Name:]],[1]!Table1[Analyst Name],[1]!Table1[Deloitte Email ID])</f>
        <v>#REF!</v>
      </c>
      <c r="C90" s="20" t="e">
        <f>_xlfn.XLOOKUP(Christus_Emp_Table[[#This Row],[Analyst Name:]],[1]!Table1[Analyst Name],[1]!Table1[Module])</f>
        <v>#REF!</v>
      </c>
      <c r="D90" s="20" t="e">
        <f>_xlfn.XLOOKUP(Christus_Emp_Table[[#This Row],[Analyst Name:]],[1]!Table1[Analyst Name],[1]!Table1[Location])</f>
        <v>#REF!</v>
      </c>
      <c r="E90" s="22" t="s">
        <v>19</v>
      </c>
      <c r="F90" s="21">
        <v>45757</v>
      </c>
      <c r="G90" s="21">
        <v>45758</v>
      </c>
      <c r="H90" s="20" t="s">
        <v>20</v>
      </c>
      <c r="I90" s="20" t="s">
        <v>16</v>
      </c>
      <c r="J90" s="20">
        <f>NETWORKDAYS(Christus_Emp_Table[[#This Row],[From Date:]],Christus_Emp_Table[[#This Row],[To Date:]])</f>
        <v>2</v>
      </c>
      <c r="K90" s="20"/>
      <c r="L90" s="20" t="e">
        <f>_xlfn.XLOOKUP(Christus_Emp_Table[[#This Row],[Analyst Name:]],[1]!Table1[Analyst Name],[1]!Table1[Lead])</f>
        <v>#REF!</v>
      </c>
      <c r="M90" s="20" t="e">
        <f>_xlfn.XLOOKUP(Christus_Emp_Table[[#This Row],[Analyst Name:]],[1]!Table1[Analyst Name],[1]!Table1[Active/Inactive])</f>
        <v>#REF!</v>
      </c>
    </row>
    <row r="91" spans="1:13" x14ac:dyDescent="0.35">
      <c r="A91" s="19" t="s">
        <v>34</v>
      </c>
      <c r="B91" s="20" t="e">
        <f>_xlfn.XLOOKUP(Christus_Emp_Table[[#This Row],[Analyst Name:]],[1]!Table1[Analyst Name],[1]!Table1[Deloitte Email ID])</f>
        <v>#REF!</v>
      </c>
      <c r="C91" s="20" t="e">
        <f>_xlfn.XLOOKUP(Christus_Emp_Table[[#This Row],[Analyst Name:]],[1]!Table1[Analyst Name],[1]!Table1[Module])</f>
        <v>#REF!</v>
      </c>
      <c r="D91" s="20" t="e">
        <f>_xlfn.XLOOKUP(Christus_Emp_Table[[#This Row],[Analyst Name:]],[1]!Table1[Analyst Name],[1]!Table1[Location])</f>
        <v>#REF!</v>
      </c>
      <c r="E91" s="20" t="s">
        <v>15</v>
      </c>
      <c r="F91" s="21">
        <v>45775</v>
      </c>
      <c r="G91" s="21">
        <v>45777</v>
      </c>
      <c r="H91" s="20" t="s">
        <v>15</v>
      </c>
      <c r="I91" s="20" t="s">
        <v>16</v>
      </c>
      <c r="J91" s="20">
        <f>NETWORKDAYS(Christus_Emp_Table[[#This Row],[From Date:]],Christus_Emp_Table[[#This Row],[To Date:]])</f>
        <v>3</v>
      </c>
      <c r="K91" s="20"/>
      <c r="L91" s="20" t="e">
        <f>_xlfn.XLOOKUP(Christus_Emp_Table[[#This Row],[Analyst Name:]],[1]!Table1[Analyst Name],[1]!Table1[Lead])</f>
        <v>#REF!</v>
      </c>
      <c r="M91" s="20" t="e">
        <f>_xlfn.XLOOKUP(Christus_Emp_Table[[#This Row],[Analyst Name:]],[1]!Table1[Analyst Name],[1]!Table1[Active/Inactive])</f>
        <v>#REF!</v>
      </c>
    </row>
    <row r="92" spans="1:13" x14ac:dyDescent="0.35">
      <c r="A92" s="19" t="s">
        <v>35</v>
      </c>
      <c r="B92" s="20" t="e">
        <f>_xlfn.XLOOKUP(Christus_Emp_Table[[#This Row],[Analyst Name:]],[1]!Table1[Analyst Name],[1]!Table1[Deloitte Email ID])</f>
        <v>#REF!</v>
      </c>
      <c r="C92" s="20" t="e">
        <f>_xlfn.XLOOKUP(Christus_Emp_Table[[#This Row],[Analyst Name:]],[1]!Table1[Analyst Name],[1]!Table1[Module])</f>
        <v>#REF!</v>
      </c>
      <c r="D92" s="20" t="e">
        <f>_xlfn.XLOOKUP(Christus_Emp_Table[[#This Row],[Analyst Name:]],[1]!Table1[Analyst Name],[1]!Table1[Location])</f>
        <v>#REF!</v>
      </c>
      <c r="E92" s="20" t="s">
        <v>15</v>
      </c>
      <c r="F92" s="21">
        <v>45748</v>
      </c>
      <c r="G92" s="21">
        <v>45748</v>
      </c>
      <c r="H92" s="20" t="s">
        <v>15</v>
      </c>
      <c r="I92" s="20" t="s">
        <v>16</v>
      </c>
      <c r="J92" s="20">
        <f>NETWORKDAYS(Christus_Emp_Table[[#This Row],[From Date:]],Christus_Emp_Table[[#This Row],[To Date:]])</f>
        <v>1</v>
      </c>
      <c r="K92" s="20"/>
      <c r="L92" s="20" t="e">
        <f>_xlfn.XLOOKUP(Christus_Emp_Table[[#This Row],[Analyst Name:]],[1]!Table1[Analyst Name],[1]!Table1[Lead])</f>
        <v>#REF!</v>
      </c>
      <c r="M92" s="20" t="e">
        <f>_xlfn.XLOOKUP(Christus_Emp_Table[[#This Row],[Analyst Name:]],[1]!Table1[Analyst Name],[1]!Table1[Active/Inactive])</f>
        <v>#REF!</v>
      </c>
    </row>
    <row r="93" spans="1:13" x14ac:dyDescent="0.35">
      <c r="A93" s="19" t="s">
        <v>35</v>
      </c>
      <c r="B93" s="20" t="e">
        <f>_xlfn.XLOOKUP(Christus_Emp_Table[[#This Row],[Analyst Name:]],[1]!Table1[Analyst Name],[1]!Table1[Deloitte Email ID])</f>
        <v>#REF!</v>
      </c>
      <c r="C93" s="20" t="e">
        <f>_xlfn.XLOOKUP(Christus_Emp_Table[[#This Row],[Analyst Name:]],[1]!Table1[Analyst Name],[1]!Table1[Module])</f>
        <v>#REF!</v>
      </c>
      <c r="D93" s="20" t="e">
        <f>_xlfn.XLOOKUP(Christus_Emp_Table[[#This Row],[Analyst Name:]],[1]!Table1[Analyst Name],[1]!Table1[Location])</f>
        <v>#REF!</v>
      </c>
      <c r="E93" s="22" t="s">
        <v>19</v>
      </c>
      <c r="F93" s="21">
        <v>45765</v>
      </c>
      <c r="G93" s="21">
        <v>45765</v>
      </c>
      <c r="H93" s="20" t="s">
        <v>20</v>
      </c>
      <c r="I93" s="20" t="s">
        <v>16</v>
      </c>
      <c r="J93" s="20">
        <f>NETWORKDAYS(Christus_Emp_Table[[#This Row],[From Date:]],Christus_Emp_Table[[#This Row],[To Date:]])</f>
        <v>1</v>
      </c>
      <c r="K93" s="20"/>
      <c r="L93" s="20" t="e">
        <f>_xlfn.XLOOKUP(Christus_Emp_Table[[#This Row],[Analyst Name:]],[1]!Table1[Analyst Name],[1]!Table1[Lead])</f>
        <v>#REF!</v>
      </c>
      <c r="M93" s="20" t="e">
        <f>_xlfn.XLOOKUP(Christus_Emp_Table[[#This Row],[Analyst Name:]],[1]!Table1[Analyst Name],[1]!Table1[Active/Inactive])</f>
        <v>#REF!</v>
      </c>
    </row>
    <row r="94" spans="1:13" x14ac:dyDescent="0.35">
      <c r="A94" s="19" t="s">
        <v>36</v>
      </c>
      <c r="B94" s="20" t="e">
        <f>_xlfn.XLOOKUP(Christus_Emp_Table[[#This Row],[Analyst Name:]],[1]!Table1[Analyst Name],[1]!Table1[Deloitte Email ID])</f>
        <v>#REF!</v>
      </c>
      <c r="C94" s="20" t="e">
        <f>_xlfn.XLOOKUP(Christus_Emp_Table[[#This Row],[Analyst Name:]],[1]!Table1[Analyst Name],[1]!Table1[Module])</f>
        <v>#REF!</v>
      </c>
      <c r="D94" s="20" t="e">
        <f>_xlfn.XLOOKUP(Christus_Emp_Table[[#This Row],[Analyst Name:]],[1]!Table1[Analyst Name],[1]!Table1[Location])</f>
        <v>#REF!</v>
      </c>
      <c r="E94" s="20" t="s">
        <v>15</v>
      </c>
      <c r="F94" s="21">
        <v>45763</v>
      </c>
      <c r="G94" s="21">
        <v>45765</v>
      </c>
      <c r="H94" s="20" t="s">
        <v>15</v>
      </c>
      <c r="I94" s="20" t="s">
        <v>16</v>
      </c>
      <c r="J94" s="20">
        <f>NETWORKDAYS(Christus_Emp_Table[[#This Row],[From Date:]],Christus_Emp_Table[[#This Row],[To Date:]])</f>
        <v>3</v>
      </c>
      <c r="K94" s="20"/>
      <c r="L94" s="20" t="e">
        <f>_xlfn.XLOOKUP(Christus_Emp_Table[[#This Row],[Analyst Name:]],[1]!Table1[Analyst Name],[1]!Table1[Lead])</f>
        <v>#REF!</v>
      </c>
      <c r="M94" s="20" t="e">
        <f>_xlfn.XLOOKUP(Christus_Emp_Table[[#This Row],[Analyst Name:]],[1]!Table1[Analyst Name],[1]!Table1[Active/Inactive])</f>
        <v>#REF!</v>
      </c>
    </row>
    <row r="95" spans="1:13" x14ac:dyDescent="0.35">
      <c r="A95" s="19" t="s">
        <v>36</v>
      </c>
      <c r="B95" s="20" t="e">
        <f>_xlfn.XLOOKUP(Christus_Emp_Table[[#This Row],[Analyst Name:]],[1]!Table1[Analyst Name],[1]!Table1[Deloitte Email ID])</f>
        <v>#REF!</v>
      </c>
      <c r="C95" s="20" t="e">
        <f>_xlfn.XLOOKUP(Christus_Emp_Table[[#This Row],[Analyst Name:]],[1]!Table1[Analyst Name],[1]!Table1[Module])</f>
        <v>#REF!</v>
      </c>
      <c r="D95" s="20" t="e">
        <f>_xlfn.XLOOKUP(Christus_Emp_Table[[#This Row],[Analyst Name:]],[1]!Table1[Analyst Name],[1]!Table1[Location])</f>
        <v>#REF!</v>
      </c>
      <c r="E95" s="20" t="s">
        <v>15</v>
      </c>
      <c r="F95" s="21">
        <v>45777</v>
      </c>
      <c r="G95" s="21">
        <v>45777</v>
      </c>
      <c r="H95" s="20" t="s">
        <v>15</v>
      </c>
      <c r="I95" s="20" t="s">
        <v>16</v>
      </c>
      <c r="J95" s="20">
        <f>NETWORKDAYS(Christus_Emp_Table[[#This Row],[From Date:]],Christus_Emp_Table[[#This Row],[To Date:]])</f>
        <v>1</v>
      </c>
      <c r="K95" s="20"/>
      <c r="L95" s="20" t="e">
        <f>_xlfn.XLOOKUP(Christus_Emp_Table[[#This Row],[Analyst Name:]],[1]!Table1[Analyst Name],[1]!Table1[Lead])</f>
        <v>#REF!</v>
      </c>
      <c r="M95" s="20" t="e">
        <f>_xlfn.XLOOKUP(Christus_Emp_Table[[#This Row],[Analyst Name:]],[1]!Table1[Analyst Name],[1]!Table1[Active/Inactive])</f>
        <v>#REF!</v>
      </c>
    </row>
    <row r="96" spans="1:13" x14ac:dyDescent="0.35">
      <c r="A96" s="19" t="s">
        <v>37</v>
      </c>
      <c r="B96" s="20" t="e">
        <f>_xlfn.XLOOKUP(Christus_Emp_Table[[#This Row],[Analyst Name:]],[1]!Table1[Analyst Name],[1]!Table1[Deloitte Email ID])</f>
        <v>#REF!</v>
      </c>
      <c r="C96" s="20" t="e">
        <f>_xlfn.XLOOKUP(Christus_Emp_Table[[#This Row],[Analyst Name:]],[1]!Table1[Analyst Name],[1]!Table1[Module])</f>
        <v>#REF!</v>
      </c>
      <c r="D96" s="20" t="e">
        <f>_xlfn.XLOOKUP(Christus_Emp_Table[[#This Row],[Analyst Name:]],[1]!Table1[Analyst Name],[1]!Table1[Location])</f>
        <v>#REF!</v>
      </c>
      <c r="E96" s="22" t="s">
        <v>19</v>
      </c>
      <c r="F96" s="21">
        <v>45763</v>
      </c>
      <c r="G96" s="21">
        <v>45763</v>
      </c>
      <c r="H96" s="20" t="s">
        <v>20</v>
      </c>
      <c r="I96" s="20" t="s">
        <v>16</v>
      </c>
      <c r="J96" s="20">
        <f>NETWORKDAYS(Christus_Emp_Table[[#This Row],[From Date:]],Christus_Emp_Table[[#This Row],[To Date:]])</f>
        <v>1</v>
      </c>
      <c r="K96" s="20"/>
      <c r="L96" s="20" t="e">
        <f>_xlfn.XLOOKUP(Christus_Emp_Table[[#This Row],[Analyst Name:]],[1]!Table1[Analyst Name],[1]!Table1[Lead])</f>
        <v>#REF!</v>
      </c>
      <c r="M96" s="20" t="e">
        <f>_xlfn.XLOOKUP(Christus_Emp_Table[[#This Row],[Analyst Name:]],[1]!Table1[Analyst Name],[1]!Table1[Active/Inactive])</f>
        <v>#REF!</v>
      </c>
    </row>
    <row r="97" spans="1:13" x14ac:dyDescent="0.35">
      <c r="A97" s="19" t="s">
        <v>14</v>
      </c>
      <c r="B97" s="20" t="e">
        <f>_xlfn.XLOOKUP(Christus_Emp_Table[[#This Row],[Analyst Name:]],[1]!Table1[Analyst Name],[1]!Table1[Deloitte Email ID])</f>
        <v>#REF!</v>
      </c>
      <c r="C97" s="20" t="e">
        <f>_xlfn.XLOOKUP(Christus_Emp_Table[[#This Row],[Analyst Name:]],[1]!Table1[Analyst Name],[1]!Table1[Module])</f>
        <v>#REF!</v>
      </c>
      <c r="D97" s="20" t="e">
        <f>_xlfn.XLOOKUP(Christus_Emp_Table[[#This Row],[Analyst Name:]],[1]!Table1[Analyst Name],[1]!Table1[Location])</f>
        <v>#REF!</v>
      </c>
      <c r="E97" s="22" t="s">
        <v>19</v>
      </c>
      <c r="F97" s="21">
        <v>45754</v>
      </c>
      <c r="G97" s="21">
        <v>45754</v>
      </c>
      <c r="H97" s="20" t="s">
        <v>20</v>
      </c>
      <c r="I97" s="20" t="s">
        <v>16</v>
      </c>
      <c r="J97" s="20">
        <f>NETWORKDAYS(Christus_Emp_Table[[#This Row],[From Date:]],Christus_Emp_Table[[#This Row],[To Date:]])</f>
        <v>1</v>
      </c>
      <c r="K97" s="20"/>
      <c r="L97" s="20" t="e">
        <f>_xlfn.XLOOKUP(Christus_Emp_Table[[#This Row],[Analyst Name:]],[1]!Table1[Analyst Name],[1]!Table1[Lead])</f>
        <v>#REF!</v>
      </c>
      <c r="M97" s="20" t="e">
        <f>_xlfn.XLOOKUP(Christus_Emp_Table[[#This Row],[Analyst Name:]],[1]!Table1[Analyst Name],[1]!Table1[Active/Inactive])</f>
        <v>#REF!</v>
      </c>
    </row>
    <row r="98" spans="1:13" x14ac:dyDescent="0.35">
      <c r="A98" s="19" t="s">
        <v>14</v>
      </c>
      <c r="B98" s="20" t="e">
        <f>_xlfn.XLOOKUP(Christus_Emp_Table[[#This Row],[Analyst Name:]],[1]!Table1[Analyst Name],[1]!Table1[Deloitte Email ID])</f>
        <v>#REF!</v>
      </c>
      <c r="C98" s="20" t="e">
        <f>_xlfn.XLOOKUP(Christus_Emp_Table[[#This Row],[Analyst Name:]],[1]!Table1[Analyst Name],[1]!Table1[Module])</f>
        <v>#REF!</v>
      </c>
      <c r="D98" s="20" t="e">
        <f>_xlfn.XLOOKUP(Christus_Emp_Table[[#This Row],[Analyst Name:]],[1]!Table1[Analyst Name],[1]!Table1[Location])</f>
        <v>#REF!</v>
      </c>
      <c r="E98" s="20" t="s">
        <v>15</v>
      </c>
      <c r="F98" s="21">
        <v>45765</v>
      </c>
      <c r="G98" s="21">
        <v>45765</v>
      </c>
      <c r="H98" s="20" t="s">
        <v>15</v>
      </c>
      <c r="I98" s="20" t="s">
        <v>16</v>
      </c>
      <c r="J98" s="20">
        <f>NETWORKDAYS(Christus_Emp_Table[[#This Row],[From Date:]],Christus_Emp_Table[[#This Row],[To Date:]])</f>
        <v>1</v>
      </c>
      <c r="K98" s="20"/>
      <c r="L98" s="20" t="e">
        <f>_xlfn.XLOOKUP(Christus_Emp_Table[[#This Row],[Analyst Name:]],[1]!Table1[Analyst Name],[1]!Table1[Lead])</f>
        <v>#REF!</v>
      </c>
      <c r="M98" s="20" t="e">
        <f>_xlfn.XLOOKUP(Christus_Emp_Table[[#This Row],[Analyst Name:]],[1]!Table1[Analyst Name],[1]!Table1[Active/Inactive])</f>
        <v>#REF!</v>
      </c>
    </row>
    <row r="99" spans="1:13" x14ac:dyDescent="0.35">
      <c r="A99" s="19" t="s">
        <v>14</v>
      </c>
      <c r="B99" s="20" t="e">
        <f>_xlfn.XLOOKUP(Christus_Emp_Table[[#This Row],[Analyst Name:]],[1]!Table1[Analyst Name],[1]!Table1[Deloitte Email ID])</f>
        <v>#REF!</v>
      </c>
      <c r="C99" s="20" t="e">
        <f>_xlfn.XLOOKUP(Christus_Emp_Table[[#This Row],[Analyst Name:]],[1]!Table1[Analyst Name],[1]!Table1[Module])</f>
        <v>#REF!</v>
      </c>
      <c r="D99" s="20" t="e">
        <f>_xlfn.XLOOKUP(Christus_Emp_Table[[#This Row],[Analyst Name:]],[1]!Table1[Analyst Name],[1]!Table1[Location])</f>
        <v>#REF!</v>
      </c>
      <c r="E99" s="20" t="s">
        <v>15</v>
      </c>
      <c r="F99" s="21">
        <v>45770</v>
      </c>
      <c r="G99" s="21">
        <v>45772</v>
      </c>
      <c r="H99" s="20" t="s">
        <v>15</v>
      </c>
      <c r="I99" s="20" t="s">
        <v>16</v>
      </c>
      <c r="J99" s="20">
        <f>NETWORKDAYS(Christus_Emp_Table[[#This Row],[From Date:]],Christus_Emp_Table[[#This Row],[To Date:]])</f>
        <v>3</v>
      </c>
      <c r="K99" s="20"/>
      <c r="L99" s="20" t="e">
        <f>_xlfn.XLOOKUP(Christus_Emp_Table[[#This Row],[Analyst Name:]],[1]!Table1[Analyst Name],[1]!Table1[Lead])</f>
        <v>#REF!</v>
      </c>
      <c r="M99" s="20" t="e">
        <f>_xlfn.XLOOKUP(Christus_Emp_Table[[#This Row],[Analyst Name:]],[1]!Table1[Analyst Name],[1]!Table1[Active/Inactive])</f>
        <v>#REF!</v>
      </c>
    </row>
    <row r="100" spans="1:13" x14ac:dyDescent="0.35">
      <c r="A100" s="19" t="s">
        <v>41</v>
      </c>
      <c r="B100" s="20" t="e">
        <f>_xlfn.XLOOKUP(Christus_Emp_Table[[#This Row],[Analyst Name:]],[1]!Table1[Analyst Name],[1]!Table1[Deloitte Email ID])</f>
        <v>#REF!</v>
      </c>
      <c r="C100" s="20" t="e">
        <f>_xlfn.XLOOKUP(Christus_Emp_Table[[#This Row],[Analyst Name:]],[1]!Table1[Analyst Name],[1]!Table1[Module])</f>
        <v>#REF!</v>
      </c>
      <c r="D100" s="20" t="e">
        <f>_xlfn.XLOOKUP(Christus_Emp_Table[[#This Row],[Analyst Name:]],[1]!Table1[Analyst Name],[1]!Table1[Location])</f>
        <v>#REF!</v>
      </c>
      <c r="E100" s="20" t="s">
        <v>15</v>
      </c>
      <c r="F100" s="21">
        <v>45779</v>
      </c>
      <c r="G100" s="21">
        <v>45783</v>
      </c>
      <c r="H100" s="20" t="s">
        <v>15</v>
      </c>
      <c r="I100" s="20" t="s">
        <v>16</v>
      </c>
      <c r="J100" s="20">
        <f>NETWORKDAYS(Christus_Emp_Table[[#This Row],[From Date:]],Christus_Emp_Table[[#This Row],[To Date:]])</f>
        <v>3</v>
      </c>
      <c r="K100" s="20"/>
      <c r="L100" s="20" t="e">
        <f>_xlfn.XLOOKUP(Christus_Emp_Table[[#This Row],[Analyst Name:]],[1]!Table1[Analyst Name],[1]!Table1[Lead])</f>
        <v>#REF!</v>
      </c>
      <c r="M100" s="20" t="e">
        <f>_xlfn.XLOOKUP(Christus_Emp_Table[[#This Row],[Analyst Name:]],[1]!Table1[Analyst Name],[1]!Table1[Active/Inactive])</f>
        <v>#REF!</v>
      </c>
    </row>
    <row r="101" spans="1:13" x14ac:dyDescent="0.35">
      <c r="A101" s="19" t="s">
        <v>17</v>
      </c>
      <c r="B101" s="20" t="e">
        <f>_xlfn.XLOOKUP(Christus_Emp_Table[[#This Row],[Analyst Name:]],[1]!Table1[Analyst Name],[1]!Table1[Deloitte Email ID])</f>
        <v>#REF!</v>
      </c>
      <c r="C101" s="20" t="e">
        <f>_xlfn.XLOOKUP(Christus_Emp_Table[[#This Row],[Analyst Name:]],[1]!Table1[Analyst Name],[1]!Table1[Module])</f>
        <v>#REF!</v>
      </c>
      <c r="D101" s="20" t="e">
        <f>_xlfn.XLOOKUP(Christus_Emp_Table[[#This Row],[Analyst Name:]],[1]!Table1[Analyst Name],[1]!Table1[Location])</f>
        <v>#REF!</v>
      </c>
      <c r="E101" s="20" t="s">
        <v>23</v>
      </c>
      <c r="F101" s="21">
        <v>45786</v>
      </c>
      <c r="G101" s="21">
        <v>45786</v>
      </c>
      <c r="H101" s="20" t="s">
        <v>23</v>
      </c>
      <c r="I101" s="20" t="s">
        <v>16</v>
      </c>
      <c r="J101" s="20">
        <f>NETWORKDAYS(Christus_Emp_Table[[#This Row],[From Date:]],Christus_Emp_Table[[#This Row],[To Date:]])</f>
        <v>1</v>
      </c>
      <c r="K101" s="20"/>
      <c r="L101" s="20" t="e">
        <f>_xlfn.XLOOKUP(Christus_Emp_Table[[#This Row],[Analyst Name:]],[1]!Table1[Analyst Name],[1]!Table1[Lead])</f>
        <v>#REF!</v>
      </c>
      <c r="M101" s="20" t="e">
        <f>_xlfn.XLOOKUP(Christus_Emp_Table[[#This Row],[Analyst Name:]],[1]!Table1[Analyst Name],[1]!Table1[Active/Inactive])</f>
        <v>#REF!</v>
      </c>
    </row>
    <row r="102" spans="1:13" x14ac:dyDescent="0.35">
      <c r="A102" s="19" t="s">
        <v>17</v>
      </c>
      <c r="B102" s="20" t="e">
        <f>_xlfn.XLOOKUP(Christus_Emp_Table[[#This Row],[Analyst Name:]],[1]!Table1[Analyst Name],[1]!Table1[Deloitte Email ID])</f>
        <v>#REF!</v>
      </c>
      <c r="C102" s="20" t="e">
        <f>_xlfn.XLOOKUP(Christus_Emp_Table[[#This Row],[Analyst Name:]],[1]!Table1[Analyst Name],[1]!Table1[Module])</f>
        <v>#REF!</v>
      </c>
      <c r="D102" s="20" t="e">
        <f>_xlfn.XLOOKUP(Christus_Emp_Table[[#This Row],[Analyst Name:]],[1]!Table1[Analyst Name],[1]!Table1[Location])</f>
        <v>#REF!</v>
      </c>
      <c r="E102" s="22" t="s">
        <v>19</v>
      </c>
      <c r="F102" s="21">
        <v>45789</v>
      </c>
      <c r="G102" s="21">
        <v>45789</v>
      </c>
      <c r="H102" s="20" t="s">
        <v>20</v>
      </c>
      <c r="I102" s="20" t="s">
        <v>16</v>
      </c>
      <c r="J102" s="20">
        <f>NETWORKDAYS(Christus_Emp_Table[[#This Row],[From Date:]],Christus_Emp_Table[[#This Row],[To Date:]])</f>
        <v>1</v>
      </c>
      <c r="K102" s="20"/>
      <c r="L102" s="20" t="e">
        <f>_xlfn.XLOOKUP(Christus_Emp_Table[[#This Row],[Analyst Name:]],[1]!Table1[Analyst Name],[1]!Table1[Lead])</f>
        <v>#REF!</v>
      </c>
      <c r="M102" s="20" t="e">
        <f>_xlfn.XLOOKUP(Christus_Emp_Table[[#This Row],[Analyst Name:]],[1]!Table1[Analyst Name],[1]!Table1[Active/Inactive])</f>
        <v>#REF!</v>
      </c>
    </row>
    <row r="103" spans="1:13" x14ac:dyDescent="0.35">
      <c r="A103" s="19" t="s">
        <v>18</v>
      </c>
      <c r="B103" s="20" t="e">
        <f>_xlfn.XLOOKUP(Christus_Emp_Table[[#This Row],[Analyst Name:]],[1]!Table1[Analyst Name],[1]!Table1[Deloitte Email ID])</f>
        <v>#REF!</v>
      </c>
      <c r="C103" s="20" t="e">
        <f>_xlfn.XLOOKUP(Christus_Emp_Table[[#This Row],[Analyst Name:]],[1]!Table1[Analyst Name],[1]!Table1[Module])</f>
        <v>#REF!</v>
      </c>
      <c r="D103" s="20" t="e">
        <f>_xlfn.XLOOKUP(Christus_Emp_Table[[#This Row],[Analyst Name:]],[1]!Table1[Analyst Name],[1]!Table1[Location])</f>
        <v>#REF!</v>
      </c>
      <c r="E103" s="22" t="s">
        <v>19</v>
      </c>
      <c r="F103" s="21">
        <v>45785</v>
      </c>
      <c r="G103" s="21">
        <v>45785</v>
      </c>
      <c r="H103" s="20" t="s">
        <v>20</v>
      </c>
      <c r="I103" s="20" t="s">
        <v>16</v>
      </c>
      <c r="J103" s="20">
        <f>NETWORKDAYS(Christus_Emp_Table[[#This Row],[From Date:]],Christus_Emp_Table[[#This Row],[To Date:]])</f>
        <v>1</v>
      </c>
      <c r="K103" s="20"/>
      <c r="L103" s="20" t="e">
        <f>_xlfn.XLOOKUP(Christus_Emp_Table[[#This Row],[Analyst Name:]],[1]!Table1[Analyst Name],[1]!Table1[Lead])</f>
        <v>#REF!</v>
      </c>
      <c r="M103" s="20" t="e">
        <f>_xlfn.XLOOKUP(Christus_Emp_Table[[#This Row],[Analyst Name:]],[1]!Table1[Analyst Name],[1]!Table1[Active/Inactive])</f>
        <v>#REF!</v>
      </c>
    </row>
    <row r="104" spans="1:13" x14ac:dyDescent="0.35">
      <c r="A104" s="19" t="s">
        <v>21</v>
      </c>
      <c r="B104" s="20" t="e">
        <f>_xlfn.XLOOKUP(Christus_Emp_Table[[#This Row],[Analyst Name:]],[1]!Table1[Analyst Name],[1]!Table1[Deloitte Email ID])</f>
        <v>#REF!</v>
      </c>
      <c r="C104" s="20" t="e">
        <f>_xlfn.XLOOKUP(Christus_Emp_Table[[#This Row],[Analyst Name:]],[1]!Table1[Analyst Name],[1]!Table1[Module])</f>
        <v>#REF!</v>
      </c>
      <c r="D104" s="20" t="e">
        <f>_xlfn.XLOOKUP(Christus_Emp_Table[[#This Row],[Analyst Name:]],[1]!Table1[Analyst Name],[1]!Table1[Location])</f>
        <v>#REF!</v>
      </c>
      <c r="E104" s="22" t="s">
        <v>19</v>
      </c>
      <c r="F104" s="21">
        <v>45782</v>
      </c>
      <c r="G104" s="21">
        <v>45782</v>
      </c>
      <c r="H104" s="20" t="s">
        <v>20</v>
      </c>
      <c r="I104" s="20" t="s">
        <v>16</v>
      </c>
      <c r="J104" s="20">
        <f>NETWORKDAYS(Christus_Emp_Table[[#This Row],[From Date:]],Christus_Emp_Table[[#This Row],[To Date:]])</f>
        <v>1</v>
      </c>
      <c r="K104" s="20"/>
      <c r="L104" s="20" t="e">
        <f>_xlfn.XLOOKUP(Christus_Emp_Table[[#This Row],[Analyst Name:]],[1]!Table1[Analyst Name],[1]!Table1[Lead])</f>
        <v>#REF!</v>
      </c>
      <c r="M104" s="20" t="e">
        <f>_xlfn.XLOOKUP(Christus_Emp_Table[[#This Row],[Analyst Name:]],[1]!Table1[Analyst Name],[1]!Table1[Active/Inactive])</f>
        <v>#REF!</v>
      </c>
    </row>
    <row r="105" spans="1:13" x14ac:dyDescent="0.35">
      <c r="A105" s="19" t="s">
        <v>22</v>
      </c>
      <c r="B105" s="20" t="e">
        <f>_xlfn.XLOOKUP(Christus_Emp_Table[[#This Row],[Analyst Name:]],[1]!Table1[Analyst Name],[1]!Table1[Deloitte Email ID])</f>
        <v>#REF!</v>
      </c>
      <c r="C105" s="20" t="e">
        <f>_xlfn.XLOOKUP(Christus_Emp_Table[[#This Row],[Analyst Name:]],[1]!Table1[Analyst Name],[1]!Table1[Module])</f>
        <v>#REF!</v>
      </c>
      <c r="D105" s="20" t="e">
        <f>_xlfn.XLOOKUP(Christus_Emp_Table[[#This Row],[Analyst Name:]],[1]!Table1[Analyst Name],[1]!Table1[Location])</f>
        <v>#REF!</v>
      </c>
      <c r="E105" s="22" t="s">
        <v>19</v>
      </c>
      <c r="F105" s="21">
        <v>45785</v>
      </c>
      <c r="G105" s="21">
        <v>45786</v>
      </c>
      <c r="H105" s="20" t="s">
        <v>20</v>
      </c>
      <c r="I105" s="20" t="s">
        <v>16</v>
      </c>
      <c r="J105" s="20">
        <f>NETWORKDAYS(Christus_Emp_Table[[#This Row],[From Date:]],Christus_Emp_Table[[#This Row],[To Date:]])</f>
        <v>2</v>
      </c>
      <c r="K105" s="20"/>
      <c r="L105" s="20" t="e">
        <f>_xlfn.XLOOKUP(Christus_Emp_Table[[#This Row],[Analyst Name:]],[1]!Table1[Analyst Name],[1]!Table1[Lead])</f>
        <v>#REF!</v>
      </c>
      <c r="M105" s="20" t="e">
        <f>_xlfn.XLOOKUP(Christus_Emp_Table[[#This Row],[Analyst Name:]],[1]!Table1[Analyst Name],[1]!Table1[Active/Inactive])</f>
        <v>#REF!</v>
      </c>
    </row>
    <row r="106" spans="1:13" x14ac:dyDescent="0.35">
      <c r="A106" s="19" t="s">
        <v>22</v>
      </c>
      <c r="B106" s="20" t="e">
        <f>_xlfn.XLOOKUP(Christus_Emp_Table[[#This Row],[Analyst Name:]],[1]!Table1[Analyst Name],[1]!Table1[Deloitte Email ID])</f>
        <v>#REF!</v>
      </c>
      <c r="C106" s="20" t="e">
        <f>_xlfn.XLOOKUP(Christus_Emp_Table[[#This Row],[Analyst Name:]],[1]!Table1[Analyst Name],[1]!Table1[Module])</f>
        <v>#REF!</v>
      </c>
      <c r="D106" s="20" t="e">
        <f>_xlfn.XLOOKUP(Christus_Emp_Table[[#This Row],[Analyst Name:]],[1]!Table1[Analyst Name],[1]!Table1[Location])</f>
        <v>#REF!</v>
      </c>
      <c r="E106" s="22" t="s">
        <v>19</v>
      </c>
      <c r="F106" s="21">
        <v>45796</v>
      </c>
      <c r="G106" s="21">
        <v>45796</v>
      </c>
      <c r="H106" s="20" t="s">
        <v>20</v>
      </c>
      <c r="I106" s="20" t="s">
        <v>16</v>
      </c>
      <c r="J106" s="20">
        <f>NETWORKDAYS(Christus_Emp_Table[[#This Row],[From Date:]],Christus_Emp_Table[[#This Row],[To Date:]])</f>
        <v>1</v>
      </c>
      <c r="K106" s="20"/>
      <c r="L106" s="20" t="e">
        <f>_xlfn.XLOOKUP(Christus_Emp_Table[[#This Row],[Analyst Name:]],[1]!Table1[Analyst Name],[1]!Table1[Lead])</f>
        <v>#REF!</v>
      </c>
      <c r="M106" s="20" t="e">
        <f>_xlfn.XLOOKUP(Christus_Emp_Table[[#This Row],[Analyst Name:]],[1]!Table1[Analyst Name],[1]!Table1[Active/Inactive])</f>
        <v>#REF!</v>
      </c>
    </row>
    <row r="107" spans="1:13" x14ac:dyDescent="0.35">
      <c r="A107" s="19" t="s">
        <v>24</v>
      </c>
      <c r="B107" s="20" t="e">
        <f>_xlfn.XLOOKUP(Christus_Emp_Table[[#This Row],[Analyst Name:]],[1]!Table1[Analyst Name],[1]!Table1[Deloitte Email ID])</f>
        <v>#REF!</v>
      </c>
      <c r="C107" s="20" t="e">
        <f>_xlfn.XLOOKUP(Christus_Emp_Table[[#This Row],[Analyst Name:]],[1]!Table1[Analyst Name],[1]!Table1[Module])</f>
        <v>#REF!</v>
      </c>
      <c r="D107" s="20" t="e">
        <f>_xlfn.XLOOKUP(Christus_Emp_Table[[#This Row],[Analyst Name:]],[1]!Table1[Analyst Name],[1]!Table1[Location])</f>
        <v>#REF!</v>
      </c>
      <c r="E107" s="20" t="s">
        <v>15</v>
      </c>
      <c r="F107" s="21">
        <v>45782</v>
      </c>
      <c r="G107" s="21">
        <v>45782</v>
      </c>
      <c r="H107" s="20" t="s">
        <v>15</v>
      </c>
      <c r="I107" s="20" t="s">
        <v>16</v>
      </c>
      <c r="J107" s="20">
        <f>NETWORKDAYS(Christus_Emp_Table[[#This Row],[From Date:]],Christus_Emp_Table[[#This Row],[To Date:]])</f>
        <v>1</v>
      </c>
      <c r="K107" s="20"/>
      <c r="L107" s="20" t="e">
        <f>_xlfn.XLOOKUP(Christus_Emp_Table[[#This Row],[Analyst Name:]],[1]!Table1[Analyst Name],[1]!Table1[Lead])</f>
        <v>#REF!</v>
      </c>
      <c r="M107" s="20" t="e">
        <f>_xlfn.XLOOKUP(Christus_Emp_Table[[#This Row],[Analyst Name:]],[1]!Table1[Analyst Name],[1]!Table1[Active/Inactive])</f>
        <v>#REF!</v>
      </c>
    </row>
    <row r="108" spans="1:13" x14ac:dyDescent="0.35">
      <c r="A108" s="19" t="s">
        <v>24</v>
      </c>
      <c r="B108" s="20" t="e">
        <f>_xlfn.XLOOKUP(Christus_Emp_Table[[#This Row],[Analyst Name:]],[1]!Table1[Analyst Name],[1]!Table1[Deloitte Email ID])</f>
        <v>#REF!</v>
      </c>
      <c r="C108" s="20" t="e">
        <f>_xlfn.XLOOKUP(Christus_Emp_Table[[#This Row],[Analyst Name:]],[1]!Table1[Analyst Name],[1]!Table1[Module])</f>
        <v>#REF!</v>
      </c>
      <c r="D108" s="20" t="e">
        <f>_xlfn.XLOOKUP(Christus_Emp_Table[[#This Row],[Analyst Name:]],[1]!Table1[Analyst Name],[1]!Table1[Location])</f>
        <v>#REF!</v>
      </c>
      <c r="E108" s="22" t="s">
        <v>19</v>
      </c>
      <c r="F108" s="21">
        <v>45803</v>
      </c>
      <c r="G108" s="21">
        <v>45803</v>
      </c>
      <c r="H108" s="20" t="s">
        <v>20</v>
      </c>
      <c r="I108" s="20" t="s">
        <v>16</v>
      </c>
      <c r="J108" s="20">
        <f>NETWORKDAYS(Christus_Emp_Table[[#This Row],[From Date:]],Christus_Emp_Table[[#This Row],[To Date:]])</f>
        <v>1</v>
      </c>
      <c r="K108" s="20"/>
      <c r="L108" s="20" t="e">
        <f>_xlfn.XLOOKUP(Christus_Emp_Table[[#This Row],[Analyst Name:]],[1]!Table1[Analyst Name],[1]!Table1[Lead])</f>
        <v>#REF!</v>
      </c>
      <c r="M108" s="20" t="e">
        <f>_xlfn.XLOOKUP(Christus_Emp_Table[[#This Row],[Analyst Name:]],[1]!Table1[Analyst Name],[1]!Table1[Active/Inactive])</f>
        <v>#REF!</v>
      </c>
    </row>
    <row r="109" spans="1:13" x14ac:dyDescent="0.35">
      <c r="A109" s="19" t="s">
        <v>25</v>
      </c>
      <c r="B109" s="20" t="e">
        <f>_xlfn.XLOOKUP(Christus_Emp_Table[[#This Row],[Analyst Name:]],[1]!Table1[Analyst Name],[1]!Table1[Deloitte Email ID])</f>
        <v>#REF!</v>
      </c>
      <c r="C109" s="20" t="e">
        <f>_xlfn.XLOOKUP(Christus_Emp_Table[[#This Row],[Analyst Name:]],[1]!Table1[Analyst Name],[1]!Table1[Module])</f>
        <v>#REF!</v>
      </c>
      <c r="D109" s="20" t="e">
        <f>_xlfn.XLOOKUP(Christus_Emp_Table[[#This Row],[Analyst Name:]],[1]!Table1[Analyst Name],[1]!Table1[Location])</f>
        <v>#REF!</v>
      </c>
      <c r="E109" s="20" t="s">
        <v>15</v>
      </c>
      <c r="F109" s="21">
        <v>45779</v>
      </c>
      <c r="G109" s="21">
        <v>45779</v>
      </c>
      <c r="H109" s="20" t="s">
        <v>15</v>
      </c>
      <c r="I109" s="20" t="s">
        <v>16</v>
      </c>
      <c r="J109" s="20">
        <f>NETWORKDAYS(Christus_Emp_Table[[#This Row],[From Date:]],Christus_Emp_Table[[#This Row],[To Date:]])</f>
        <v>1</v>
      </c>
      <c r="K109" s="20"/>
      <c r="L109" s="20" t="e">
        <f>_xlfn.XLOOKUP(Christus_Emp_Table[[#This Row],[Analyst Name:]],[1]!Table1[Analyst Name],[1]!Table1[Lead])</f>
        <v>#REF!</v>
      </c>
      <c r="M109" s="20" t="e">
        <f>_xlfn.XLOOKUP(Christus_Emp_Table[[#This Row],[Analyst Name:]],[1]!Table1[Analyst Name],[1]!Table1[Active/Inactive])</f>
        <v>#REF!</v>
      </c>
    </row>
    <row r="110" spans="1:13" x14ac:dyDescent="0.35">
      <c r="A110" s="19" t="s">
        <v>25</v>
      </c>
      <c r="B110" s="20" t="e">
        <f>_xlfn.XLOOKUP(Christus_Emp_Table[[#This Row],[Analyst Name:]],[1]!Table1[Analyst Name],[1]!Table1[Deloitte Email ID])</f>
        <v>#REF!</v>
      </c>
      <c r="C110" s="20" t="e">
        <f>_xlfn.XLOOKUP(Christus_Emp_Table[[#This Row],[Analyst Name:]],[1]!Table1[Analyst Name],[1]!Table1[Module])</f>
        <v>#REF!</v>
      </c>
      <c r="D110" s="20" t="e">
        <f>_xlfn.XLOOKUP(Christus_Emp_Table[[#This Row],[Analyst Name:]],[1]!Table1[Analyst Name],[1]!Table1[Location])</f>
        <v>#REF!</v>
      </c>
      <c r="E110" s="22" t="s">
        <v>19</v>
      </c>
      <c r="F110" s="21">
        <v>45789</v>
      </c>
      <c r="G110" s="21">
        <v>45789</v>
      </c>
      <c r="H110" s="20" t="s">
        <v>20</v>
      </c>
      <c r="I110" s="20" t="s">
        <v>16</v>
      </c>
      <c r="J110" s="20">
        <f>NETWORKDAYS(Christus_Emp_Table[[#This Row],[From Date:]],Christus_Emp_Table[[#This Row],[To Date:]])</f>
        <v>1</v>
      </c>
      <c r="K110" s="20"/>
      <c r="L110" s="20" t="e">
        <f>_xlfn.XLOOKUP(Christus_Emp_Table[[#This Row],[Analyst Name:]],[1]!Table1[Analyst Name],[1]!Table1[Lead])</f>
        <v>#REF!</v>
      </c>
      <c r="M110" s="20" t="e">
        <f>_xlfn.XLOOKUP(Christus_Emp_Table[[#This Row],[Analyst Name:]],[1]!Table1[Analyst Name],[1]!Table1[Active/Inactive])</f>
        <v>#REF!</v>
      </c>
    </row>
    <row r="111" spans="1:13" x14ac:dyDescent="0.35">
      <c r="A111" s="19" t="s">
        <v>25</v>
      </c>
      <c r="B111" s="20" t="e">
        <f>_xlfn.XLOOKUP(Christus_Emp_Table[[#This Row],[Analyst Name:]],[1]!Table1[Analyst Name],[1]!Table1[Deloitte Email ID])</f>
        <v>#REF!</v>
      </c>
      <c r="C111" s="20" t="e">
        <f>_xlfn.XLOOKUP(Christus_Emp_Table[[#This Row],[Analyst Name:]],[1]!Table1[Analyst Name],[1]!Table1[Module])</f>
        <v>#REF!</v>
      </c>
      <c r="D111" s="20" t="e">
        <f>_xlfn.XLOOKUP(Christus_Emp_Table[[#This Row],[Analyst Name:]],[1]!Table1[Analyst Name],[1]!Table1[Location])</f>
        <v>#REF!</v>
      </c>
      <c r="E111" s="22" t="s">
        <v>19</v>
      </c>
      <c r="F111" s="21">
        <v>45806</v>
      </c>
      <c r="G111" s="21">
        <v>45806</v>
      </c>
      <c r="H111" s="20" t="s">
        <v>20</v>
      </c>
      <c r="I111" s="20" t="s">
        <v>16</v>
      </c>
      <c r="J111" s="20">
        <f>NETWORKDAYS(Christus_Emp_Table[[#This Row],[From Date:]],Christus_Emp_Table[[#This Row],[To Date:]])</f>
        <v>1</v>
      </c>
      <c r="K111" s="20"/>
      <c r="L111" s="20" t="e">
        <f>_xlfn.XLOOKUP(Christus_Emp_Table[[#This Row],[Analyst Name:]],[1]!Table1[Analyst Name],[1]!Table1[Lead])</f>
        <v>#REF!</v>
      </c>
      <c r="M111" s="20" t="e">
        <f>_xlfn.XLOOKUP(Christus_Emp_Table[[#This Row],[Analyst Name:]],[1]!Table1[Analyst Name],[1]!Table1[Active/Inactive])</f>
        <v>#REF!</v>
      </c>
    </row>
    <row r="112" spans="1:13" x14ac:dyDescent="0.35">
      <c r="A112" s="19" t="s">
        <v>26</v>
      </c>
      <c r="B112" s="20" t="e">
        <f>_xlfn.XLOOKUP(Christus_Emp_Table[[#This Row],[Analyst Name:]],[1]!Table1[Analyst Name],[1]!Table1[Deloitte Email ID])</f>
        <v>#REF!</v>
      </c>
      <c r="C112" s="20" t="e">
        <f>_xlfn.XLOOKUP(Christus_Emp_Table[[#This Row],[Analyst Name:]],[1]!Table1[Analyst Name],[1]!Table1[Module])</f>
        <v>#REF!</v>
      </c>
      <c r="D112" s="20" t="e">
        <f>_xlfn.XLOOKUP(Christus_Emp_Table[[#This Row],[Analyst Name:]],[1]!Table1[Analyst Name],[1]!Table1[Location])</f>
        <v>#REF!</v>
      </c>
      <c r="E112" s="20" t="s">
        <v>15</v>
      </c>
      <c r="F112" s="21">
        <v>45779</v>
      </c>
      <c r="G112" s="21">
        <v>45779</v>
      </c>
      <c r="H112" s="20" t="s">
        <v>15</v>
      </c>
      <c r="I112" s="20" t="s">
        <v>16</v>
      </c>
      <c r="J112" s="20">
        <f>NETWORKDAYS(Christus_Emp_Table[[#This Row],[From Date:]],Christus_Emp_Table[[#This Row],[To Date:]])</f>
        <v>1</v>
      </c>
      <c r="K112" s="20"/>
      <c r="L112" s="20" t="e">
        <f>_xlfn.XLOOKUP(Christus_Emp_Table[[#This Row],[Analyst Name:]],[1]!Table1[Analyst Name],[1]!Table1[Lead])</f>
        <v>#REF!</v>
      </c>
      <c r="M112" s="20" t="e">
        <f>_xlfn.XLOOKUP(Christus_Emp_Table[[#This Row],[Analyst Name:]],[1]!Table1[Analyst Name],[1]!Table1[Active/Inactive])</f>
        <v>#REF!</v>
      </c>
    </row>
    <row r="113" spans="1:13" x14ac:dyDescent="0.35">
      <c r="A113" s="19" t="s">
        <v>38</v>
      </c>
      <c r="B113" s="20" t="e">
        <f>_xlfn.XLOOKUP(Christus_Emp_Table[[#This Row],[Analyst Name:]],[1]!Table1[Analyst Name],[1]!Table1[Deloitte Email ID])</f>
        <v>#REF!</v>
      </c>
      <c r="C113" s="20" t="e">
        <f>_xlfn.XLOOKUP(Christus_Emp_Table[[#This Row],[Analyst Name:]],[1]!Table1[Analyst Name],[1]!Table1[Module])</f>
        <v>#REF!</v>
      </c>
      <c r="D113" s="20" t="e">
        <f>_xlfn.XLOOKUP(Christus_Emp_Table[[#This Row],[Analyst Name:]],[1]!Table1[Analyst Name],[1]!Table1[Location])</f>
        <v>#REF!</v>
      </c>
      <c r="E113" s="20" t="s">
        <v>15</v>
      </c>
      <c r="F113" s="21">
        <v>45779</v>
      </c>
      <c r="G113" s="21">
        <v>45779</v>
      </c>
      <c r="H113" s="20" t="s">
        <v>15</v>
      </c>
      <c r="I113" s="20" t="s">
        <v>16</v>
      </c>
      <c r="J113" s="20">
        <f>NETWORKDAYS(Christus_Emp_Table[[#This Row],[From Date:]],Christus_Emp_Table[[#This Row],[To Date:]])</f>
        <v>1</v>
      </c>
      <c r="K113" s="20"/>
      <c r="L113" s="20" t="e">
        <f>_xlfn.XLOOKUP(Christus_Emp_Table[[#This Row],[Analyst Name:]],[1]!Table1[Analyst Name],[1]!Table1[Lead])</f>
        <v>#REF!</v>
      </c>
      <c r="M113" s="20" t="e">
        <f>_xlfn.XLOOKUP(Christus_Emp_Table[[#This Row],[Analyst Name:]],[1]!Table1[Analyst Name],[1]!Table1[Active/Inactive])</f>
        <v>#REF!</v>
      </c>
    </row>
    <row r="114" spans="1:13" x14ac:dyDescent="0.35">
      <c r="A114" s="19" t="s">
        <v>38</v>
      </c>
      <c r="B114" s="20" t="e">
        <f>_xlfn.XLOOKUP(Christus_Emp_Table[[#This Row],[Analyst Name:]],[1]!Table1[Analyst Name],[1]!Table1[Deloitte Email ID])</f>
        <v>#REF!</v>
      </c>
      <c r="C114" s="20" t="e">
        <f>_xlfn.XLOOKUP(Christus_Emp_Table[[#This Row],[Analyst Name:]],[1]!Table1[Analyst Name],[1]!Table1[Module])</f>
        <v>#REF!</v>
      </c>
      <c r="D114" s="20" t="e">
        <f>_xlfn.XLOOKUP(Christus_Emp_Table[[#This Row],[Analyst Name:]],[1]!Table1[Analyst Name],[1]!Table1[Location])</f>
        <v>#REF!</v>
      </c>
      <c r="E114" s="20" t="s">
        <v>15</v>
      </c>
      <c r="F114" s="21">
        <v>45798</v>
      </c>
      <c r="G114" s="21">
        <v>45800</v>
      </c>
      <c r="H114" s="20" t="s">
        <v>15</v>
      </c>
      <c r="I114" s="20" t="s">
        <v>16</v>
      </c>
      <c r="J114" s="20">
        <f>NETWORKDAYS(Christus_Emp_Table[[#This Row],[From Date:]],Christus_Emp_Table[[#This Row],[To Date:]])</f>
        <v>3</v>
      </c>
      <c r="K114" s="20"/>
      <c r="L114" s="20" t="e">
        <f>_xlfn.XLOOKUP(Christus_Emp_Table[[#This Row],[Analyst Name:]],[1]!Table1[Analyst Name],[1]!Table1[Lead])</f>
        <v>#REF!</v>
      </c>
      <c r="M114" s="20" t="e">
        <f>_xlfn.XLOOKUP(Christus_Emp_Table[[#This Row],[Analyst Name:]],[1]!Table1[Analyst Name],[1]!Table1[Active/Inactive])</f>
        <v>#REF!</v>
      </c>
    </row>
    <row r="115" spans="1:13" x14ac:dyDescent="0.35">
      <c r="A115" s="19" t="s">
        <v>38</v>
      </c>
      <c r="B115" s="20" t="e">
        <f>_xlfn.XLOOKUP(Christus_Emp_Table[[#This Row],[Analyst Name:]],[1]!Table1[Analyst Name],[1]!Table1[Deloitte Email ID])</f>
        <v>#REF!</v>
      </c>
      <c r="C115" s="20" t="e">
        <f>_xlfn.XLOOKUP(Christus_Emp_Table[[#This Row],[Analyst Name:]],[1]!Table1[Analyst Name],[1]!Table1[Module])</f>
        <v>#REF!</v>
      </c>
      <c r="D115" s="20" t="e">
        <f>_xlfn.XLOOKUP(Christus_Emp_Table[[#This Row],[Analyst Name:]],[1]!Table1[Analyst Name],[1]!Table1[Location])</f>
        <v>#REF!</v>
      </c>
      <c r="E115" s="22" t="s">
        <v>19</v>
      </c>
      <c r="F115" s="21">
        <v>45803</v>
      </c>
      <c r="G115" s="21">
        <v>45803</v>
      </c>
      <c r="H115" s="20" t="s">
        <v>20</v>
      </c>
      <c r="I115" s="20" t="s">
        <v>16</v>
      </c>
      <c r="J115" s="20">
        <f>NETWORKDAYS(Christus_Emp_Table[[#This Row],[From Date:]],Christus_Emp_Table[[#This Row],[To Date:]])</f>
        <v>1</v>
      </c>
      <c r="K115" s="20"/>
      <c r="L115" s="20" t="e">
        <f>_xlfn.XLOOKUP(Christus_Emp_Table[[#This Row],[Analyst Name:]],[1]!Table1[Analyst Name],[1]!Table1[Lead])</f>
        <v>#REF!</v>
      </c>
      <c r="M115" s="20" t="e">
        <f>_xlfn.XLOOKUP(Christus_Emp_Table[[#This Row],[Analyst Name:]],[1]!Table1[Analyst Name],[1]!Table1[Active/Inactive])</f>
        <v>#REF!</v>
      </c>
    </row>
    <row r="116" spans="1:13" x14ac:dyDescent="0.35">
      <c r="A116" s="19" t="s">
        <v>42</v>
      </c>
      <c r="B116" s="20" t="e">
        <f>_xlfn.XLOOKUP(Christus_Emp_Table[[#This Row],[Analyst Name:]],[1]!Table1[Analyst Name],[1]!Table1[Deloitte Email ID])</f>
        <v>#REF!</v>
      </c>
      <c r="C116" s="20" t="e">
        <f>_xlfn.XLOOKUP(Christus_Emp_Table[[#This Row],[Analyst Name:]],[1]!Table1[Analyst Name],[1]!Table1[Module])</f>
        <v>#REF!</v>
      </c>
      <c r="D116" s="20" t="e">
        <f>_xlfn.XLOOKUP(Christus_Emp_Table[[#This Row],[Analyst Name:]],[1]!Table1[Analyst Name],[1]!Table1[Location])</f>
        <v>#REF!</v>
      </c>
      <c r="E116" s="20" t="s">
        <v>15</v>
      </c>
      <c r="F116" s="21">
        <v>45779</v>
      </c>
      <c r="G116" s="21">
        <v>45783</v>
      </c>
      <c r="H116" s="20" t="s">
        <v>15</v>
      </c>
      <c r="I116" s="20" t="s">
        <v>16</v>
      </c>
      <c r="J116" s="20">
        <f>NETWORKDAYS(Christus_Emp_Table[[#This Row],[From Date:]],Christus_Emp_Table[[#This Row],[To Date:]])</f>
        <v>3</v>
      </c>
      <c r="K116" s="20"/>
      <c r="L116" s="20" t="e">
        <f>_xlfn.XLOOKUP(Christus_Emp_Table[[#This Row],[Analyst Name:]],[1]!Table1[Analyst Name],[1]!Table1[Lead])</f>
        <v>#REF!</v>
      </c>
      <c r="M116" s="20" t="e">
        <f>_xlfn.XLOOKUP(Christus_Emp_Table[[#This Row],[Analyst Name:]],[1]!Table1[Analyst Name],[1]!Table1[Active/Inactive])</f>
        <v>#REF!</v>
      </c>
    </row>
    <row r="117" spans="1:13" x14ac:dyDescent="0.35">
      <c r="A117" s="19" t="s">
        <v>27</v>
      </c>
      <c r="B117" s="20" t="e">
        <f>_xlfn.XLOOKUP(Christus_Emp_Table[[#This Row],[Analyst Name:]],[1]!Table1[Analyst Name],[1]!Table1[Deloitte Email ID])</f>
        <v>#REF!</v>
      </c>
      <c r="C117" s="20" t="e">
        <f>_xlfn.XLOOKUP(Christus_Emp_Table[[#This Row],[Analyst Name:]],[1]!Table1[Analyst Name],[1]!Table1[Module])</f>
        <v>#REF!</v>
      </c>
      <c r="D117" s="20" t="e">
        <f>_xlfn.XLOOKUP(Christus_Emp_Table[[#This Row],[Analyst Name:]],[1]!Table1[Analyst Name],[1]!Table1[Location])</f>
        <v>#REF!</v>
      </c>
      <c r="E117" s="20" t="s">
        <v>15</v>
      </c>
      <c r="F117" s="21">
        <v>45779</v>
      </c>
      <c r="G117" s="21">
        <v>45782</v>
      </c>
      <c r="H117" s="20" t="s">
        <v>15</v>
      </c>
      <c r="I117" s="20" t="s">
        <v>16</v>
      </c>
      <c r="J117" s="20">
        <f>NETWORKDAYS(Christus_Emp_Table[[#This Row],[From Date:]],Christus_Emp_Table[[#This Row],[To Date:]])</f>
        <v>2</v>
      </c>
      <c r="K117" s="20"/>
      <c r="L117" s="20" t="e">
        <f>_xlfn.XLOOKUP(Christus_Emp_Table[[#This Row],[Analyst Name:]],[1]!Table1[Analyst Name],[1]!Table1[Lead])</f>
        <v>#REF!</v>
      </c>
      <c r="M117" s="20" t="e">
        <f>_xlfn.XLOOKUP(Christus_Emp_Table[[#This Row],[Analyst Name:]],[1]!Table1[Analyst Name],[1]!Table1[Active/Inactive])</f>
        <v>#REF!</v>
      </c>
    </row>
    <row r="118" spans="1:13" x14ac:dyDescent="0.35">
      <c r="A118" s="19" t="s">
        <v>27</v>
      </c>
      <c r="B118" s="20" t="e">
        <f>_xlfn.XLOOKUP(Christus_Emp_Table[[#This Row],[Analyst Name:]],[1]!Table1[Analyst Name],[1]!Table1[Deloitte Email ID])</f>
        <v>#REF!</v>
      </c>
      <c r="C118" s="20" t="e">
        <f>_xlfn.XLOOKUP(Christus_Emp_Table[[#This Row],[Analyst Name:]],[1]!Table1[Analyst Name],[1]!Table1[Module])</f>
        <v>#REF!</v>
      </c>
      <c r="D118" s="20" t="e">
        <f>_xlfn.XLOOKUP(Christus_Emp_Table[[#This Row],[Analyst Name:]],[1]!Table1[Analyst Name],[1]!Table1[Location])</f>
        <v>#REF!</v>
      </c>
      <c r="E118" s="22" t="s">
        <v>19</v>
      </c>
      <c r="F118" s="21">
        <v>45806</v>
      </c>
      <c r="G118" s="21">
        <v>45806</v>
      </c>
      <c r="H118" s="20" t="s">
        <v>20</v>
      </c>
      <c r="I118" s="20" t="s">
        <v>16</v>
      </c>
      <c r="J118" s="20">
        <f>NETWORKDAYS(Christus_Emp_Table[[#This Row],[From Date:]],Christus_Emp_Table[[#This Row],[To Date:]])</f>
        <v>1</v>
      </c>
      <c r="K118" s="20"/>
      <c r="L118" s="20" t="e">
        <f>_xlfn.XLOOKUP(Christus_Emp_Table[[#This Row],[Analyst Name:]],[1]!Table1[Analyst Name],[1]!Table1[Lead])</f>
        <v>#REF!</v>
      </c>
      <c r="M118" s="20" t="e">
        <f>_xlfn.XLOOKUP(Christus_Emp_Table[[#This Row],[Analyst Name:]],[1]!Table1[Analyst Name],[1]!Table1[Active/Inactive])</f>
        <v>#REF!</v>
      </c>
    </row>
    <row r="119" spans="1:13" x14ac:dyDescent="0.35">
      <c r="A119" s="19" t="s">
        <v>28</v>
      </c>
      <c r="B119" s="20" t="e">
        <f>_xlfn.XLOOKUP(Christus_Emp_Table[[#This Row],[Analyst Name:]],[1]!Table1[Analyst Name],[1]!Table1[Deloitte Email ID])</f>
        <v>#REF!</v>
      </c>
      <c r="C119" s="20" t="e">
        <f>_xlfn.XLOOKUP(Christus_Emp_Table[[#This Row],[Analyst Name:]],[1]!Table1[Analyst Name],[1]!Table1[Module])</f>
        <v>#REF!</v>
      </c>
      <c r="D119" s="20" t="e">
        <f>_xlfn.XLOOKUP(Christus_Emp_Table[[#This Row],[Analyst Name:]],[1]!Table1[Analyst Name],[1]!Table1[Location])</f>
        <v>#REF!</v>
      </c>
      <c r="E119" s="20" t="s">
        <v>15</v>
      </c>
      <c r="F119" s="21">
        <v>45789</v>
      </c>
      <c r="G119" s="21">
        <v>45793</v>
      </c>
      <c r="H119" s="20" t="s">
        <v>15</v>
      </c>
      <c r="I119" s="20" t="s">
        <v>16</v>
      </c>
      <c r="J119" s="20">
        <f>NETWORKDAYS(Christus_Emp_Table[[#This Row],[From Date:]],Christus_Emp_Table[[#This Row],[To Date:]])</f>
        <v>5</v>
      </c>
      <c r="K119" s="20"/>
      <c r="L119" s="20" t="e">
        <f>_xlfn.XLOOKUP(Christus_Emp_Table[[#This Row],[Analyst Name:]],[1]!Table1[Analyst Name],[1]!Table1[Lead])</f>
        <v>#REF!</v>
      </c>
      <c r="M119" s="20" t="e">
        <f>_xlfn.XLOOKUP(Christus_Emp_Table[[#This Row],[Analyst Name:]],[1]!Table1[Analyst Name],[1]!Table1[Active/Inactive])</f>
        <v>#REF!</v>
      </c>
    </row>
    <row r="120" spans="1:13" x14ac:dyDescent="0.35">
      <c r="A120" s="19" t="s">
        <v>29</v>
      </c>
      <c r="B120" s="20" t="e">
        <f>_xlfn.XLOOKUP(Christus_Emp_Table[[#This Row],[Analyst Name:]],[1]!Table1[Analyst Name],[1]!Table1[Deloitte Email ID])</f>
        <v>#REF!</v>
      </c>
      <c r="C120" s="20" t="e">
        <f>_xlfn.XLOOKUP(Christus_Emp_Table[[#This Row],[Analyst Name:]],[1]!Table1[Analyst Name],[1]!Table1[Module])</f>
        <v>#REF!</v>
      </c>
      <c r="D120" s="20" t="e">
        <f>_xlfn.XLOOKUP(Christus_Emp_Table[[#This Row],[Analyst Name:]],[1]!Table1[Analyst Name],[1]!Table1[Location])</f>
        <v>#REF!</v>
      </c>
      <c r="E120" s="22" t="s">
        <v>19</v>
      </c>
      <c r="F120" s="21">
        <v>45782</v>
      </c>
      <c r="G120" s="21">
        <v>45782</v>
      </c>
      <c r="H120" s="20" t="s">
        <v>20</v>
      </c>
      <c r="I120" s="20" t="s">
        <v>16</v>
      </c>
      <c r="J120" s="20">
        <f>NETWORKDAYS(Christus_Emp_Table[[#This Row],[From Date:]],Christus_Emp_Table[[#This Row],[To Date:]])</f>
        <v>1</v>
      </c>
      <c r="K120" s="20"/>
      <c r="L120" s="20" t="e">
        <f>_xlfn.XLOOKUP(Christus_Emp_Table[[#This Row],[Analyst Name:]],[1]!Table1[Analyst Name],[1]!Table1[Lead])</f>
        <v>#REF!</v>
      </c>
      <c r="M120" s="20" t="e">
        <f>_xlfn.XLOOKUP(Christus_Emp_Table[[#This Row],[Analyst Name:]],[1]!Table1[Analyst Name],[1]!Table1[Active/Inactive])</f>
        <v>#REF!</v>
      </c>
    </row>
    <row r="121" spans="1:13" x14ac:dyDescent="0.35">
      <c r="A121" s="19" t="s">
        <v>29</v>
      </c>
      <c r="B121" s="20" t="e">
        <f>_xlfn.XLOOKUP(Christus_Emp_Table[[#This Row],[Analyst Name:]],[1]!Table1[Analyst Name],[1]!Table1[Deloitte Email ID])</f>
        <v>#REF!</v>
      </c>
      <c r="C121" s="20" t="e">
        <f>_xlfn.XLOOKUP(Christus_Emp_Table[[#This Row],[Analyst Name:]],[1]!Table1[Analyst Name],[1]!Table1[Module])</f>
        <v>#REF!</v>
      </c>
      <c r="D121" s="20" t="e">
        <f>_xlfn.XLOOKUP(Christus_Emp_Table[[#This Row],[Analyst Name:]],[1]!Table1[Analyst Name],[1]!Table1[Location])</f>
        <v>#REF!</v>
      </c>
      <c r="E121" s="20" t="s">
        <v>23</v>
      </c>
      <c r="F121" s="21">
        <v>45804</v>
      </c>
      <c r="G121" s="21">
        <v>45804</v>
      </c>
      <c r="H121" s="20" t="s">
        <v>23</v>
      </c>
      <c r="I121" s="20" t="s">
        <v>16</v>
      </c>
      <c r="J121" s="20">
        <f>NETWORKDAYS(Christus_Emp_Table[[#This Row],[From Date:]],Christus_Emp_Table[[#This Row],[To Date:]])</f>
        <v>1</v>
      </c>
      <c r="K121" s="20"/>
      <c r="L121" s="20" t="e">
        <f>_xlfn.XLOOKUP(Christus_Emp_Table[[#This Row],[Analyst Name:]],[1]!Table1[Analyst Name],[1]!Table1[Lead])</f>
        <v>#REF!</v>
      </c>
      <c r="M121" s="20" t="e">
        <f>_xlfn.XLOOKUP(Christus_Emp_Table[[#This Row],[Analyst Name:]],[1]!Table1[Analyst Name],[1]!Table1[Active/Inactive])</f>
        <v>#REF!</v>
      </c>
    </row>
    <row r="122" spans="1:13" x14ac:dyDescent="0.35">
      <c r="A122" s="19" t="s">
        <v>31</v>
      </c>
      <c r="B122" s="20" t="e">
        <f>_xlfn.XLOOKUP(Christus_Emp_Table[[#This Row],[Analyst Name:]],[1]!Table1[Analyst Name],[1]!Table1[Deloitte Email ID])</f>
        <v>#REF!</v>
      </c>
      <c r="C122" s="20" t="e">
        <f>_xlfn.XLOOKUP(Christus_Emp_Table[[#This Row],[Analyst Name:]],[1]!Table1[Analyst Name],[1]!Table1[Module])</f>
        <v>#REF!</v>
      </c>
      <c r="D122" s="20" t="e">
        <f>_xlfn.XLOOKUP(Christus_Emp_Table[[#This Row],[Analyst Name:]],[1]!Table1[Analyst Name],[1]!Table1[Location])</f>
        <v>#REF!</v>
      </c>
      <c r="E122" s="20" t="s">
        <v>15</v>
      </c>
      <c r="F122" s="21">
        <v>45779</v>
      </c>
      <c r="G122" s="21">
        <v>45779</v>
      </c>
      <c r="H122" s="20" t="s">
        <v>15</v>
      </c>
      <c r="I122" s="20" t="s">
        <v>16</v>
      </c>
      <c r="J122" s="20">
        <f>NETWORKDAYS(Christus_Emp_Table[[#This Row],[From Date:]],Christus_Emp_Table[[#This Row],[To Date:]])</f>
        <v>1</v>
      </c>
      <c r="K122" s="20"/>
      <c r="L122" s="20" t="e">
        <f>_xlfn.XLOOKUP(Christus_Emp_Table[[#This Row],[Analyst Name:]],[1]!Table1[Analyst Name],[1]!Table1[Lead])</f>
        <v>#REF!</v>
      </c>
      <c r="M122" s="20" t="e">
        <f>_xlfn.XLOOKUP(Christus_Emp_Table[[#This Row],[Analyst Name:]],[1]!Table1[Analyst Name],[1]!Table1[Active/Inactive])</f>
        <v>#REF!</v>
      </c>
    </row>
    <row r="123" spans="1:13" x14ac:dyDescent="0.35">
      <c r="A123" s="19" t="s">
        <v>40</v>
      </c>
      <c r="B123" s="20" t="e">
        <f>_xlfn.XLOOKUP(Christus_Emp_Table[[#This Row],[Analyst Name:]],[1]!Table1[Analyst Name],[1]!Table1[Deloitte Email ID])</f>
        <v>#REF!</v>
      </c>
      <c r="C123" s="20" t="e">
        <f>_xlfn.XLOOKUP(Christus_Emp_Table[[#This Row],[Analyst Name:]],[1]!Table1[Analyst Name],[1]!Table1[Module])</f>
        <v>#REF!</v>
      </c>
      <c r="D123" s="20" t="e">
        <f>_xlfn.XLOOKUP(Christus_Emp_Table[[#This Row],[Analyst Name:]],[1]!Table1[Analyst Name],[1]!Table1[Location])</f>
        <v>#REF!</v>
      </c>
      <c r="E123" s="20" t="s">
        <v>15</v>
      </c>
      <c r="F123" s="21">
        <v>45782</v>
      </c>
      <c r="G123" s="21">
        <v>45786</v>
      </c>
      <c r="H123" s="20" t="s">
        <v>15</v>
      </c>
      <c r="I123" s="20" t="s">
        <v>16</v>
      </c>
      <c r="J123" s="20">
        <f>NETWORKDAYS(Christus_Emp_Table[[#This Row],[From Date:]],Christus_Emp_Table[[#This Row],[To Date:]])</f>
        <v>5</v>
      </c>
      <c r="K123" s="20"/>
      <c r="L123" s="20" t="e">
        <f>_xlfn.XLOOKUP(Christus_Emp_Table[[#This Row],[Analyst Name:]],[1]!Table1[Analyst Name],[1]!Table1[Lead])</f>
        <v>#REF!</v>
      </c>
      <c r="M123" s="20" t="e">
        <f>_xlfn.XLOOKUP(Christus_Emp_Table[[#This Row],[Analyst Name:]],[1]!Table1[Analyst Name],[1]!Table1[Active/Inactive])</f>
        <v>#REF!</v>
      </c>
    </row>
    <row r="124" spans="1:13" x14ac:dyDescent="0.35">
      <c r="A124" s="19" t="s">
        <v>40</v>
      </c>
      <c r="B124" s="20" t="e">
        <f>_xlfn.XLOOKUP(Christus_Emp_Table[[#This Row],[Analyst Name:]],[1]!Table1[Analyst Name],[1]!Table1[Deloitte Email ID])</f>
        <v>#REF!</v>
      </c>
      <c r="C124" s="20" t="e">
        <f>_xlfn.XLOOKUP(Christus_Emp_Table[[#This Row],[Analyst Name:]],[1]!Table1[Analyst Name],[1]!Table1[Module])</f>
        <v>#REF!</v>
      </c>
      <c r="D124" s="20" t="e">
        <f>_xlfn.XLOOKUP(Christus_Emp_Table[[#This Row],[Analyst Name:]],[1]!Table1[Analyst Name],[1]!Table1[Location])</f>
        <v>#REF!</v>
      </c>
      <c r="E124" s="20" t="s">
        <v>23</v>
      </c>
      <c r="F124" s="21">
        <v>45806</v>
      </c>
      <c r="G124" s="21">
        <v>45806</v>
      </c>
      <c r="H124" s="20" t="s">
        <v>23</v>
      </c>
      <c r="I124" s="20" t="s">
        <v>16</v>
      </c>
      <c r="J124" s="20">
        <f>NETWORKDAYS(Christus_Emp_Table[[#This Row],[From Date:]],Christus_Emp_Table[[#This Row],[To Date:]])</f>
        <v>1</v>
      </c>
      <c r="K124" s="20"/>
      <c r="L124" s="20" t="e">
        <f>_xlfn.XLOOKUP(Christus_Emp_Table[[#This Row],[Analyst Name:]],[1]!Table1[Analyst Name],[1]!Table1[Lead])</f>
        <v>#REF!</v>
      </c>
      <c r="M124" s="20" t="e">
        <f>_xlfn.XLOOKUP(Christus_Emp_Table[[#This Row],[Analyst Name:]],[1]!Table1[Analyst Name],[1]!Table1[Active/Inactive])</f>
        <v>#REF!</v>
      </c>
    </row>
    <row r="125" spans="1:13" x14ac:dyDescent="0.35">
      <c r="A125" s="19" t="s">
        <v>32</v>
      </c>
      <c r="B125" s="20" t="e">
        <f>_xlfn.XLOOKUP(Christus_Emp_Table[[#This Row],[Analyst Name:]],[1]!Table1[Analyst Name],[1]!Table1[Deloitte Email ID])</f>
        <v>#REF!</v>
      </c>
      <c r="C125" s="20" t="e">
        <f>_xlfn.XLOOKUP(Christus_Emp_Table[[#This Row],[Analyst Name:]],[1]!Table1[Analyst Name],[1]!Table1[Module])</f>
        <v>#REF!</v>
      </c>
      <c r="D125" s="20" t="e">
        <f>_xlfn.XLOOKUP(Christus_Emp_Table[[#This Row],[Analyst Name:]],[1]!Table1[Analyst Name],[1]!Table1[Location])</f>
        <v>#REF!</v>
      </c>
      <c r="E125" s="20" t="s">
        <v>15</v>
      </c>
      <c r="F125" s="21">
        <v>45789</v>
      </c>
      <c r="G125" s="21">
        <v>45793</v>
      </c>
      <c r="H125" s="20" t="s">
        <v>15</v>
      </c>
      <c r="I125" s="20" t="s">
        <v>16</v>
      </c>
      <c r="J125" s="20">
        <f>NETWORKDAYS(Christus_Emp_Table[[#This Row],[From Date:]],Christus_Emp_Table[[#This Row],[To Date:]])</f>
        <v>5</v>
      </c>
      <c r="K125" s="20"/>
      <c r="L125" s="20" t="e">
        <f>_xlfn.XLOOKUP(Christus_Emp_Table[[#This Row],[Analyst Name:]],[1]!Table1[Analyst Name],[1]!Table1[Lead])</f>
        <v>#REF!</v>
      </c>
      <c r="M125" s="20" t="e">
        <f>_xlfn.XLOOKUP(Christus_Emp_Table[[#This Row],[Analyst Name:]],[1]!Table1[Analyst Name],[1]!Table1[Active/Inactive])</f>
        <v>#REF!</v>
      </c>
    </row>
    <row r="126" spans="1:13" x14ac:dyDescent="0.35">
      <c r="A126" s="19" t="s">
        <v>32</v>
      </c>
      <c r="B126" s="20" t="e">
        <f>_xlfn.XLOOKUP(Christus_Emp_Table[[#This Row],[Analyst Name:]],[1]!Table1[Analyst Name],[1]!Table1[Deloitte Email ID])</f>
        <v>#REF!</v>
      </c>
      <c r="C126" s="20" t="e">
        <f>_xlfn.XLOOKUP(Christus_Emp_Table[[#This Row],[Analyst Name:]],[1]!Table1[Analyst Name],[1]!Table1[Module])</f>
        <v>#REF!</v>
      </c>
      <c r="D126" s="20" t="e">
        <f>_xlfn.XLOOKUP(Christus_Emp_Table[[#This Row],[Analyst Name:]],[1]!Table1[Analyst Name],[1]!Table1[Location])</f>
        <v>#REF!</v>
      </c>
      <c r="E126" s="20" t="s">
        <v>15</v>
      </c>
      <c r="F126" s="21">
        <v>45803</v>
      </c>
      <c r="G126" s="21">
        <v>45807</v>
      </c>
      <c r="H126" s="20" t="s">
        <v>15</v>
      </c>
      <c r="I126" s="20" t="s">
        <v>16</v>
      </c>
      <c r="J126" s="20">
        <f>NETWORKDAYS(Christus_Emp_Table[[#This Row],[From Date:]],Christus_Emp_Table[[#This Row],[To Date:]])</f>
        <v>5</v>
      </c>
      <c r="K126" s="20"/>
      <c r="L126" s="20" t="e">
        <f>_xlfn.XLOOKUP(Christus_Emp_Table[[#This Row],[Analyst Name:]],[1]!Table1[Analyst Name],[1]!Table1[Lead])</f>
        <v>#REF!</v>
      </c>
      <c r="M126" s="20" t="e">
        <f>_xlfn.XLOOKUP(Christus_Emp_Table[[#This Row],[Analyst Name:]],[1]!Table1[Analyst Name],[1]!Table1[Active/Inactive])</f>
        <v>#REF!</v>
      </c>
    </row>
    <row r="127" spans="1:13" x14ac:dyDescent="0.35">
      <c r="A127" s="19" t="s">
        <v>33</v>
      </c>
      <c r="B127" s="20" t="e">
        <f>_xlfn.XLOOKUP(Christus_Emp_Table[[#This Row],[Analyst Name:]],[1]!Table1[Analyst Name],[1]!Table1[Deloitte Email ID])</f>
        <v>#REF!</v>
      </c>
      <c r="C127" s="20" t="e">
        <f>_xlfn.XLOOKUP(Christus_Emp_Table[[#This Row],[Analyst Name:]],[1]!Table1[Analyst Name],[1]!Table1[Module])</f>
        <v>#REF!</v>
      </c>
      <c r="D127" s="20" t="e">
        <f>_xlfn.XLOOKUP(Christus_Emp_Table[[#This Row],[Analyst Name:]],[1]!Table1[Analyst Name],[1]!Table1[Location])</f>
        <v>#REF!</v>
      </c>
      <c r="E127" s="20" t="s">
        <v>15</v>
      </c>
      <c r="F127" s="21">
        <v>45791</v>
      </c>
      <c r="G127" s="21">
        <v>45797</v>
      </c>
      <c r="H127" s="20" t="s">
        <v>15</v>
      </c>
      <c r="I127" s="20" t="s">
        <v>16</v>
      </c>
      <c r="J127" s="20">
        <f>NETWORKDAYS(Christus_Emp_Table[[#This Row],[From Date:]],Christus_Emp_Table[[#This Row],[To Date:]])</f>
        <v>5</v>
      </c>
      <c r="K127" s="20"/>
      <c r="L127" s="20" t="e">
        <f>_xlfn.XLOOKUP(Christus_Emp_Table[[#This Row],[Analyst Name:]],[1]!Table1[Analyst Name],[1]!Table1[Lead])</f>
        <v>#REF!</v>
      </c>
      <c r="M127" s="20" t="e">
        <f>_xlfn.XLOOKUP(Christus_Emp_Table[[#This Row],[Analyst Name:]],[1]!Table1[Analyst Name],[1]!Table1[Active/Inactive])</f>
        <v>#REF!</v>
      </c>
    </row>
    <row r="128" spans="1:13" x14ac:dyDescent="0.35">
      <c r="A128" s="19" t="s">
        <v>34</v>
      </c>
      <c r="B128" s="20" t="e">
        <f>_xlfn.XLOOKUP(Christus_Emp_Table[[#This Row],[Analyst Name:]],[1]!Table1[Analyst Name],[1]!Table1[Deloitte Email ID])</f>
        <v>#REF!</v>
      </c>
      <c r="C128" s="20" t="e">
        <f>_xlfn.XLOOKUP(Christus_Emp_Table[[#This Row],[Analyst Name:]],[1]!Table1[Analyst Name],[1]!Table1[Module])</f>
        <v>#REF!</v>
      </c>
      <c r="D128" s="20" t="e">
        <f>_xlfn.XLOOKUP(Christus_Emp_Table[[#This Row],[Analyst Name:]],[1]!Table1[Analyst Name],[1]!Table1[Location])</f>
        <v>#REF!</v>
      </c>
      <c r="E128" s="20" t="s">
        <v>15</v>
      </c>
      <c r="F128" s="21">
        <v>45779</v>
      </c>
      <c r="G128" s="21">
        <v>45779</v>
      </c>
      <c r="H128" s="20" t="s">
        <v>15</v>
      </c>
      <c r="I128" s="20" t="s">
        <v>16</v>
      </c>
      <c r="J128" s="20">
        <f>NETWORKDAYS(Christus_Emp_Table[[#This Row],[From Date:]],Christus_Emp_Table[[#This Row],[To Date:]])</f>
        <v>1</v>
      </c>
      <c r="K128" s="20"/>
      <c r="L128" s="20" t="e">
        <f>_xlfn.XLOOKUP(Christus_Emp_Table[[#This Row],[Analyst Name:]],[1]!Table1[Analyst Name],[1]!Table1[Lead])</f>
        <v>#REF!</v>
      </c>
      <c r="M128" s="20" t="e">
        <f>_xlfn.XLOOKUP(Christus_Emp_Table[[#This Row],[Analyst Name:]],[1]!Table1[Analyst Name],[1]!Table1[Active/Inactive])</f>
        <v>#REF!</v>
      </c>
    </row>
    <row r="129" spans="1:13" x14ac:dyDescent="0.35">
      <c r="A129" s="19" t="s">
        <v>35</v>
      </c>
      <c r="B129" s="20" t="e">
        <f>_xlfn.XLOOKUP(Christus_Emp_Table[[#This Row],[Analyst Name:]],[1]!Table1[Analyst Name],[1]!Table1[Deloitte Email ID])</f>
        <v>#REF!</v>
      </c>
      <c r="C129" s="20" t="e">
        <f>_xlfn.XLOOKUP(Christus_Emp_Table[[#This Row],[Analyst Name:]],[1]!Table1[Analyst Name],[1]!Table1[Module])</f>
        <v>#REF!</v>
      </c>
      <c r="D129" s="20" t="e">
        <f>_xlfn.XLOOKUP(Christus_Emp_Table[[#This Row],[Analyst Name:]],[1]!Table1[Analyst Name],[1]!Table1[Location])</f>
        <v>#REF!</v>
      </c>
      <c r="E129" s="22" t="s">
        <v>19</v>
      </c>
      <c r="F129" s="21">
        <v>45796</v>
      </c>
      <c r="G129" s="21">
        <v>45796</v>
      </c>
      <c r="H129" s="20" t="s">
        <v>20</v>
      </c>
      <c r="I129" s="20" t="s">
        <v>16</v>
      </c>
      <c r="J129" s="20">
        <f>NETWORKDAYS(Christus_Emp_Table[[#This Row],[From Date:]],Christus_Emp_Table[[#This Row],[To Date:]])</f>
        <v>1</v>
      </c>
      <c r="K129" s="20"/>
      <c r="L129" s="20" t="e">
        <f>_xlfn.XLOOKUP(Christus_Emp_Table[[#This Row],[Analyst Name:]],[1]!Table1[Analyst Name],[1]!Table1[Lead])</f>
        <v>#REF!</v>
      </c>
      <c r="M129" s="20" t="e">
        <f>_xlfn.XLOOKUP(Christus_Emp_Table[[#This Row],[Analyst Name:]],[1]!Table1[Analyst Name],[1]!Table1[Active/Inactive])</f>
        <v>#REF!</v>
      </c>
    </row>
    <row r="130" spans="1:13" x14ac:dyDescent="0.35">
      <c r="A130" s="19" t="s">
        <v>36</v>
      </c>
      <c r="B130" s="20" t="e">
        <f>_xlfn.XLOOKUP(Christus_Emp_Table[[#This Row],[Analyst Name:]],[1]!Table1[Analyst Name],[1]!Table1[Deloitte Email ID])</f>
        <v>#REF!</v>
      </c>
      <c r="C130" s="20" t="e">
        <f>_xlfn.XLOOKUP(Christus_Emp_Table[[#This Row],[Analyst Name:]],[1]!Table1[Analyst Name],[1]!Table1[Module])</f>
        <v>#REF!</v>
      </c>
      <c r="D130" s="20" t="e">
        <f>_xlfn.XLOOKUP(Christus_Emp_Table[[#This Row],[Analyst Name:]],[1]!Table1[Analyst Name],[1]!Table1[Location])</f>
        <v>#REF!</v>
      </c>
      <c r="E130" s="22" t="s">
        <v>19</v>
      </c>
      <c r="F130" s="21">
        <v>45784</v>
      </c>
      <c r="G130" s="21">
        <v>45784</v>
      </c>
      <c r="H130" s="20" t="s">
        <v>20</v>
      </c>
      <c r="I130" s="20" t="s">
        <v>16</v>
      </c>
      <c r="J130" s="20">
        <f>NETWORKDAYS(Christus_Emp_Table[[#This Row],[From Date:]],Christus_Emp_Table[[#This Row],[To Date:]])</f>
        <v>1</v>
      </c>
      <c r="K130" s="20"/>
      <c r="L130" s="20" t="e">
        <f>_xlfn.XLOOKUP(Christus_Emp_Table[[#This Row],[Analyst Name:]],[1]!Table1[Analyst Name],[1]!Table1[Lead])</f>
        <v>#REF!</v>
      </c>
      <c r="M130" s="20" t="e">
        <f>_xlfn.XLOOKUP(Christus_Emp_Table[[#This Row],[Analyst Name:]],[1]!Table1[Analyst Name],[1]!Table1[Active/Inactive])</f>
        <v>#REF!</v>
      </c>
    </row>
    <row r="131" spans="1:13" x14ac:dyDescent="0.35">
      <c r="A131" s="19" t="s">
        <v>37</v>
      </c>
      <c r="B131" s="20" t="e">
        <f>_xlfn.XLOOKUP(Christus_Emp_Table[[#This Row],[Analyst Name:]],[1]!Table1[Analyst Name],[1]!Table1[Deloitte Email ID])</f>
        <v>#REF!</v>
      </c>
      <c r="C131" s="20" t="e">
        <f>_xlfn.XLOOKUP(Christus_Emp_Table[[#This Row],[Analyst Name:]],[1]!Table1[Analyst Name],[1]!Table1[Module])</f>
        <v>#REF!</v>
      </c>
      <c r="D131" s="20" t="e">
        <f>_xlfn.XLOOKUP(Christus_Emp_Table[[#This Row],[Analyst Name:]],[1]!Table1[Analyst Name],[1]!Table1[Location])</f>
        <v>#REF!</v>
      </c>
      <c r="E131" s="22" t="s">
        <v>19</v>
      </c>
      <c r="F131" s="21">
        <v>45779</v>
      </c>
      <c r="G131" s="21">
        <v>45779</v>
      </c>
      <c r="H131" s="20" t="s">
        <v>20</v>
      </c>
      <c r="I131" s="20" t="s">
        <v>16</v>
      </c>
      <c r="J131" s="20">
        <f>NETWORKDAYS(Christus_Emp_Table[[#This Row],[From Date:]],Christus_Emp_Table[[#This Row],[To Date:]])</f>
        <v>1</v>
      </c>
      <c r="K131" s="20"/>
      <c r="L131" s="20" t="e">
        <f>_xlfn.XLOOKUP(Christus_Emp_Table[[#This Row],[Analyst Name:]],[1]!Table1[Analyst Name],[1]!Table1[Lead])</f>
        <v>#REF!</v>
      </c>
      <c r="M131" s="20" t="e">
        <f>_xlfn.XLOOKUP(Christus_Emp_Table[[#This Row],[Analyst Name:]],[1]!Table1[Analyst Name],[1]!Table1[Active/Inactive])</f>
        <v>#REF!</v>
      </c>
    </row>
    <row r="132" spans="1:13" x14ac:dyDescent="0.35">
      <c r="A132" s="19" t="s">
        <v>37</v>
      </c>
      <c r="B132" s="20" t="e">
        <f>_xlfn.XLOOKUP(Christus_Emp_Table[[#This Row],[Analyst Name:]],[1]!Table1[Analyst Name],[1]!Table1[Deloitte Email ID])</f>
        <v>#REF!</v>
      </c>
      <c r="C132" s="20" t="e">
        <f>_xlfn.XLOOKUP(Christus_Emp_Table[[#This Row],[Analyst Name:]],[1]!Table1[Analyst Name],[1]!Table1[Module])</f>
        <v>#REF!</v>
      </c>
      <c r="D132" s="20" t="e">
        <f>_xlfn.XLOOKUP(Christus_Emp_Table[[#This Row],[Analyst Name:]],[1]!Table1[Analyst Name],[1]!Table1[Location])</f>
        <v>#REF!</v>
      </c>
      <c r="E132" s="22" t="s">
        <v>19</v>
      </c>
      <c r="F132" s="21">
        <v>45790</v>
      </c>
      <c r="G132" s="21">
        <v>45790</v>
      </c>
      <c r="H132" s="20" t="s">
        <v>20</v>
      </c>
      <c r="I132" s="20" t="s">
        <v>16</v>
      </c>
      <c r="J132" s="20">
        <f>NETWORKDAYS(Christus_Emp_Table[[#This Row],[From Date:]],Christus_Emp_Table[[#This Row],[To Date:]])</f>
        <v>1</v>
      </c>
      <c r="K132" s="20"/>
      <c r="L132" s="20" t="e">
        <f>_xlfn.XLOOKUP(Christus_Emp_Table[[#This Row],[Analyst Name:]],[1]!Table1[Analyst Name],[1]!Table1[Lead])</f>
        <v>#REF!</v>
      </c>
      <c r="M132" s="20" t="e">
        <f>_xlfn.XLOOKUP(Christus_Emp_Table[[#This Row],[Analyst Name:]],[1]!Table1[Analyst Name],[1]!Table1[Active/Inactive])</f>
        <v>#REF!</v>
      </c>
    </row>
    <row r="133" spans="1:13" x14ac:dyDescent="0.35">
      <c r="A133" s="19" t="s">
        <v>14</v>
      </c>
      <c r="B133" s="20" t="e">
        <f>_xlfn.XLOOKUP(Christus_Emp_Table[[#This Row],[Analyst Name:]],[1]!Table1[Analyst Name],[1]!Table1[Deloitte Email ID])</f>
        <v>#REF!</v>
      </c>
      <c r="C133" s="20" t="e">
        <f>_xlfn.XLOOKUP(Christus_Emp_Table[[#This Row],[Analyst Name:]],[1]!Table1[Analyst Name],[1]!Table1[Module])</f>
        <v>#REF!</v>
      </c>
      <c r="D133" s="20" t="e">
        <f>_xlfn.XLOOKUP(Christus_Emp_Table[[#This Row],[Analyst Name:]],[1]!Table1[Analyst Name],[1]!Table1[Location])</f>
        <v>#REF!</v>
      </c>
      <c r="E133" s="20" t="s">
        <v>15</v>
      </c>
      <c r="F133" s="21">
        <v>45792</v>
      </c>
      <c r="G133" s="21">
        <v>45793</v>
      </c>
      <c r="H133" s="20" t="s">
        <v>15</v>
      </c>
      <c r="I133" s="20" t="s">
        <v>16</v>
      </c>
      <c r="J133" s="20">
        <f>NETWORKDAYS(Christus_Emp_Table[[#This Row],[From Date:]],Christus_Emp_Table[[#This Row],[To Date:]])</f>
        <v>2</v>
      </c>
      <c r="K133" s="20"/>
      <c r="L133" s="20" t="e">
        <f>_xlfn.XLOOKUP(Christus_Emp_Table[[#This Row],[Analyst Name:]],[1]!Table1[Analyst Name],[1]!Table1[Lead])</f>
        <v>#REF!</v>
      </c>
      <c r="M133" s="20" t="e">
        <f>_xlfn.XLOOKUP(Christus_Emp_Table[[#This Row],[Analyst Name:]],[1]!Table1[Analyst Name],[1]!Table1[Active/Inactive])</f>
        <v>#REF!</v>
      </c>
    </row>
    <row r="134" spans="1:13" x14ac:dyDescent="0.35">
      <c r="A134" s="19" t="s">
        <v>14</v>
      </c>
      <c r="B134" s="20" t="e">
        <f>_xlfn.XLOOKUP(Christus_Emp_Table[[#This Row],[Analyst Name:]],[1]!Table1[Analyst Name],[1]!Table1[Deloitte Email ID])</f>
        <v>#REF!</v>
      </c>
      <c r="C134" s="20" t="e">
        <f>_xlfn.XLOOKUP(Christus_Emp_Table[[#This Row],[Analyst Name:]],[1]!Table1[Analyst Name],[1]!Table1[Module])</f>
        <v>#REF!</v>
      </c>
      <c r="D134" s="20" t="e">
        <f>_xlfn.XLOOKUP(Christus_Emp_Table[[#This Row],[Analyst Name:]],[1]!Table1[Analyst Name],[1]!Table1[Location])</f>
        <v>#REF!</v>
      </c>
      <c r="E134" s="22" t="s">
        <v>19</v>
      </c>
      <c r="F134" s="21">
        <v>45803</v>
      </c>
      <c r="G134" s="21">
        <v>45803</v>
      </c>
      <c r="H134" s="20" t="s">
        <v>20</v>
      </c>
      <c r="I134" s="20" t="s">
        <v>16</v>
      </c>
      <c r="J134" s="20">
        <f>NETWORKDAYS(Christus_Emp_Table[[#This Row],[From Date:]],Christus_Emp_Table[[#This Row],[To Date:]])</f>
        <v>1</v>
      </c>
      <c r="K134" s="20"/>
      <c r="L134" s="20" t="e">
        <f>_xlfn.XLOOKUP(Christus_Emp_Table[[#This Row],[Analyst Name:]],[1]!Table1[Analyst Name],[1]!Table1[Lead])</f>
        <v>#REF!</v>
      </c>
      <c r="M134" s="20" t="e">
        <f>_xlfn.XLOOKUP(Christus_Emp_Table[[#This Row],[Analyst Name:]],[1]!Table1[Analyst Name],[1]!Table1[Active/Inactive])</f>
        <v>#REF!</v>
      </c>
    </row>
    <row r="135" spans="1:13" x14ac:dyDescent="0.35">
      <c r="A135" s="19" t="s">
        <v>41</v>
      </c>
      <c r="B135" s="20" t="e">
        <f>_xlfn.XLOOKUP(Christus_Emp_Table[[#This Row],[Analyst Name:]],[1]!Table1[Analyst Name],[1]!Table1[Deloitte Email ID])</f>
        <v>#REF!</v>
      </c>
      <c r="C135" s="20" t="e">
        <f>_xlfn.XLOOKUP(Christus_Emp_Table[[#This Row],[Analyst Name:]],[1]!Table1[Analyst Name],[1]!Table1[Module])</f>
        <v>#REF!</v>
      </c>
      <c r="D135" s="20" t="e">
        <f>_xlfn.XLOOKUP(Christus_Emp_Table[[#This Row],[Analyst Name:]],[1]!Table1[Analyst Name],[1]!Table1[Location])</f>
        <v>#REF!</v>
      </c>
      <c r="E135" s="22" t="s">
        <v>19</v>
      </c>
      <c r="F135" s="21">
        <v>45828</v>
      </c>
      <c r="G135" s="21">
        <v>45828</v>
      </c>
      <c r="H135" s="20" t="s">
        <v>20</v>
      </c>
      <c r="I135" s="20" t="s">
        <v>16</v>
      </c>
      <c r="J135" s="20">
        <f>NETWORKDAYS(Christus_Emp_Table[[#This Row],[From Date:]],Christus_Emp_Table[[#This Row],[To Date:]])</f>
        <v>1</v>
      </c>
      <c r="K135" s="20"/>
      <c r="L135" s="20" t="e">
        <f>_xlfn.XLOOKUP(Christus_Emp_Table[[#This Row],[Analyst Name:]],[1]!Table1[Analyst Name],[1]!Table1[Lead])</f>
        <v>#REF!</v>
      </c>
      <c r="M135" s="20" t="e">
        <f>_xlfn.XLOOKUP(Christus_Emp_Table[[#This Row],[Analyst Name:]],[1]!Table1[Analyst Name],[1]!Table1[Active/Inactive])</f>
        <v>#REF!</v>
      </c>
    </row>
    <row r="136" spans="1:13" x14ac:dyDescent="0.35">
      <c r="A136" s="19" t="s">
        <v>41</v>
      </c>
      <c r="B136" s="20" t="e">
        <f>_xlfn.XLOOKUP(Christus_Emp_Table[[#This Row],[Analyst Name:]],[1]!Table1[Analyst Name],[1]!Table1[Deloitte Email ID])</f>
        <v>#REF!</v>
      </c>
      <c r="C136" s="20" t="e">
        <f>_xlfn.XLOOKUP(Christus_Emp_Table[[#This Row],[Analyst Name:]],[1]!Table1[Analyst Name],[1]!Table1[Module])</f>
        <v>#REF!</v>
      </c>
      <c r="D136" s="20" t="e">
        <f>_xlfn.XLOOKUP(Christus_Emp_Table[[#This Row],[Analyst Name:]],[1]!Table1[Analyst Name],[1]!Table1[Location])</f>
        <v>#REF!</v>
      </c>
      <c r="E136" s="20" t="s">
        <v>15</v>
      </c>
      <c r="F136" s="21">
        <v>45838</v>
      </c>
      <c r="G136" s="21">
        <v>45838</v>
      </c>
      <c r="H136" s="20" t="s">
        <v>15</v>
      </c>
      <c r="I136" s="20" t="s">
        <v>16</v>
      </c>
      <c r="J136" s="20">
        <f>NETWORKDAYS(Christus_Emp_Table[[#This Row],[From Date:]],Christus_Emp_Table[[#This Row],[To Date:]])</f>
        <v>1</v>
      </c>
      <c r="K136" s="20"/>
      <c r="L136" s="20" t="e">
        <f>_xlfn.XLOOKUP(Christus_Emp_Table[[#This Row],[Analyst Name:]],[1]!Table1[Analyst Name],[1]!Table1[Lead])</f>
        <v>#REF!</v>
      </c>
      <c r="M136" s="20" t="e">
        <f>_xlfn.XLOOKUP(Christus_Emp_Table[[#This Row],[Analyst Name:]],[1]!Table1[Analyst Name],[1]!Table1[Active/Inactive])</f>
        <v>#REF!</v>
      </c>
    </row>
    <row r="137" spans="1:13" x14ac:dyDescent="0.35">
      <c r="A137" s="19" t="s">
        <v>17</v>
      </c>
      <c r="B137" s="20" t="e">
        <f>_xlfn.XLOOKUP(Christus_Emp_Table[[#This Row],[Analyst Name:]],[1]!Table1[Analyst Name],[1]!Table1[Deloitte Email ID])</f>
        <v>#REF!</v>
      </c>
      <c r="C137" s="20" t="e">
        <f>_xlfn.XLOOKUP(Christus_Emp_Table[[#This Row],[Analyst Name:]],[1]!Table1[Analyst Name],[1]!Table1[Module])</f>
        <v>#REF!</v>
      </c>
      <c r="D137" s="20" t="e">
        <f>_xlfn.XLOOKUP(Christus_Emp_Table[[#This Row],[Analyst Name:]],[1]!Table1[Analyst Name],[1]!Table1[Location])</f>
        <v>#REF!</v>
      </c>
      <c r="E137" s="20" t="s">
        <v>15</v>
      </c>
      <c r="F137" s="21">
        <v>45810</v>
      </c>
      <c r="G137" s="21">
        <v>45812</v>
      </c>
      <c r="H137" s="20" t="s">
        <v>15</v>
      </c>
      <c r="I137" s="20" t="s">
        <v>16</v>
      </c>
      <c r="J137" s="20">
        <f>NETWORKDAYS(Christus_Emp_Table[[#This Row],[From Date:]],Christus_Emp_Table[[#This Row],[To Date:]])</f>
        <v>3</v>
      </c>
      <c r="K137" s="20"/>
      <c r="L137" s="20" t="e">
        <f>_xlfn.XLOOKUP(Christus_Emp_Table[[#This Row],[Analyst Name:]],[1]!Table1[Analyst Name],[1]!Table1[Lead])</f>
        <v>#REF!</v>
      </c>
      <c r="M137" s="20" t="e">
        <f>_xlfn.XLOOKUP(Christus_Emp_Table[[#This Row],[Analyst Name:]],[1]!Table1[Analyst Name],[1]!Table1[Active/Inactive])</f>
        <v>#REF!</v>
      </c>
    </row>
    <row r="138" spans="1:13" x14ac:dyDescent="0.35">
      <c r="A138" s="19" t="s">
        <v>17</v>
      </c>
      <c r="B138" s="20" t="e">
        <f>_xlfn.XLOOKUP(Christus_Emp_Table[[#This Row],[Analyst Name:]],[1]!Table1[Analyst Name],[1]!Table1[Deloitte Email ID])</f>
        <v>#REF!</v>
      </c>
      <c r="C138" s="20" t="e">
        <f>_xlfn.XLOOKUP(Christus_Emp_Table[[#This Row],[Analyst Name:]],[1]!Table1[Analyst Name],[1]!Table1[Module])</f>
        <v>#REF!</v>
      </c>
      <c r="D138" s="20" t="e">
        <f>_xlfn.XLOOKUP(Christus_Emp_Table[[#This Row],[Analyst Name:]],[1]!Table1[Analyst Name],[1]!Table1[Location])</f>
        <v>#REF!</v>
      </c>
      <c r="E138" s="20" t="s">
        <v>15</v>
      </c>
      <c r="F138" s="21">
        <v>45827</v>
      </c>
      <c r="G138" s="21">
        <v>45828</v>
      </c>
      <c r="H138" s="20" t="s">
        <v>15</v>
      </c>
      <c r="I138" s="20" t="s">
        <v>16</v>
      </c>
      <c r="J138" s="20">
        <f>NETWORKDAYS(Christus_Emp_Table[[#This Row],[From Date:]],Christus_Emp_Table[[#This Row],[To Date:]])</f>
        <v>2</v>
      </c>
      <c r="K138" s="20"/>
      <c r="L138" s="20" t="e">
        <f>_xlfn.XLOOKUP(Christus_Emp_Table[[#This Row],[Analyst Name:]],[1]!Table1[Analyst Name],[1]!Table1[Lead])</f>
        <v>#REF!</v>
      </c>
      <c r="M138" s="20" t="e">
        <f>_xlfn.XLOOKUP(Christus_Emp_Table[[#This Row],[Analyst Name:]],[1]!Table1[Analyst Name],[1]!Table1[Active/Inactive])</f>
        <v>#REF!</v>
      </c>
    </row>
    <row r="139" spans="1:13" x14ac:dyDescent="0.35">
      <c r="A139" s="19" t="s">
        <v>21</v>
      </c>
      <c r="B139" s="20" t="e">
        <f>_xlfn.XLOOKUP(Christus_Emp_Table[[#This Row],[Analyst Name:]],[1]!Table1[Analyst Name],[1]!Table1[Deloitte Email ID])</f>
        <v>#REF!</v>
      </c>
      <c r="C139" s="20" t="e">
        <f>_xlfn.XLOOKUP(Christus_Emp_Table[[#This Row],[Analyst Name:]],[1]!Table1[Analyst Name],[1]!Table1[Module])</f>
        <v>#REF!</v>
      </c>
      <c r="D139" s="20" t="e">
        <f>_xlfn.XLOOKUP(Christus_Emp_Table[[#This Row],[Analyst Name:]],[1]!Table1[Analyst Name],[1]!Table1[Location])</f>
        <v>#REF!</v>
      </c>
      <c r="E139" s="22" t="s">
        <v>19</v>
      </c>
      <c r="F139" s="21">
        <v>45825</v>
      </c>
      <c r="G139" s="21">
        <v>45825</v>
      </c>
      <c r="H139" s="20" t="s">
        <v>20</v>
      </c>
      <c r="I139" s="20" t="s">
        <v>16</v>
      </c>
      <c r="J139" s="20">
        <f>NETWORKDAYS(Christus_Emp_Table[[#This Row],[From Date:]],Christus_Emp_Table[[#This Row],[To Date:]])</f>
        <v>1</v>
      </c>
      <c r="K139" s="20"/>
      <c r="L139" s="20" t="e">
        <f>_xlfn.XLOOKUP(Christus_Emp_Table[[#This Row],[Analyst Name:]],[1]!Table1[Analyst Name],[1]!Table1[Lead])</f>
        <v>#REF!</v>
      </c>
      <c r="M139" s="20" t="e">
        <f>_xlfn.XLOOKUP(Christus_Emp_Table[[#This Row],[Analyst Name:]],[1]!Table1[Analyst Name],[1]!Table1[Active/Inactive])</f>
        <v>#REF!</v>
      </c>
    </row>
    <row r="140" spans="1:13" x14ac:dyDescent="0.35">
      <c r="A140" s="19" t="s">
        <v>22</v>
      </c>
      <c r="B140" s="20" t="e">
        <f>_xlfn.XLOOKUP(Christus_Emp_Table[[#This Row],[Analyst Name:]],[1]!Table1[Analyst Name],[1]!Table1[Deloitte Email ID])</f>
        <v>#REF!</v>
      </c>
      <c r="C140" s="20" t="e">
        <f>_xlfn.XLOOKUP(Christus_Emp_Table[[#This Row],[Analyst Name:]],[1]!Table1[Analyst Name],[1]!Table1[Module])</f>
        <v>#REF!</v>
      </c>
      <c r="D140" s="20" t="e">
        <f>_xlfn.XLOOKUP(Christus_Emp_Table[[#This Row],[Analyst Name:]],[1]!Table1[Analyst Name],[1]!Table1[Location])</f>
        <v>#REF!</v>
      </c>
      <c r="E140" s="20" t="s">
        <v>15</v>
      </c>
      <c r="F140" s="21">
        <v>45834</v>
      </c>
      <c r="G140" s="21">
        <v>45838</v>
      </c>
      <c r="H140" s="20" t="s">
        <v>15</v>
      </c>
      <c r="I140" s="20" t="s">
        <v>16</v>
      </c>
      <c r="J140" s="20">
        <f>NETWORKDAYS(Christus_Emp_Table[[#This Row],[From Date:]],Christus_Emp_Table[[#This Row],[To Date:]])</f>
        <v>3</v>
      </c>
      <c r="K140" s="20"/>
      <c r="L140" s="20" t="e">
        <f>_xlfn.XLOOKUP(Christus_Emp_Table[[#This Row],[Analyst Name:]],[1]!Table1[Analyst Name],[1]!Table1[Lead])</f>
        <v>#REF!</v>
      </c>
      <c r="M140" s="20" t="e">
        <f>_xlfn.XLOOKUP(Christus_Emp_Table[[#This Row],[Analyst Name:]],[1]!Table1[Analyst Name],[1]!Table1[Active/Inactive])</f>
        <v>#REF!</v>
      </c>
    </row>
    <row r="141" spans="1:13" x14ac:dyDescent="0.35">
      <c r="A141" s="19" t="s">
        <v>26</v>
      </c>
      <c r="B141" s="20" t="e">
        <f>_xlfn.XLOOKUP(Christus_Emp_Table[[#This Row],[Analyst Name:]],[1]!Table1[Analyst Name],[1]!Table1[Deloitte Email ID])</f>
        <v>#REF!</v>
      </c>
      <c r="C141" s="20" t="e">
        <f>_xlfn.XLOOKUP(Christus_Emp_Table[[#This Row],[Analyst Name:]],[1]!Table1[Analyst Name],[1]!Table1[Module])</f>
        <v>#REF!</v>
      </c>
      <c r="D141" s="20" t="e">
        <f>_xlfn.XLOOKUP(Christus_Emp_Table[[#This Row],[Analyst Name:]],[1]!Table1[Analyst Name],[1]!Table1[Location])</f>
        <v>#REF!</v>
      </c>
      <c r="E141" s="20" t="s">
        <v>15</v>
      </c>
      <c r="F141" s="21">
        <v>45813</v>
      </c>
      <c r="G141" s="21">
        <v>45813</v>
      </c>
      <c r="H141" s="20" t="s">
        <v>15</v>
      </c>
      <c r="I141" s="20" t="s">
        <v>16</v>
      </c>
      <c r="J141" s="20">
        <f>NETWORKDAYS(Christus_Emp_Table[[#This Row],[From Date:]],Christus_Emp_Table[[#This Row],[To Date:]])</f>
        <v>1</v>
      </c>
      <c r="K141" s="20"/>
      <c r="L141" s="20" t="e">
        <f>_xlfn.XLOOKUP(Christus_Emp_Table[[#This Row],[Analyst Name:]],[1]!Table1[Analyst Name],[1]!Table1[Lead])</f>
        <v>#REF!</v>
      </c>
      <c r="M141" s="20" t="e">
        <f>_xlfn.XLOOKUP(Christus_Emp_Table[[#This Row],[Analyst Name:]],[1]!Table1[Analyst Name],[1]!Table1[Active/Inactive])</f>
        <v>#REF!</v>
      </c>
    </row>
    <row r="142" spans="1:13" x14ac:dyDescent="0.35">
      <c r="A142" s="19" t="s">
        <v>26</v>
      </c>
      <c r="B142" s="20" t="e">
        <f>_xlfn.XLOOKUP(Christus_Emp_Table[[#This Row],[Analyst Name:]],[1]!Table1[Analyst Name],[1]!Table1[Deloitte Email ID])</f>
        <v>#REF!</v>
      </c>
      <c r="C142" s="20" t="e">
        <f>_xlfn.XLOOKUP(Christus_Emp_Table[[#This Row],[Analyst Name:]],[1]!Table1[Analyst Name],[1]!Table1[Module])</f>
        <v>#REF!</v>
      </c>
      <c r="D142" s="20" t="e">
        <f>_xlfn.XLOOKUP(Christus_Emp_Table[[#This Row],[Analyst Name:]],[1]!Table1[Analyst Name],[1]!Table1[Location])</f>
        <v>#REF!</v>
      </c>
      <c r="E142" s="22" t="s">
        <v>19</v>
      </c>
      <c r="F142" s="21">
        <v>45831</v>
      </c>
      <c r="G142" s="21">
        <v>45831</v>
      </c>
      <c r="H142" s="20" t="s">
        <v>20</v>
      </c>
      <c r="I142" s="20" t="s">
        <v>16</v>
      </c>
      <c r="J142" s="20">
        <f>NETWORKDAYS(Christus_Emp_Table[[#This Row],[From Date:]],Christus_Emp_Table[[#This Row],[To Date:]])</f>
        <v>1</v>
      </c>
      <c r="K142" s="20"/>
      <c r="L142" s="20" t="e">
        <f>_xlfn.XLOOKUP(Christus_Emp_Table[[#This Row],[Analyst Name:]],[1]!Table1[Analyst Name],[1]!Table1[Lead])</f>
        <v>#REF!</v>
      </c>
      <c r="M142" s="20" t="e">
        <f>_xlfn.XLOOKUP(Christus_Emp_Table[[#This Row],[Analyst Name:]],[1]!Table1[Analyst Name],[1]!Table1[Active/Inactive])</f>
        <v>#REF!</v>
      </c>
    </row>
    <row r="143" spans="1:13" x14ac:dyDescent="0.35">
      <c r="A143" s="19" t="s">
        <v>38</v>
      </c>
      <c r="B143" s="20" t="e">
        <f>_xlfn.XLOOKUP(Christus_Emp_Table[[#This Row],[Analyst Name:]],[1]!Table1[Analyst Name],[1]!Table1[Deloitte Email ID])</f>
        <v>#REF!</v>
      </c>
      <c r="C143" s="20" t="e">
        <f>_xlfn.XLOOKUP(Christus_Emp_Table[[#This Row],[Analyst Name:]],[1]!Table1[Analyst Name],[1]!Table1[Module])</f>
        <v>#REF!</v>
      </c>
      <c r="D143" s="20" t="e">
        <f>_xlfn.XLOOKUP(Christus_Emp_Table[[#This Row],[Analyst Name:]],[1]!Table1[Analyst Name],[1]!Table1[Location])</f>
        <v>#REF!</v>
      </c>
      <c r="E143" s="22" t="s">
        <v>19</v>
      </c>
      <c r="F143" s="21">
        <v>45811</v>
      </c>
      <c r="G143" s="21">
        <v>45811</v>
      </c>
      <c r="H143" s="20" t="s">
        <v>20</v>
      </c>
      <c r="I143" s="20" t="s">
        <v>16</v>
      </c>
      <c r="J143" s="20">
        <f>NETWORKDAYS(Christus_Emp_Table[[#This Row],[From Date:]],Christus_Emp_Table[[#This Row],[To Date:]])</f>
        <v>1</v>
      </c>
      <c r="K143" s="20"/>
      <c r="L143" s="20" t="e">
        <f>_xlfn.XLOOKUP(Christus_Emp_Table[[#This Row],[Analyst Name:]],[1]!Table1[Analyst Name],[1]!Table1[Lead])</f>
        <v>#REF!</v>
      </c>
      <c r="M143" s="20" t="e">
        <f>_xlfn.XLOOKUP(Christus_Emp_Table[[#This Row],[Analyst Name:]],[1]!Table1[Analyst Name],[1]!Table1[Active/Inactive])</f>
        <v>#REF!</v>
      </c>
    </row>
    <row r="144" spans="1:13" x14ac:dyDescent="0.35">
      <c r="A144" s="19" t="s">
        <v>42</v>
      </c>
      <c r="B144" s="20" t="e">
        <f>_xlfn.XLOOKUP(Christus_Emp_Table[[#This Row],[Analyst Name:]],[1]!Table1[Analyst Name],[1]!Table1[Deloitte Email ID])</f>
        <v>#REF!</v>
      </c>
      <c r="C144" s="20" t="e">
        <f>_xlfn.XLOOKUP(Christus_Emp_Table[[#This Row],[Analyst Name:]],[1]!Table1[Analyst Name],[1]!Table1[Module])</f>
        <v>#REF!</v>
      </c>
      <c r="D144" s="20" t="e">
        <f>_xlfn.XLOOKUP(Christus_Emp_Table[[#This Row],[Analyst Name:]],[1]!Table1[Analyst Name],[1]!Table1[Location])</f>
        <v>#REF!</v>
      </c>
      <c r="E144" s="22" t="s">
        <v>19</v>
      </c>
      <c r="F144" s="21">
        <v>45838</v>
      </c>
      <c r="G144" s="21">
        <v>45838</v>
      </c>
      <c r="H144" s="20" t="s">
        <v>20</v>
      </c>
      <c r="I144" s="20" t="s">
        <v>16</v>
      </c>
      <c r="J144" s="20">
        <f>NETWORKDAYS(Christus_Emp_Table[[#This Row],[From Date:]],Christus_Emp_Table[[#This Row],[To Date:]])</f>
        <v>1</v>
      </c>
      <c r="K144" s="20"/>
      <c r="L144" s="20" t="e">
        <f>_xlfn.XLOOKUP(Christus_Emp_Table[[#This Row],[Analyst Name:]],[1]!Table1[Analyst Name],[1]!Table1[Lead])</f>
        <v>#REF!</v>
      </c>
      <c r="M144" s="20" t="e">
        <f>_xlfn.XLOOKUP(Christus_Emp_Table[[#This Row],[Analyst Name:]],[1]!Table1[Analyst Name],[1]!Table1[Active/Inactive])</f>
        <v>#REF!</v>
      </c>
    </row>
    <row r="145" spans="1:13" x14ac:dyDescent="0.35">
      <c r="A145" s="19" t="s">
        <v>27</v>
      </c>
      <c r="B145" s="20" t="e">
        <f>_xlfn.XLOOKUP(Christus_Emp_Table[[#This Row],[Analyst Name:]],[1]!Table1[Analyst Name],[1]!Table1[Deloitte Email ID])</f>
        <v>#REF!</v>
      </c>
      <c r="C145" s="20" t="e">
        <f>_xlfn.XLOOKUP(Christus_Emp_Table[[#This Row],[Analyst Name:]],[1]!Table1[Analyst Name],[1]!Table1[Module])</f>
        <v>#REF!</v>
      </c>
      <c r="D145" s="20" t="e">
        <f>_xlfn.XLOOKUP(Christus_Emp_Table[[#This Row],[Analyst Name:]],[1]!Table1[Analyst Name],[1]!Table1[Location])</f>
        <v>#REF!</v>
      </c>
      <c r="E145" s="22" t="s">
        <v>19</v>
      </c>
      <c r="F145" s="21">
        <v>45812</v>
      </c>
      <c r="G145" s="21">
        <v>45812</v>
      </c>
      <c r="H145" s="20" t="s">
        <v>20</v>
      </c>
      <c r="I145" s="20" t="s">
        <v>16</v>
      </c>
      <c r="J145" s="20">
        <f>NETWORKDAYS(Christus_Emp_Table[[#This Row],[From Date:]],Christus_Emp_Table[[#This Row],[To Date:]])</f>
        <v>1</v>
      </c>
      <c r="K145" s="20"/>
      <c r="L145" s="20" t="e">
        <f>_xlfn.XLOOKUP(Christus_Emp_Table[[#This Row],[Analyst Name:]],[1]!Table1[Analyst Name],[1]!Table1[Lead])</f>
        <v>#REF!</v>
      </c>
      <c r="M145" s="20" t="e">
        <f>_xlfn.XLOOKUP(Christus_Emp_Table[[#This Row],[Analyst Name:]],[1]!Table1[Analyst Name],[1]!Table1[Active/Inactive])</f>
        <v>#REF!</v>
      </c>
    </row>
    <row r="146" spans="1:13" x14ac:dyDescent="0.35">
      <c r="A146" s="19" t="s">
        <v>27</v>
      </c>
      <c r="B146" s="20" t="e">
        <f>_xlfn.XLOOKUP(Christus_Emp_Table[[#This Row],[Analyst Name:]],[1]!Table1[Analyst Name],[1]!Table1[Deloitte Email ID])</f>
        <v>#REF!</v>
      </c>
      <c r="C146" s="20" t="e">
        <f>_xlfn.XLOOKUP(Christus_Emp_Table[[#This Row],[Analyst Name:]],[1]!Table1[Analyst Name],[1]!Table1[Module])</f>
        <v>#REF!</v>
      </c>
      <c r="D146" s="20" t="e">
        <f>_xlfn.XLOOKUP(Christus_Emp_Table[[#This Row],[Analyst Name:]],[1]!Table1[Analyst Name],[1]!Table1[Location])</f>
        <v>#REF!</v>
      </c>
      <c r="E146" s="20" t="s">
        <v>15</v>
      </c>
      <c r="F146" s="21">
        <v>45835</v>
      </c>
      <c r="G146" s="21">
        <v>45835</v>
      </c>
      <c r="H146" s="20" t="s">
        <v>15</v>
      </c>
      <c r="I146" s="20" t="s">
        <v>16</v>
      </c>
      <c r="J146" s="20">
        <f>NETWORKDAYS(Christus_Emp_Table[[#This Row],[From Date:]],Christus_Emp_Table[[#This Row],[To Date:]])</f>
        <v>1</v>
      </c>
      <c r="K146" s="20"/>
      <c r="L146" s="20" t="e">
        <f>_xlfn.XLOOKUP(Christus_Emp_Table[[#This Row],[Analyst Name:]],[1]!Table1[Analyst Name],[1]!Table1[Lead])</f>
        <v>#REF!</v>
      </c>
      <c r="M146" s="20" t="e">
        <f>_xlfn.XLOOKUP(Christus_Emp_Table[[#This Row],[Analyst Name:]],[1]!Table1[Analyst Name],[1]!Table1[Active/Inactive])</f>
        <v>#REF!</v>
      </c>
    </row>
    <row r="147" spans="1:13" x14ac:dyDescent="0.35">
      <c r="A147" s="19" t="s">
        <v>39</v>
      </c>
      <c r="B147" s="20" t="e">
        <f>_xlfn.XLOOKUP(Christus_Emp_Table[[#This Row],[Analyst Name:]],[1]!Table1[Analyst Name],[1]!Table1[Deloitte Email ID])</f>
        <v>#REF!</v>
      </c>
      <c r="C147" s="20" t="e">
        <f>_xlfn.XLOOKUP(Christus_Emp_Table[[#This Row],[Analyst Name:]],[1]!Table1[Analyst Name],[1]!Table1[Module])</f>
        <v>#REF!</v>
      </c>
      <c r="D147" s="20" t="e">
        <f>_xlfn.XLOOKUP(Christus_Emp_Table[[#This Row],[Analyst Name:]],[1]!Table1[Analyst Name],[1]!Table1[Location])</f>
        <v>#REF!</v>
      </c>
      <c r="E147" s="22" t="s">
        <v>19</v>
      </c>
      <c r="F147" s="21">
        <v>45824</v>
      </c>
      <c r="G147" s="21">
        <v>45824</v>
      </c>
      <c r="H147" s="20" t="s">
        <v>20</v>
      </c>
      <c r="I147" s="20" t="s">
        <v>16</v>
      </c>
      <c r="J147" s="20">
        <f>NETWORKDAYS(Christus_Emp_Table[[#This Row],[From Date:]],Christus_Emp_Table[[#This Row],[To Date:]])</f>
        <v>1</v>
      </c>
      <c r="K147" s="20"/>
      <c r="L147" s="20" t="e">
        <f>_xlfn.XLOOKUP(Christus_Emp_Table[[#This Row],[Analyst Name:]],[1]!Table1[Analyst Name],[1]!Table1[Lead])</f>
        <v>#REF!</v>
      </c>
      <c r="M147" s="20" t="e">
        <f>_xlfn.XLOOKUP(Christus_Emp_Table[[#This Row],[Analyst Name:]],[1]!Table1[Analyst Name],[1]!Table1[Active/Inactive])</f>
        <v>#REF!</v>
      </c>
    </row>
    <row r="148" spans="1:13" x14ac:dyDescent="0.35">
      <c r="A148" s="19" t="s">
        <v>30</v>
      </c>
      <c r="B148" s="20" t="e">
        <f>_xlfn.XLOOKUP(Christus_Emp_Table[[#This Row],[Analyst Name:]],[1]!Table1[Analyst Name],[1]!Table1[Deloitte Email ID])</f>
        <v>#REF!</v>
      </c>
      <c r="C148" s="20" t="e">
        <f>_xlfn.XLOOKUP(Christus_Emp_Table[[#This Row],[Analyst Name:]],[1]!Table1[Analyst Name],[1]!Table1[Module])</f>
        <v>#REF!</v>
      </c>
      <c r="D148" s="20" t="e">
        <f>_xlfn.XLOOKUP(Christus_Emp_Table[[#This Row],[Analyst Name:]],[1]!Table1[Analyst Name],[1]!Table1[Location])</f>
        <v>#REF!</v>
      </c>
      <c r="E148" s="20" t="s">
        <v>15</v>
      </c>
      <c r="F148" s="21">
        <v>45811</v>
      </c>
      <c r="G148" s="21">
        <v>45814</v>
      </c>
      <c r="H148" s="20" t="s">
        <v>15</v>
      </c>
      <c r="I148" s="20" t="s">
        <v>16</v>
      </c>
      <c r="J148" s="20">
        <f>NETWORKDAYS(Christus_Emp_Table[[#This Row],[From Date:]],Christus_Emp_Table[[#This Row],[To Date:]])</f>
        <v>4</v>
      </c>
      <c r="K148" s="20"/>
      <c r="L148" s="20" t="e">
        <f>_xlfn.XLOOKUP(Christus_Emp_Table[[#This Row],[Analyst Name:]],[1]!Table1[Analyst Name],[1]!Table1[Lead])</f>
        <v>#REF!</v>
      </c>
      <c r="M148" s="20" t="e">
        <f>_xlfn.XLOOKUP(Christus_Emp_Table[[#This Row],[Analyst Name:]],[1]!Table1[Analyst Name],[1]!Table1[Active/Inactive])</f>
        <v>#REF!</v>
      </c>
    </row>
    <row r="149" spans="1:13" x14ac:dyDescent="0.35">
      <c r="A149" s="19" t="s">
        <v>30</v>
      </c>
      <c r="B149" s="20" t="e">
        <f>_xlfn.XLOOKUP(Christus_Emp_Table[[#This Row],[Analyst Name:]],[1]!Table1[Analyst Name],[1]!Table1[Deloitte Email ID])</f>
        <v>#REF!</v>
      </c>
      <c r="C149" s="20" t="e">
        <f>_xlfn.XLOOKUP(Christus_Emp_Table[[#This Row],[Analyst Name:]],[1]!Table1[Analyst Name],[1]!Table1[Module])</f>
        <v>#REF!</v>
      </c>
      <c r="D149" s="20" t="e">
        <f>_xlfn.XLOOKUP(Christus_Emp_Table[[#This Row],[Analyst Name:]],[1]!Table1[Analyst Name],[1]!Table1[Location])</f>
        <v>#REF!</v>
      </c>
      <c r="E149" s="22" t="s">
        <v>19</v>
      </c>
      <c r="F149" s="21">
        <v>45817</v>
      </c>
      <c r="G149" s="21">
        <v>45818</v>
      </c>
      <c r="H149" s="20" t="s">
        <v>20</v>
      </c>
      <c r="I149" s="20" t="s">
        <v>16</v>
      </c>
      <c r="J149" s="20">
        <f>NETWORKDAYS(Christus_Emp_Table[[#This Row],[From Date:]],Christus_Emp_Table[[#This Row],[To Date:]])</f>
        <v>2</v>
      </c>
      <c r="K149" s="20"/>
      <c r="L149" s="20" t="e">
        <f>_xlfn.XLOOKUP(Christus_Emp_Table[[#This Row],[Analyst Name:]],[1]!Table1[Analyst Name],[1]!Table1[Lead])</f>
        <v>#REF!</v>
      </c>
      <c r="M149" s="20" t="e">
        <f>_xlfn.XLOOKUP(Christus_Emp_Table[[#This Row],[Analyst Name:]],[1]!Table1[Analyst Name],[1]!Table1[Active/Inactive])</f>
        <v>#REF!</v>
      </c>
    </row>
    <row r="150" spans="1:13" x14ac:dyDescent="0.35">
      <c r="A150" s="19" t="s">
        <v>30</v>
      </c>
      <c r="B150" s="20" t="e">
        <f>_xlfn.XLOOKUP(Christus_Emp_Table[[#This Row],[Analyst Name:]],[1]!Table1[Analyst Name],[1]!Table1[Deloitte Email ID])</f>
        <v>#REF!</v>
      </c>
      <c r="C150" s="20" t="e">
        <f>_xlfn.XLOOKUP(Christus_Emp_Table[[#This Row],[Analyst Name:]],[1]!Table1[Analyst Name],[1]!Table1[Module])</f>
        <v>#REF!</v>
      </c>
      <c r="D150" s="20" t="e">
        <f>_xlfn.XLOOKUP(Christus_Emp_Table[[#This Row],[Analyst Name:]],[1]!Table1[Analyst Name],[1]!Table1[Location])</f>
        <v>#REF!</v>
      </c>
      <c r="E150" s="20" t="s">
        <v>23</v>
      </c>
      <c r="F150" s="21">
        <v>45828</v>
      </c>
      <c r="G150" s="21">
        <v>45828</v>
      </c>
      <c r="H150" s="20" t="s">
        <v>23</v>
      </c>
      <c r="I150" s="20" t="s">
        <v>16</v>
      </c>
      <c r="J150" s="20">
        <f>NETWORKDAYS(Christus_Emp_Table[[#This Row],[From Date:]],Christus_Emp_Table[[#This Row],[To Date:]])</f>
        <v>1</v>
      </c>
      <c r="K150" s="20"/>
      <c r="L150" s="20" t="e">
        <f>_xlfn.XLOOKUP(Christus_Emp_Table[[#This Row],[Analyst Name:]],[1]!Table1[Analyst Name],[1]!Table1[Lead])</f>
        <v>#REF!</v>
      </c>
      <c r="M150" s="20" t="e">
        <f>_xlfn.XLOOKUP(Christus_Emp_Table[[#This Row],[Analyst Name:]],[1]!Table1[Analyst Name],[1]!Table1[Active/Inactive])</f>
        <v>#REF!</v>
      </c>
    </row>
    <row r="151" spans="1:13" x14ac:dyDescent="0.35">
      <c r="A151" s="19" t="s">
        <v>31</v>
      </c>
      <c r="B151" s="20" t="e">
        <f>_xlfn.XLOOKUP(Christus_Emp_Table[[#This Row],[Analyst Name:]],[1]!Table1[Analyst Name],[1]!Table1[Deloitte Email ID])</f>
        <v>#REF!</v>
      </c>
      <c r="C151" s="20" t="e">
        <f>_xlfn.XLOOKUP(Christus_Emp_Table[[#This Row],[Analyst Name:]],[1]!Table1[Analyst Name],[1]!Table1[Module])</f>
        <v>#REF!</v>
      </c>
      <c r="D151" s="20" t="e">
        <f>_xlfn.XLOOKUP(Christus_Emp_Table[[#This Row],[Analyst Name:]],[1]!Table1[Analyst Name],[1]!Table1[Location])</f>
        <v>#REF!</v>
      </c>
      <c r="E151" s="20" t="s">
        <v>15</v>
      </c>
      <c r="F151" s="21">
        <v>45838</v>
      </c>
      <c r="G151" s="21">
        <v>45838</v>
      </c>
      <c r="H151" s="20" t="s">
        <v>15</v>
      </c>
      <c r="I151" s="20" t="s">
        <v>16</v>
      </c>
      <c r="J151" s="20">
        <f>NETWORKDAYS(Christus_Emp_Table[[#This Row],[From Date:]],Christus_Emp_Table[[#This Row],[To Date:]])</f>
        <v>1</v>
      </c>
      <c r="K151" s="20"/>
      <c r="L151" s="20" t="e">
        <f>_xlfn.XLOOKUP(Christus_Emp_Table[[#This Row],[Analyst Name:]],[1]!Table1[Analyst Name],[1]!Table1[Lead])</f>
        <v>#REF!</v>
      </c>
      <c r="M151" s="20" t="e">
        <f>_xlfn.XLOOKUP(Christus_Emp_Table[[#This Row],[Analyst Name:]],[1]!Table1[Analyst Name],[1]!Table1[Active/Inactive])</f>
        <v>#REF!</v>
      </c>
    </row>
    <row r="152" spans="1:13" x14ac:dyDescent="0.35">
      <c r="A152" s="19" t="s">
        <v>32</v>
      </c>
      <c r="B152" s="20" t="e">
        <f>_xlfn.XLOOKUP(Christus_Emp_Table[[#This Row],[Analyst Name:]],[1]!Table1[Analyst Name],[1]!Table1[Deloitte Email ID])</f>
        <v>#REF!</v>
      </c>
      <c r="C152" s="20" t="e">
        <f>_xlfn.XLOOKUP(Christus_Emp_Table[[#This Row],[Analyst Name:]],[1]!Table1[Analyst Name],[1]!Table1[Module])</f>
        <v>#REF!</v>
      </c>
      <c r="D152" s="20" t="e">
        <f>_xlfn.XLOOKUP(Christus_Emp_Table[[#This Row],[Analyst Name:]],[1]!Table1[Analyst Name],[1]!Table1[Location])</f>
        <v>#REF!</v>
      </c>
      <c r="E152" s="22" t="s">
        <v>19</v>
      </c>
      <c r="F152" s="21">
        <v>45824</v>
      </c>
      <c r="G152" s="21">
        <v>45824</v>
      </c>
      <c r="H152" s="20" t="s">
        <v>20</v>
      </c>
      <c r="I152" s="20" t="s">
        <v>16</v>
      </c>
      <c r="J152" s="20">
        <f>NETWORKDAYS(Christus_Emp_Table[[#This Row],[From Date:]],Christus_Emp_Table[[#This Row],[To Date:]])</f>
        <v>1</v>
      </c>
      <c r="K152" s="20"/>
      <c r="L152" s="20" t="e">
        <f>_xlfn.XLOOKUP(Christus_Emp_Table[[#This Row],[Analyst Name:]],[1]!Table1[Analyst Name],[1]!Table1[Lead])</f>
        <v>#REF!</v>
      </c>
      <c r="M152" s="20" t="e">
        <f>_xlfn.XLOOKUP(Christus_Emp_Table[[#This Row],[Analyst Name:]],[1]!Table1[Analyst Name],[1]!Table1[Active/Inactive])</f>
        <v>#REF!</v>
      </c>
    </row>
    <row r="153" spans="1:13" x14ac:dyDescent="0.35">
      <c r="A153" s="19" t="s">
        <v>34</v>
      </c>
      <c r="B153" s="20" t="e">
        <f>_xlfn.XLOOKUP(Christus_Emp_Table[[#This Row],[Analyst Name:]],[1]!Table1[Analyst Name],[1]!Table1[Deloitte Email ID])</f>
        <v>#REF!</v>
      </c>
      <c r="C153" s="20" t="e">
        <f>_xlfn.XLOOKUP(Christus_Emp_Table[[#This Row],[Analyst Name:]],[1]!Table1[Analyst Name],[1]!Table1[Module])</f>
        <v>#REF!</v>
      </c>
      <c r="D153" s="20" t="e">
        <f>_xlfn.XLOOKUP(Christus_Emp_Table[[#This Row],[Analyst Name:]],[1]!Table1[Analyst Name],[1]!Table1[Location])</f>
        <v>#REF!</v>
      </c>
      <c r="E153" s="20" t="s">
        <v>23</v>
      </c>
      <c r="F153" s="21">
        <v>45817</v>
      </c>
      <c r="G153" s="21">
        <v>45817</v>
      </c>
      <c r="H153" s="20" t="s">
        <v>23</v>
      </c>
      <c r="I153" s="20" t="s">
        <v>16</v>
      </c>
      <c r="J153" s="20">
        <f>NETWORKDAYS(Christus_Emp_Table[[#This Row],[From Date:]],Christus_Emp_Table[[#This Row],[To Date:]])</f>
        <v>1</v>
      </c>
      <c r="K153" s="20"/>
      <c r="L153" s="20" t="e">
        <f>_xlfn.XLOOKUP(Christus_Emp_Table[[#This Row],[Analyst Name:]],[1]!Table1[Analyst Name],[1]!Table1[Lead])</f>
        <v>#REF!</v>
      </c>
      <c r="M153" s="20" t="e">
        <f>_xlfn.XLOOKUP(Christus_Emp_Table[[#This Row],[Analyst Name:]],[1]!Table1[Analyst Name],[1]!Table1[Active/Inactive])</f>
        <v>#REF!</v>
      </c>
    </row>
    <row r="154" spans="1:13" x14ac:dyDescent="0.35">
      <c r="A154" s="19" t="s">
        <v>35</v>
      </c>
      <c r="B154" s="20" t="e">
        <f>_xlfn.XLOOKUP(Christus_Emp_Table[[#This Row],[Analyst Name:]],[1]!Table1[Analyst Name],[1]!Table1[Deloitte Email ID])</f>
        <v>#REF!</v>
      </c>
      <c r="C154" s="20" t="e">
        <f>_xlfn.XLOOKUP(Christus_Emp_Table[[#This Row],[Analyst Name:]],[1]!Table1[Analyst Name],[1]!Table1[Module])</f>
        <v>#REF!</v>
      </c>
      <c r="D154" s="20" t="e">
        <f>_xlfn.XLOOKUP(Christus_Emp_Table[[#This Row],[Analyst Name:]],[1]!Table1[Analyst Name],[1]!Table1[Location])</f>
        <v>#REF!</v>
      </c>
      <c r="E154" s="20" t="s">
        <v>15</v>
      </c>
      <c r="F154" s="21">
        <v>45819</v>
      </c>
      <c r="G154" s="21">
        <v>45826</v>
      </c>
      <c r="H154" s="20" t="s">
        <v>15</v>
      </c>
      <c r="I154" s="20" t="s">
        <v>16</v>
      </c>
      <c r="J154" s="20">
        <f>NETWORKDAYS(Christus_Emp_Table[[#This Row],[From Date:]],Christus_Emp_Table[[#This Row],[To Date:]])</f>
        <v>6</v>
      </c>
      <c r="K154" s="20"/>
      <c r="L154" s="20" t="e">
        <f>_xlfn.XLOOKUP(Christus_Emp_Table[[#This Row],[Analyst Name:]],[1]!Table1[Analyst Name],[1]!Table1[Lead])</f>
        <v>#REF!</v>
      </c>
      <c r="M154" s="20" t="e">
        <f>_xlfn.XLOOKUP(Christus_Emp_Table[[#This Row],[Analyst Name:]],[1]!Table1[Analyst Name],[1]!Table1[Active/Inactive])</f>
        <v>#REF!</v>
      </c>
    </row>
    <row r="155" spans="1:13" x14ac:dyDescent="0.35">
      <c r="A155" s="19" t="s">
        <v>36</v>
      </c>
      <c r="B155" s="20" t="e">
        <f>_xlfn.XLOOKUP(Christus_Emp_Table[[#This Row],[Analyst Name:]],[1]!Table1[Analyst Name],[1]!Table1[Deloitte Email ID])</f>
        <v>#REF!</v>
      </c>
      <c r="C155" s="20" t="e">
        <f>_xlfn.XLOOKUP(Christus_Emp_Table[[#This Row],[Analyst Name:]],[1]!Table1[Analyst Name],[1]!Table1[Module])</f>
        <v>#REF!</v>
      </c>
      <c r="D155" s="20" t="e">
        <f>_xlfn.XLOOKUP(Christus_Emp_Table[[#This Row],[Analyst Name:]],[1]!Table1[Analyst Name],[1]!Table1[Location])</f>
        <v>#REF!</v>
      </c>
      <c r="E155" s="20" t="s">
        <v>15</v>
      </c>
      <c r="F155" s="21">
        <v>45835</v>
      </c>
      <c r="G155" s="21">
        <v>45835</v>
      </c>
      <c r="H155" s="20" t="s">
        <v>15</v>
      </c>
      <c r="I155" s="20" t="s">
        <v>16</v>
      </c>
      <c r="J155" s="20">
        <f>NETWORKDAYS(Christus_Emp_Table[[#This Row],[From Date:]],Christus_Emp_Table[[#This Row],[To Date:]])</f>
        <v>1</v>
      </c>
      <c r="K155" s="20"/>
      <c r="L155" s="20" t="e">
        <f>_xlfn.XLOOKUP(Christus_Emp_Table[[#This Row],[Analyst Name:]],[1]!Table1[Analyst Name],[1]!Table1[Lead])</f>
        <v>#REF!</v>
      </c>
      <c r="M155" s="20" t="e">
        <f>_xlfn.XLOOKUP(Christus_Emp_Table[[#This Row],[Analyst Name:]],[1]!Table1[Analyst Name],[1]!Table1[Active/Inactive])</f>
        <v>#REF!</v>
      </c>
    </row>
    <row r="156" spans="1:13" x14ac:dyDescent="0.35">
      <c r="A156" s="19" t="s">
        <v>37</v>
      </c>
      <c r="B156" s="20" t="e">
        <f>_xlfn.XLOOKUP(Christus_Emp_Table[[#This Row],[Analyst Name:]],[1]!Table1[Analyst Name],[1]!Table1[Deloitte Email ID])</f>
        <v>#REF!</v>
      </c>
      <c r="C156" s="20" t="e">
        <f>_xlfn.XLOOKUP(Christus_Emp_Table[[#This Row],[Analyst Name:]],[1]!Table1[Analyst Name],[1]!Table1[Module])</f>
        <v>#REF!</v>
      </c>
      <c r="D156" s="20" t="e">
        <f>_xlfn.XLOOKUP(Christus_Emp_Table[[#This Row],[Analyst Name:]],[1]!Table1[Analyst Name],[1]!Table1[Location])</f>
        <v>#REF!</v>
      </c>
      <c r="E156" s="20" t="s">
        <v>15</v>
      </c>
      <c r="F156" s="21">
        <v>45810</v>
      </c>
      <c r="G156" s="21">
        <v>45814</v>
      </c>
      <c r="H156" s="20" t="s">
        <v>15</v>
      </c>
      <c r="I156" s="20" t="s">
        <v>16</v>
      </c>
      <c r="J156" s="20">
        <f>NETWORKDAYS(Christus_Emp_Table[[#This Row],[From Date:]],Christus_Emp_Table[[#This Row],[To Date:]])</f>
        <v>5</v>
      </c>
      <c r="K156" s="20"/>
      <c r="L156" s="20" t="e">
        <f>_xlfn.XLOOKUP(Christus_Emp_Table[[#This Row],[Analyst Name:]],[1]!Table1[Analyst Name],[1]!Table1[Lead])</f>
        <v>#REF!</v>
      </c>
      <c r="M156" s="20" t="e">
        <f>_xlfn.XLOOKUP(Christus_Emp_Table[[#This Row],[Analyst Name:]],[1]!Table1[Analyst Name],[1]!Table1[Active/Inactive])</f>
        <v>#REF!</v>
      </c>
    </row>
    <row r="157" spans="1:13" x14ac:dyDescent="0.35">
      <c r="A157" s="19" t="s">
        <v>37</v>
      </c>
      <c r="B157" s="20" t="e">
        <f>_xlfn.XLOOKUP(Christus_Emp_Table[[#This Row],[Analyst Name:]],[1]!Table1[Analyst Name],[1]!Table1[Deloitte Email ID])</f>
        <v>#REF!</v>
      </c>
      <c r="C157" s="20" t="e">
        <f>_xlfn.XLOOKUP(Christus_Emp_Table[[#This Row],[Analyst Name:]],[1]!Table1[Analyst Name],[1]!Table1[Module])</f>
        <v>#REF!</v>
      </c>
      <c r="D157" s="20" t="e">
        <f>_xlfn.XLOOKUP(Christus_Emp_Table[[#This Row],[Analyst Name:]],[1]!Table1[Analyst Name],[1]!Table1[Location])</f>
        <v>#REF!</v>
      </c>
      <c r="E157" s="22" t="s">
        <v>19</v>
      </c>
      <c r="F157" s="21">
        <v>45817</v>
      </c>
      <c r="G157" s="21">
        <v>45817</v>
      </c>
      <c r="H157" s="20" t="s">
        <v>20</v>
      </c>
      <c r="I157" s="20" t="s">
        <v>16</v>
      </c>
      <c r="J157" s="20">
        <f>NETWORKDAYS(Christus_Emp_Table[[#This Row],[From Date:]],Christus_Emp_Table[[#This Row],[To Date:]])</f>
        <v>1</v>
      </c>
      <c r="K157" s="20"/>
      <c r="L157" s="20" t="e">
        <f>_xlfn.XLOOKUP(Christus_Emp_Table[[#This Row],[Analyst Name:]],[1]!Table1[Analyst Name],[1]!Table1[Lead])</f>
        <v>#REF!</v>
      </c>
      <c r="M157" s="20" t="e">
        <f>_xlfn.XLOOKUP(Christus_Emp_Table[[#This Row],[Analyst Name:]],[1]!Table1[Analyst Name],[1]!Table1[Active/Inactive])</f>
        <v>#REF!</v>
      </c>
    </row>
    <row r="158" spans="1:13" x14ac:dyDescent="0.35">
      <c r="A158" s="19" t="s">
        <v>37</v>
      </c>
      <c r="B158" s="20" t="e">
        <f>_xlfn.XLOOKUP(Christus_Emp_Table[[#This Row],[Analyst Name:]],[1]!Table1[Analyst Name],[1]!Table1[Deloitte Email ID])</f>
        <v>#REF!</v>
      </c>
      <c r="C158" s="20" t="e">
        <f>_xlfn.XLOOKUP(Christus_Emp_Table[[#This Row],[Analyst Name:]],[1]!Table1[Analyst Name],[1]!Table1[Module])</f>
        <v>#REF!</v>
      </c>
      <c r="D158" s="20" t="e">
        <f>_xlfn.XLOOKUP(Christus_Emp_Table[[#This Row],[Analyst Name:]],[1]!Table1[Analyst Name],[1]!Table1[Location])</f>
        <v>#REF!</v>
      </c>
      <c r="E158" s="22" t="s">
        <v>19</v>
      </c>
      <c r="F158" s="21">
        <v>45835</v>
      </c>
      <c r="G158" s="21">
        <v>45835</v>
      </c>
      <c r="H158" s="20" t="s">
        <v>20</v>
      </c>
      <c r="I158" s="20" t="s">
        <v>16</v>
      </c>
      <c r="J158" s="20">
        <f>NETWORKDAYS(Christus_Emp_Table[[#This Row],[From Date:]],Christus_Emp_Table[[#This Row],[To Date:]])</f>
        <v>1</v>
      </c>
      <c r="K158" s="20"/>
      <c r="L158" s="20" t="e">
        <f>_xlfn.XLOOKUP(Christus_Emp_Table[[#This Row],[Analyst Name:]],[1]!Table1[Analyst Name],[1]!Table1[Lead])</f>
        <v>#REF!</v>
      </c>
      <c r="M158" s="20" t="e">
        <f>_xlfn.XLOOKUP(Christus_Emp_Table[[#This Row],[Analyst Name:]],[1]!Table1[Analyst Name],[1]!Table1[Active/Inactive])</f>
        <v>#REF!</v>
      </c>
    </row>
    <row r="159" spans="1:13" x14ac:dyDescent="0.35">
      <c r="A159" s="19" t="s">
        <v>14</v>
      </c>
      <c r="B159" s="20" t="e">
        <f>_xlfn.XLOOKUP(Christus_Emp_Table[[#This Row],[Analyst Name:]],[1]!Table1[Analyst Name],[1]!Table1[Deloitte Email ID])</f>
        <v>#REF!</v>
      </c>
      <c r="C159" s="20" t="e">
        <f>_xlfn.XLOOKUP(Christus_Emp_Table[[#This Row],[Analyst Name:]],[1]!Table1[Analyst Name],[1]!Table1[Module])</f>
        <v>#REF!</v>
      </c>
      <c r="D159" s="20" t="e">
        <f>_xlfn.XLOOKUP(Christus_Emp_Table[[#This Row],[Analyst Name:]],[1]!Table1[Analyst Name],[1]!Table1[Location])</f>
        <v>#REF!</v>
      </c>
      <c r="E159" s="20" t="s">
        <v>15</v>
      </c>
      <c r="F159" s="21">
        <v>45835</v>
      </c>
      <c r="G159" s="21">
        <v>45835</v>
      </c>
      <c r="H159" s="20" t="s">
        <v>15</v>
      </c>
      <c r="I159" s="20" t="s">
        <v>16</v>
      </c>
      <c r="J159" s="20">
        <f>NETWORKDAYS(Christus_Emp_Table[[#This Row],[From Date:]],Christus_Emp_Table[[#This Row],[To Date:]])</f>
        <v>1</v>
      </c>
      <c r="K159" s="20"/>
      <c r="L159" s="20" t="e">
        <f>_xlfn.XLOOKUP(Christus_Emp_Table[[#This Row],[Analyst Name:]],[1]!Table1[Analyst Name],[1]!Table1[Lead])</f>
        <v>#REF!</v>
      </c>
      <c r="M159" s="20" t="e">
        <f>_xlfn.XLOOKUP(Christus_Emp_Table[[#This Row],[Analyst Name:]],[1]!Table1[Analyst Name],[1]!Table1[Active/Inactive])</f>
        <v>#REF!</v>
      </c>
    </row>
    <row r="160" spans="1:13" x14ac:dyDescent="0.35">
      <c r="A160" s="19" t="s">
        <v>14</v>
      </c>
      <c r="B160" s="20" t="e">
        <f>_xlfn.XLOOKUP(Christus_Emp_Table[[#This Row],[Analyst Name:]],[1]!Table1[Analyst Name],[1]!Table1[Deloitte Email ID])</f>
        <v>#REF!</v>
      </c>
      <c r="C160" s="20" t="e">
        <f>_xlfn.XLOOKUP(Christus_Emp_Table[[#This Row],[Analyst Name:]],[1]!Table1[Analyst Name],[1]!Table1[Module])</f>
        <v>#REF!</v>
      </c>
      <c r="D160" s="20" t="e">
        <f>_xlfn.XLOOKUP(Christus_Emp_Table[[#This Row],[Analyst Name:]],[1]!Table1[Analyst Name],[1]!Table1[Location])</f>
        <v>#REF!</v>
      </c>
      <c r="E160" s="22" t="s">
        <v>19</v>
      </c>
      <c r="F160" s="21">
        <v>45838</v>
      </c>
      <c r="G160" s="21">
        <v>45838</v>
      </c>
      <c r="H160" s="20" t="s">
        <v>20</v>
      </c>
      <c r="I160" s="20" t="s">
        <v>16</v>
      </c>
      <c r="J160" s="20">
        <f>NETWORKDAYS(Christus_Emp_Table[[#This Row],[From Date:]],Christus_Emp_Table[[#This Row],[To Date:]])</f>
        <v>1</v>
      </c>
      <c r="K160" s="20"/>
      <c r="L160" s="20" t="e">
        <f>_xlfn.XLOOKUP(Christus_Emp_Table[[#This Row],[Analyst Name:]],[1]!Table1[Analyst Name],[1]!Table1[Lead])</f>
        <v>#REF!</v>
      </c>
      <c r="M160" s="20" t="e">
        <f>_xlfn.XLOOKUP(Christus_Emp_Table[[#This Row],[Analyst Name:]],[1]!Table1[Analyst Name],[1]!Table1[Active/Inactive])</f>
        <v>#REF!</v>
      </c>
    </row>
    <row r="161" spans="1:13" x14ac:dyDescent="0.35">
      <c r="A161" s="19" t="s">
        <v>41</v>
      </c>
      <c r="B161" s="20" t="e">
        <f>_xlfn.XLOOKUP(Christus_Emp_Table[[#This Row],[Analyst Name:]],[1]!Table1[Analyst Name],[1]!Table1[Deloitte Email ID])</f>
        <v>#REF!</v>
      </c>
      <c r="C161" s="20" t="e">
        <f>_xlfn.XLOOKUP(Christus_Emp_Table[[#This Row],[Analyst Name:]],[1]!Table1[Analyst Name],[1]!Table1[Module])</f>
        <v>#REF!</v>
      </c>
      <c r="D161" s="20" t="e">
        <f>_xlfn.XLOOKUP(Christus_Emp_Table[[#This Row],[Analyst Name:]],[1]!Table1[Analyst Name],[1]!Table1[Location])</f>
        <v>#REF!</v>
      </c>
      <c r="E161" s="22" t="s">
        <v>19</v>
      </c>
      <c r="F161" s="21">
        <v>45840</v>
      </c>
      <c r="G161" s="21">
        <v>45840</v>
      </c>
      <c r="H161" s="20" t="s">
        <v>20</v>
      </c>
      <c r="I161" s="20" t="s">
        <v>16</v>
      </c>
      <c r="J161" s="20">
        <f>NETWORKDAYS(Christus_Emp_Table[[#This Row],[From Date:]],Christus_Emp_Table[[#This Row],[To Date:]])</f>
        <v>1</v>
      </c>
      <c r="K161" s="20"/>
      <c r="L161" s="20" t="e">
        <f>_xlfn.XLOOKUP(Christus_Emp_Table[[#This Row],[Analyst Name:]],[1]!Table1[Analyst Name],[1]!Table1[Lead])</f>
        <v>#REF!</v>
      </c>
      <c r="M161" s="20" t="e">
        <f>_xlfn.XLOOKUP(Christus_Emp_Table[[#This Row],[Analyst Name:]],[1]!Table1[Analyst Name],[1]!Table1[Active/Inactive])</f>
        <v>#REF!</v>
      </c>
    </row>
    <row r="162" spans="1:13" x14ac:dyDescent="0.35">
      <c r="A162" s="19" t="s">
        <v>41</v>
      </c>
      <c r="B162" s="20" t="e">
        <f>_xlfn.XLOOKUP(Christus_Emp_Table[[#This Row],[Analyst Name:]],[1]!Table1[Analyst Name],[1]!Table1[Deloitte Email ID])</f>
        <v>#REF!</v>
      </c>
      <c r="C162" s="20" t="e">
        <f>_xlfn.XLOOKUP(Christus_Emp_Table[[#This Row],[Analyst Name:]],[1]!Table1[Analyst Name],[1]!Table1[Module])</f>
        <v>#REF!</v>
      </c>
      <c r="D162" s="20" t="e">
        <f>_xlfn.XLOOKUP(Christus_Emp_Table[[#This Row],[Analyst Name:]],[1]!Table1[Analyst Name],[1]!Table1[Location])</f>
        <v>#REF!</v>
      </c>
      <c r="E162" s="22" t="s">
        <v>19</v>
      </c>
      <c r="F162" s="21">
        <v>45867</v>
      </c>
      <c r="G162" s="21">
        <v>45868</v>
      </c>
      <c r="H162" s="20" t="s">
        <v>20</v>
      </c>
      <c r="I162" s="20" t="s">
        <v>16</v>
      </c>
      <c r="J162" s="20">
        <f>NETWORKDAYS(Christus_Emp_Table[[#This Row],[From Date:]],Christus_Emp_Table[[#This Row],[To Date:]])</f>
        <v>2</v>
      </c>
      <c r="K162" s="20"/>
      <c r="L162" s="20" t="e">
        <f>_xlfn.XLOOKUP(Christus_Emp_Table[[#This Row],[Analyst Name:]],[1]!Table1[Analyst Name],[1]!Table1[Lead])</f>
        <v>#REF!</v>
      </c>
      <c r="M162" s="20" t="e">
        <f>_xlfn.XLOOKUP(Christus_Emp_Table[[#This Row],[Analyst Name:]],[1]!Table1[Analyst Name],[1]!Table1[Active/Inactive])</f>
        <v>#REF!</v>
      </c>
    </row>
    <row r="163" spans="1:13" x14ac:dyDescent="0.35">
      <c r="A163" s="19" t="s">
        <v>17</v>
      </c>
      <c r="B163" s="20" t="e">
        <f>_xlfn.XLOOKUP(Christus_Emp_Table[[#This Row],[Analyst Name:]],[1]!Table1[Analyst Name],[1]!Table1[Deloitte Email ID])</f>
        <v>#REF!</v>
      </c>
      <c r="C163" s="20" t="e">
        <f>_xlfn.XLOOKUP(Christus_Emp_Table[[#This Row],[Analyst Name:]],[1]!Table1[Analyst Name],[1]!Table1[Module])</f>
        <v>#REF!</v>
      </c>
      <c r="D163" s="20" t="e">
        <f>_xlfn.XLOOKUP(Christus_Emp_Table[[#This Row],[Analyst Name:]],[1]!Table1[Analyst Name],[1]!Table1[Location])</f>
        <v>#REF!</v>
      </c>
      <c r="E163" s="20" t="s">
        <v>15</v>
      </c>
      <c r="F163" s="21">
        <v>45842</v>
      </c>
      <c r="G163" s="21">
        <v>45842</v>
      </c>
      <c r="H163" s="20" t="s">
        <v>15</v>
      </c>
      <c r="I163" s="20" t="s">
        <v>16</v>
      </c>
      <c r="J163" s="20">
        <f>NETWORKDAYS(Christus_Emp_Table[[#This Row],[From Date:]],Christus_Emp_Table[[#This Row],[To Date:]])</f>
        <v>1</v>
      </c>
      <c r="K163" s="20"/>
      <c r="L163" s="20" t="e">
        <f>_xlfn.XLOOKUP(Christus_Emp_Table[[#This Row],[Analyst Name:]],[1]!Table1[Analyst Name],[1]!Table1[Lead])</f>
        <v>#REF!</v>
      </c>
      <c r="M163" s="20" t="e">
        <f>_xlfn.XLOOKUP(Christus_Emp_Table[[#This Row],[Analyst Name:]],[1]!Table1[Analyst Name],[1]!Table1[Active/Inactive])</f>
        <v>#REF!</v>
      </c>
    </row>
    <row r="164" spans="1:13" x14ac:dyDescent="0.35">
      <c r="A164" s="19" t="s">
        <v>17</v>
      </c>
      <c r="B164" s="20" t="e">
        <f>_xlfn.XLOOKUP(Christus_Emp_Table[[#This Row],[Analyst Name:]],[1]!Table1[Analyst Name],[1]!Table1[Deloitte Email ID])</f>
        <v>#REF!</v>
      </c>
      <c r="C164" s="20" t="e">
        <f>_xlfn.XLOOKUP(Christus_Emp_Table[[#This Row],[Analyst Name:]],[1]!Table1[Analyst Name],[1]!Table1[Module])</f>
        <v>#REF!</v>
      </c>
      <c r="D164" s="20" t="e">
        <f>_xlfn.XLOOKUP(Christus_Emp_Table[[#This Row],[Analyst Name:]],[1]!Table1[Analyst Name],[1]!Table1[Location])</f>
        <v>#REF!</v>
      </c>
      <c r="E164" s="22" t="s">
        <v>19</v>
      </c>
      <c r="F164" s="21">
        <v>45859</v>
      </c>
      <c r="G164" s="21">
        <v>45860</v>
      </c>
      <c r="H164" s="20" t="s">
        <v>20</v>
      </c>
      <c r="I164" s="20" t="s">
        <v>16</v>
      </c>
      <c r="J164" s="20">
        <f>NETWORKDAYS(Christus_Emp_Table[[#This Row],[From Date:]],Christus_Emp_Table[[#This Row],[To Date:]])</f>
        <v>2</v>
      </c>
      <c r="K164" s="20"/>
      <c r="L164" s="20" t="e">
        <f>_xlfn.XLOOKUP(Christus_Emp_Table[[#This Row],[Analyst Name:]],[1]!Table1[Analyst Name],[1]!Table1[Lead])</f>
        <v>#REF!</v>
      </c>
      <c r="M164" s="20" t="e">
        <f>_xlfn.XLOOKUP(Christus_Emp_Table[[#This Row],[Analyst Name:]],[1]!Table1[Analyst Name],[1]!Table1[Active/Inactive])</f>
        <v>#REF!</v>
      </c>
    </row>
    <row r="165" spans="1:13" x14ac:dyDescent="0.35">
      <c r="A165" s="19" t="s">
        <v>21</v>
      </c>
      <c r="B165" s="20" t="e">
        <f>_xlfn.XLOOKUP(Christus_Emp_Table[[#This Row],[Analyst Name:]],[1]!Table1[Analyst Name],[1]!Table1[Deloitte Email ID])</f>
        <v>#REF!</v>
      </c>
      <c r="C165" s="20" t="e">
        <f>_xlfn.XLOOKUP(Christus_Emp_Table[[#This Row],[Analyst Name:]],[1]!Table1[Analyst Name],[1]!Table1[Module])</f>
        <v>#REF!</v>
      </c>
      <c r="D165" s="20" t="e">
        <f>_xlfn.XLOOKUP(Christus_Emp_Table[[#This Row],[Analyst Name:]],[1]!Table1[Analyst Name],[1]!Table1[Location])</f>
        <v>#REF!</v>
      </c>
      <c r="E165" s="22" t="s">
        <v>19</v>
      </c>
      <c r="F165" s="21">
        <v>45866</v>
      </c>
      <c r="G165" s="21">
        <v>45866</v>
      </c>
      <c r="H165" s="20" t="s">
        <v>20</v>
      </c>
      <c r="I165" s="20" t="s">
        <v>16</v>
      </c>
      <c r="J165" s="20">
        <f>NETWORKDAYS(Christus_Emp_Table[[#This Row],[From Date:]],Christus_Emp_Table[[#This Row],[To Date:]])</f>
        <v>1</v>
      </c>
      <c r="K165" s="20"/>
      <c r="L165" s="20" t="e">
        <f>_xlfn.XLOOKUP(Christus_Emp_Table[[#This Row],[Analyst Name:]],[1]!Table1[Analyst Name],[1]!Table1[Lead])</f>
        <v>#REF!</v>
      </c>
      <c r="M165" s="20" t="e">
        <f>_xlfn.XLOOKUP(Christus_Emp_Table[[#This Row],[Analyst Name:]],[1]!Table1[Analyst Name],[1]!Table1[Active/Inactive])</f>
        <v>#REF!</v>
      </c>
    </row>
    <row r="166" spans="1:13" x14ac:dyDescent="0.35">
      <c r="A166" s="19" t="s">
        <v>22</v>
      </c>
      <c r="B166" s="20" t="e">
        <f>_xlfn.XLOOKUP(Christus_Emp_Table[[#This Row],[Analyst Name:]],[1]!Table1[Analyst Name],[1]!Table1[Deloitte Email ID])</f>
        <v>#REF!</v>
      </c>
      <c r="C166" s="20" t="e">
        <f>_xlfn.XLOOKUP(Christus_Emp_Table[[#This Row],[Analyst Name:]],[1]!Table1[Analyst Name],[1]!Table1[Module])</f>
        <v>#REF!</v>
      </c>
      <c r="D166" s="20" t="e">
        <f>_xlfn.XLOOKUP(Christus_Emp_Table[[#This Row],[Analyst Name:]],[1]!Table1[Analyst Name],[1]!Table1[Location])</f>
        <v>#REF!</v>
      </c>
      <c r="E166" s="22" t="s">
        <v>19</v>
      </c>
      <c r="F166" s="21">
        <v>45859</v>
      </c>
      <c r="G166" s="21">
        <v>45859</v>
      </c>
      <c r="H166" s="20" t="s">
        <v>20</v>
      </c>
      <c r="I166" s="20" t="s">
        <v>16</v>
      </c>
      <c r="J166" s="20">
        <f>NETWORKDAYS(Christus_Emp_Table[[#This Row],[From Date:]],Christus_Emp_Table[[#This Row],[To Date:]])</f>
        <v>1</v>
      </c>
      <c r="K166" s="20"/>
      <c r="L166" s="20" t="e">
        <f>_xlfn.XLOOKUP(Christus_Emp_Table[[#This Row],[Analyst Name:]],[1]!Table1[Analyst Name],[1]!Table1[Lead])</f>
        <v>#REF!</v>
      </c>
      <c r="M166" s="20" t="e">
        <f>_xlfn.XLOOKUP(Christus_Emp_Table[[#This Row],[Analyst Name:]],[1]!Table1[Analyst Name],[1]!Table1[Active/Inactive])</f>
        <v>#REF!</v>
      </c>
    </row>
    <row r="167" spans="1:13" x14ac:dyDescent="0.35">
      <c r="A167" s="19" t="s">
        <v>22</v>
      </c>
      <c r="B167" s="20" t="e">
        <f>_xlfn.XLOOKUP(Christus_Emp_Table[[#This Row],[Analyst Name:]],[1]!Table1[Analyst Name],[1]!Table1[Deloitte Email ID])</f>
        <v>#REF!</v>
      </c>
      <c r="C167" s="20" t="e">
        <f>_xlfn.XLOOKUP(Christus_Emp_Table[[#This Row],[Analyst Name:]],[1]!Table1[Analyst Name],[1]!Table1[Module])</f>
        <v>#REF!</v>
      </c>
      <c r="D167" s="20" t="e">
        <f>_xlfn.XLOOKUP(Christus_Emp_Table[[#This Row],[Analyst Name:]],[1]!Table1[Analyst Name],[1]!Table1[Location])</f>
        <v>#REF!</v>
      </c>
      <c r="E167" s="20" t="s">
        <v>15</v>
      </c>
      <c r="F167" s="21">
        <v>45863</v>
      </c>
      <c r="G167" s="21">
        <v>45863</v>
      </c>
      <c r="H167" s="20" t="s">
        <v>15</v>
      </c>
      <c r="I167" s="20" t="s">
        <v>16</v>
      </c>
      <c r="J167" s="20">
        <f>NETWORKDAYS(Christus_Emp_Table[[#This Row],[From Date:]],Christus_Emp_Table[[#This Row],[To Date:]])</f>
        <v>1</v>
      </c>
      <c r="K167" s="20"/>
      <c r="L167" s="20" t="e">
        <f>_xlfn.XLOOKUP(Christus_Emp_Table[[#This Row],[Analyst Name:]],[1]!Table1[Analyst Name],[1]!Table1[Lead])</f>
        <v>#REF!</v>
      </c>
      <c r="M167" s="20" t="e">
        <f>_xlfn.XLOOKUP(Christus_Emp_Table[[#This Row],[Analyst Name:]],[1]!Table1[Analyst Name],[1]!Table1[Active/Inactive])</f>
        <v>#REF!</v>
      </c>
    </row>
    <row r="168" spans="1:13" x14ac:dyDescent="0.35">
      <c r="A168" s="19" t="s">
        <v>24</v>
      </c>
      <c r="B168" s="20" t="e">
        <f>_xlfn.XLOOKUP(Christus_Emp_Table[[#This Row],[Analyst Name:]],[1]!Table1[Analyst Name],[1]!Table1[Deloitte Email ID])</f>
        <v>#REF!</v>
      </c>
      <c r="C168" s="20" t="e">
        <f>_xlfn.XLOOKUP(Christus_Emp_Table[[#This Row],[Analyst Name:]],[1]!Table1[Analyst Name],[1]!Table1[Module])</f>
        <v>#REF!</v>
      </c>
      <c r="D168" s="20" t="e">
        <f>_xlfn.XLOOKUP(Christus_Emp_Table[[#This Row],[Analyst Name:]],[1]!Table1[Analyst Name],[1]!Table1[Location])</f>
        <v>#REF!</v>
      </c>
      <c r="E168" s="20" t="s">
        <v>15</v>
      </c>
      <c r="F168" s="21">
        <v>45862</v>
      </c>
      <c r="G168" s="21">
        <v>45863</v>
      </c>
      <c r="H168" s="20" t="s">
        <v>15</v>
      </c>
      <c r="I168" s="20" t="s">
        <v>16</v>
      </c>
      <c r="J168" s="20">
        <f>NETWORKDAYS(Christus_Emp_Table[[#This Row],[From Date:]],Christus_Emp_Table[[#This Row],[To Date:]])</f>
        <v>2</v>
      </c>
      <c r="K168" s="20"/>
      <c r="L168" s="20" t="e">
        <f>_xlfn.XLOOKUP(Christus_Emp_Table[[#This Row],[Analyst Name:]],[1]!Table1[Analyst Name],[1]!Table1[Lead])</f>
        <v>#REF!</v>
      </c>
      <c r="M168" s="20" t="e">
        <f>_xlfn.XLOOKUP(Christus_Emp_Table[[#This Row],[Analyst Name:]],[1]!Table1[Analyst Name],[1]!Table1[Active/Inactive])</f>
        <v>#REF!</v>
      </c>
    </row>
    <row r="169" spans="1:13" x14ac:dyDescent="0.35">
      <c r="A169" s="19" t="s">
        <v>25</v>
      </c>
      <c r="B169" s="20" t="e">
        <f>_xlfn.XLOOKUP(Christus_Emp_Table[[#This Row],[Analyst Name:]],[1]!Table1[Analyst Name],[1]!Table1[Deloitte Email ID])</f>
        <v>#REF!</v>
      </c>
      <c r="C169" s="20" t="e">
        <f>_xlfn.XLOOKUP(Christus_Emp_Table[[#This Row],[Analyst Name:]],[1]!Table1[Analyst Name],[1]!Table1[Module])</f>
        <v>#REF!</v>
      </c>
      <c r="D169" s="20" t="e">
        <f>_xlfn.XLOOKUP(Christus_Emp_Table[[#This Row],[Analyst Name:]],[1]!Table1[Analyst Name],[1]!Table1[Location])</f>
        <v>#REF!</v>
      </c>
      <c r="E169" s="20" t="s">
        <v>15</v>
      </c>
      <c r="F169" s="21">
        <v>45842</v>
      </c>
      <c r="G169" s="21">
        <v>45842</v>
      </c>
      <c r="H169" s="20" t="s">
        <v>15</v>
      </c>
      <c r="I169" s="20" t="s">
        <v>16</v>
      </c>
      <c r="J169" s="20">
        <f>NETWORKDAYS(Christus_Emp_Table[[#This Row],[From Date:]],Christus_Emp_Table[[#This Row],[To Date:]])</f>
        <v>1</v>
      </c>
      <c r="K169" s="20"/>
      <c r="L169" s="20" t="e">
        <f>_xlfn.XLOOKUP(Christus_Emp_Table[[#This Row],[Analyst Name:]],[1]!Table1[Analyst Name],[1]!Table1[Lead])</f>
        <v>#REF!</v>
      </c>
      <c r="M169" s="20" t="e">
        <f>_xlfn.XLOOKUP(Christus_Emp_Table[[#This Row],[Analyst Name:]],[1]!Table1[Analyst Name],[1]!Table1[Active/Inactive])</f>
        <v>#REF!</v>
      </c>
    </row>
    <row r="170" spans="1:13" x14ac:dyDescent="0.35">
      <c r="A170" s="19" t="s">
        <v>25</v>
      </c>
      <c r="B170" s="20" t="e">
        <f>_xlfn.XLOOKUP(Christus_Emp_Table[[#This Row],[Analyst Name:]],[1]!Table1[Analyst Name],[1]!Table1[Deloitte Email ID])</f>
        <v>#REF!</v>
      </c>
      <c r="C170" s="20" t="e">
        <f>_xlfn.XLOOKUP(Christus_Emp_Table[[#This Row],[Analyst Name:]],[1]!Table1[Analyst Name],[1]!Table1[Module])</f>
        <v>#REF!</v>
      </c>
      <c r="D170" s="20" t="e">
        <f>_xlfn.XLOOKUP(Christus_Emp_Table[[#This Row],[Analyst Name:]],[1]!Table1[Analyst Name],[1]!Table1[Location])</f>
        <v>#REF!</v>
      </c>
      <c r="E170" s="20" t="s">
        <v>15</v>
      </c>
      <c r="F170" s="21">
        <v>45849</v>
      </c>
      <c r="G170" s="21">
        <v>45849</v>
      </c>
      <c r="H170" s="20" t="s">
        <v>15</v>
      </c>
      <c r="I170" s="20" t="s">
        <v>16</v>
      </c>
      <c r="J170" s="20">
        <f>NETWORKDAYS(Christus_Emp_Table[[#This Row],[From Date:]],Christus_Emp_Table[[#This Row],[To Date:]])</f>
        <v>1</v>
      </c>
      <c r="K170" s="20"/>
      <c r="L170" s="20" t="e">
        <f>_xlfn.XLOOKUP(Christus_Emp_Table[[#This Row],[Analyst Name:]],[1]!Table1[Analyst Name],[1]!Table1[Lead])</f>
        <v>#REF!</v>
      </c>
      <c r="M170" s="20" t="e">
        <f>_xlfn.XLOOKUP(Christus_Emp_Table[[#This Row],[Analyst Name:]],[1]!Table1[Analyst Name],[1]!Table1[Active/Inactive])</f>
        <v>#REF!</v>
      </c>
    </row>
    <row r="171" spans="1:13" x14ac:dyDescent="0.35">
      <c r="A171" s="19" t="s">
        <v>25</v>
      </c>
      <c r="B171" s="20" t="e">
        <f>_xlfn.XLOOKUP(Christus_Emp_Table[[#This Row],[Analyst Name:]],[1]!Table1[Analyst Name],[1]!Table1[Deloitte Email ID])</f>
        <v>#REF!</v>
      </c>
      <c r="C171" s="20" t="e">
        <f>_xlfn.XLOOKUP(Christus_Emp_Table[[#This Row],[Analyst Name:]],[1]!Table1[Analyst Name],[1]!Table1[Module])</f>
        <v>#REF!</v>
      </c>
      <c r="D171" s="20" t="e">
        <f>_xlfn.XLOOKUP(Christus_Emp_Table[[#This Row],[Analyst Name:]],[1]!Table1[Analyst Name],[1]!Table1[Location])</f>
        <v>#REF!</v>
      </c>
      <c r="E171" s="20" t="s">
        <v>15</v>
      </c>
      <c r="F171" s="21">
        <v>45868</v>
      </c>
      <c r="G171" s="21">
        <v>45869</v>
      </c>
      <c r="H171" s="20" t="s">
        <v>15</v>
      </c>
      <c r="I171" s="20" t="s">
        <v>16</v>
      </c>
      <c r="J171" s="20">
        <f>NETWORKDAYS(Christus_Emp_Table[[#This Row],[From Date:]],Christus_Emp_Table[[#This Row],[To Date:]])</f>
        <v>2</v>
      </c>
      <c r="K171" s="20"/>
      <c r="L171" s="20" t="e">
        <f>_xlfn.XLOOKUP(Christus_Emp_Table[[#This Row],[Analyst Name:]],[1]!Table1[Analyst Name],[1]!Table1[Lead])</f>
        <v>#REF!</v>
      </c>
      <c r="M171" s="20" t="e">
        <f>_xlfn.XLOOKUP(Christus_Emp_Table[[#This Row],[Analyst Name:]],[1]!Table1[Analyst Name],[1]!Table1[Active/Inactive])</f>
        <v>#REF!</v>
      </c>
    </row>
    <row r="172" spans="1:13" x14ac:dyDescent="0.35">
      <c r="A172" s="19" t="s">
        <v>38</v>
      </c>
      <c r="B172" s="20" t="e">
        <f>_xlfn.XLOOKUP(Christus_Emp_Table[[#This Row],[Analyst Name:]],[1]!Table1[Analyst Name],[1]!Table1[Deloitte Email ID])</f>
        <v>#REF!</v>
      </c>
      <c r="C172" s="20" t="e">
        <f>_xlfn.XLOOKUP(Christus_Emp_Table[[#This Row],[Analyst Name:]],[1]!Table1[Analyst Name],[1]!Table1[Module])</f>
        <v>#REF!</v>
      </c>
      <c r="D172" s="20" t="e">
        <f>_xlfn.XLOOKUP(Christus_Emp_Table[[#This Row],[Analyst Name:]],[1]!Table1[Analyst Name],[1]!Table1[Location])</f>
        <v>#REF!</v>
      </c>
      <c r="E172" s="20" t="s">
        <v>15</v>
      </c>
      <c r="F172" s="21">
        <v>45868</v>
      </c>
      <c r="G172" s="21">
        <v>45869</v>
      </c>
      <c r="H172" s="20" t="s">
        <v>15</v>
      </c>
      <c r="I172" s="20" t="s">
        <v>16</v>
      </c>
      <c r="J172" s="20">
        <f>NETWORKDAYS(Christus_Emp_Table[[#This Row],[From Date:]],Christus_Emp_Table[[#This Row],[To Date:]])</f>
        <v>2</v>
      </c>
      <c r="K172" s="20"/>
      <c r="L172" s="20" t="e">
        <f>_xlfn.XLOOKUP(Christus_Emp_Table[[#This Row],[Analyst Name:]],[1]!Table1[Analyst Name],[1]!Table1[Lead])</f>
        <v>#REF!</v>
      </c>
      <c r="M172" s="20" t="e">
        <f>_xlfn.XLOOKUP(Christus_Emp_Table[[#This Row],[Analyst Name:]],[1]!Table1[Analyst Name],[1]!Table1[Active/Inactive])</f>
        <v>#REF!</v>
      </c>
    </row>
    <row r="173" spans="1:13" x14ac:dyDescent="0.35">
      <c r="A173" s="19" t="s">
        <v>42</v>
      </c>
      <c r="B173" s="20" t="e">
        <f>_xlfn.XLOOKUP(Christus_Emp_Table[[#This Row],[Analyst Name:]],[1]!Table1[Analyst Name],[1]!Table1[Deloitte Email ID])</f>
        <v>#REF!</v>
      </c>
      <c r="C173" s="20" t="e">
        <f>_xlfn.XLOOKUP(Christus_Emp_Table[[#This Row],[Analyst Name:]],[1]!Table1[Analyst Name],[1]!Table1[Module])</f>
        <v>#REF!</v>
      </c>
      <c r="D173" s="20" t="e">
        <f>_xlfn.XLOOKUP(Christus_Emp_Table[[#This Row],[Analyst Name:]],[1]!Table1[Analyst Name],[1]!Table1[Location])</f>
        <v>#REF!</v>
      </c>
      <c r="E173" s="22" t="s">
        <v>19</v>
      </c>
      <c r="F173" s="21">
        <v>45839</v>
      </c>
      <c r="G173" s="21">
        <v>45839</v>
      </c>
      <c r="H173" s="20" t="s">
        <v>20</v>
      </c>
      <c r="I173" s="20" t="s">
        <v>16</v>
      </c>
      <c r="J173" s="20">
        <f>NETWORKDAYS(Christus_Emp_Table[[#This Row],[From Date:]],Christus_Emp_Table[[#This Row],[To Date:]])</f>
        <v>1</v>
      </c>
      <c r="K173" s="20"/>
      <c r="L173" s="20" t="e">
        <f>_xlfn.XLOOKUP(Christus_Emp_Table[[#This Row],[Analyst Name:]],[1]!Table1[Analyst Name],[1]!Table1[Lead])</f>
        <v>#REF!</v>
      </c>
      <c r="M173" s="20" t="e">
        <f>_xlfn.XLOOKUP(Christus_Emp_Table[[#This Row],[Analyst Name:]],[1]!Table1[Analyst Name],[1]!Table1[Active/Inactive])</f>
        <v>#REF!</v>
      </c>
    </row>
    <row r="174" spans="1:13" x14ac:dyDescent="0.35">
      <c r="A174" s="19" t="s">
        <v>27</v>
      </c>
      <c r="B174" s="20" t="e">
        <f>_xlfn.XLOOKUP(Christus_Emp_Table[[#This Row],[Analyst Name:]],[1]!Table1[Analyst Name],[1]!Table1[Deloitte Email ID])</f>
        <v>#REF!</v>
      </c>
      <c r="C174" s="20" t="e">
        <f>_xlfn.XLOOKUP(Christus_Emp_Table[[#This Row],[Analyst Name:]],[1]!Table1[Analyst Name],[1]!Table1[Module])</f>
        <v>#REF!</v>
      </c>
      <c r="D174" s="20" t="e">
        <f>_xlfn.XLOOKUP(Christus_Emp_Table[[#This Row],[Analyst Name:]],[1]!Table1[Analyst Name],[1]!Table1[Location])</f>
        <v>#REF!</v>
      </c>
      <c r="E174" s="22" t="s">
        <v>19</v>
      </c>
      <c r="F174" s="21">
        <v>45841</v>
      </c>
      <c r="G174" s="21">
        <v>45841</v>
      </c>
      <c r="H174" s="20" t="s">
        <v>20</v>
      </c>
      <c r="I174" s="20" t="s">
        <v>16</v>
      </c>
      <c r="J174" s="20">
        <f>NETWORKDAYS(Christus_Emp_Table[[#This Row],[From Date:]],Christus_Emp_Table[[#This Row],[To Date:]])</f>
        <v>1</v>
      </c>
      <c r="K174" s="20"/>
      <c r="L174" s="20" t="e">
        <f>_xlfn.XLOOKUP(Christus_Emp_Table[[#This Row],[Analyst Name:]],[1]!Table1[Analyst Name],[1]!Table1[Lead])</f>
        <v>#REF!</v>
      </c>
      <c r="M174" s="20" t="e">
        <f>_xlfn.XLOOKUP(Christus_Emp_Table[[#This Row],[Analyst Name:]],[1]!Table1[Analyst Name],[1]!Table1[Active/Inactive])</f>
        <v>#REF!</v>
      </c>
    </row>
    <row r="175" spans="1:13" x14ac:dyDescent="0.35">
      <c r="A175" s="19" t="s">
        <v>27</v>
      </c>
      <c r="B175" s="20" t="e">
        <f>_xlfn.XLOOKUP(Christus_Emp_Table[[#This Row],[Analyst Name:]],[1]!Table1[Analyst Name],[1]!Table1[Deloitte Email ID])</f>
        <v>#REF!</v>
      </c>
      <c r="C175" s="20" t="e">
        <f>_xlfn.XLOOKUP(Christus_Emp_Table[[#This Row],[Analyst Name:]],[1]!Table1[Analyst Name],[1]!Table1[Module])</f>
        <v>#REF!</v>
      </c>
      <c r="D175" s="20" t="e">
        <f>_xlfn.XLOOKUP(Christus_Emp_Table[[#This Row],[Analyst Name:]],[1]!Table1[Analyst Name],[1]!Table1[Location])</f>
        <v>#REF!</v>
      </c>
      <c r="E175" s="20" t="s">
        <v>23</v>
      </c>
      <c r="F175" s="21">
        <v>45866</v>
      </c>
      <c r="G175" s="21">
        <v>45866</v>
      </c>
      <c r="H175" s="20" t="s">
        <v>23</v>
      </c>
      <c r="I175" s="20" t="s">
        <v>16</v>
      </c>
      <c r="J175" s="20">
        <f>NETWORKDAYS(Christus_Emp_Table[[#This Row],[From Date:]],Christus_Emp_Table[[#This Row],[To Date:]])</f>
        <v>1</v>
      </c>
      <c r="K175" s="20"/>
      <c r="L175" s="20" t="e">
        <f>_xlfn.XLOOKUP(Christus_Emp_Table[[#This Row],[Analyst Name:]],[1]!Table1[Analyst Name],[1]!Table1[Lead])</f>
        <v>#REF!</v>
      </c>
      <c r="M175" s="20" t="e">
        <f>_xlfn.XLOOKUP(Christus_Emp_Table[[#This Row],[Analyst Name:]],[1]!Table1[Analyst Name],[1]!Table1[Active/Inactive])</f>
        <v>#REF!</v>
      </c>
    </row>
    <row r="176" spans="1:13" x14ac:dyDescent="0.35">
      <c r="A176" s="19" t="s">
        <v>29</v>
      </c>
      <c r="B176" s="20" t="e">
        <f>_xlfn.XLOOKUP(Christus_Emp_Table[[#This Row],[Analyst Name:]],[1]!Table1[Analyst Name],[1]!Table1[Deloitte Email ID])</f>
        <v>#REF!</v>
      </c>
      <c r="C176" s="20" t="e">
        <f>_xlfn.XLOOKUP(Christus_Emp_Table[[#This Row],[Analyst Name:]],[1]!Table1[Analyst Name],[1]!Table1[Module])</f>
        <v>#REF!</v>
      </c>
      <c r="D176" s="20" t="e">
        <f>_xlfn.XLOOKUP(Christus_Emp_Table[[#This Row],[Analyst Name:]],[1]!Table1[Analyst Name],[1]!Table1[Location])</f>
        <v>#REF!</v>
      </c>
      <c r="E176" s="20" t="s">
        <v>23</v>
      </c>
      <c r="F176" s="21">
        <v>45862</v>
      </c>
      <c r="G176" s="21">
        <v>45862</v>
      </c>
      <c r="H176" s="20" t="s">
        <v>23</v>
      </c>
      <c r="I176" s="20" t="s">
        <v>16</v>
      </c>
      <c r="J176" s="20">
        <f>NETWORKDAYS(Christus_Emp_Table[[#This Row],[From Date:]],Christus_Emp_Table[[#This Row],[To Date:]])</f>
        <v>1</v>
      </c>
      <c r="K176" s="20"/>
      <c r="L176" s="20" t="e">
        <f>_xlfn.XLOOKUP(Christus_Emp_Table[[#This Row],[Analyst Name:]],[1]!Table1[Analyst Name],[1]!Table1[Lead])</f>
        <v>#REF!</v>
      </c>
      <c r="M176" s="20" t="e">
        <f>_xlfn.XLOOKUP(Christus_Emp_Table[[#This Row],[Analyst Name:]],[1]!Table1[Analyst Name],[1]!Table1[Active/Inactive])</f>
        <v>#REF!</v>
      </c>
    </row>
    <row r="177" spans="1:13" x14ac:dyDescent="0.35">
      <c r="A177" s="19" t="s">
        <v>30</v>
      </c>
      <c r="B177" s="20" t="e">
        <f>_xlfn.XLOOKUP(Christus_Emp_Table[[#This Row],[Analyst Name:]],[1]!Table1[Analyst Name],[1]!Table1[Deloitte Email ID])</f>
        <v>#REF!</v>
      </c>
      <c r="C177" s="20" t="e">
        <f>_xlfn.XLOOKUP(Christus_Emp_Table[[#This Row],[Analyst Name:]],[1]!Table1[Analyst Name],[1]!Table1[Module])</f>
        <v>#REF!</v>
      </c>
      <c r="D177" s="20" t="e">
        <f>_xlfn.XLOOKUP(Christus_Emp_Table[[#This Row],[Analyst Name:]],[1]!Table1[Analyst Name],[1]!Table1[Location])</f>
        <v>#REF!</v>
      </c>
      <c r="E177" s="22" t="s">
        <v>19</v>
      </c>
      <c r="F177" s="21">
        <v>45847</v>
      </c>
      <c r="G177" s="21">
        <v>45847</v>
      </c>
      <c r="H177" s="20" t="s">
        <v>20</v>
      </c>
      <c r="I177" s="20" t="s">
        <v>16</v>
      </c>
      <c r="J177" s="20">
        <f>NETWORKDAYS(Christus_Emp_Table[[#This Row],[From Date:]],Christus_Emp_Table[[#This Row],[To Date:]])</f>
        <v>1</v>
      </c>
      <c r="K177" s="20"/>
      <c r="L177" s="20" t="e">
        <f>_xlfn.XLOOKUP(Christus_Emp_Table[[#This Row],[Analyst Name:]],[1]!Table1[Analyst Name],[1]!Table1[Lead])</f>
        <v>#REF!</v>
      </c>
      <c r="M177" s="20" t="e">
        <f>_xlfn.XLOOKUP(Christus_Emp_Table[[#This Row],[Analyst Name:]],[1]!Table1[Analyst Name],[1]!Table1[Active/Inactive])</f>
        <v>#REF!</v>
      </c>
    </row>
    <row r="178" spans="1:13" x14ac:dyDescent="0.35">
      <c r="A178" s="19" t="s">
        <v>30</v>
      </c>
      <c r="B178" s="20" t="e">
        <f>_xlfn.XLOOKUP(Christus_Emp_Table[[#This Row],[Analyst Name:]],[1]!Table1[Analyst Name],[1]!Table1[Deloitte Email ID])</f>
        <v>#REF!</v>
      </c>
      <c r="C178" s="20" t="e">
        <f>_xlfn.XLOOKUP(Christus_Emp_Table[[#This Row],[Analyst Name:]],[1]!Table1[Analyst Name],[1]!Table1[Module])</f>
        <v>#REF!</v>
      </c>
      <c r="D178" s="20" t="e">
        <f>_xlfn.XLOOKUP(Christus_Emp_Table[[#This Row],[Analyst Name:]],[1]!Table1[Analyst Name],[1]!Table1[Location])</f>
        <v>#REF!</v>
      </c>
      <c r="E178" s="20" t="s">
        <v>23</v>
      </c>
      <c r="F178" s="21">
        <v>45862</v>
      </c>
      <c r="G178" s="21">
        <v>45862</v>
      </c>
      <c r="H178" s="20" t="s">
        <v>23</v>
      </c>
      <c r="I178" s="20" t="s">
        <v>16</v>
      </c>
      <c r="J178" s="20">
        <f>NETWORKDAYS(Christus_Emp_Table[[#This Row],[From Date:]],Christus_Emp_Table[[#This Row],[To Date:]])</f>
        <v>1</v>
      </c>
      <c r="K178" s="20"/>
      <c r="L178" s="20" t="e">
        <f>_xlfn.XLOOKUP(Christus_Emp_Table[[#This Row],[Analyst Name:]],[1]!Table1[Analyst Name],[1]!Table1[Lead])</f>
        <v>#REF!</v>
      </c>
      <c r="M178" s="20" t="e">
        <f>_xlfn.XLOOKUP(Christus_Emp_Table[[#This Row],[Analyst Name:]],[1]!Table1[Analyst Name],[1]!Table1[Active/Inactive])</f>
        <v>#REF!</v>
      </c>
    </row>
    <row r="179" spans="1:13" x14ac:dyDescent="0.35">
      <c r="A179" s="19" t="s">
        <v>33</v>
      </c>
      <c r="B179" s="20" t="e">
        <f>_xlfn.XLOOKUP(Christus_Emp_Table[[#This Row],[Analyst Name:]],[1]!Table1[Analyst Name],[1]!Table1[Deloitte Email ID])</f>
        <v>#REF!</v>
      </c>
      <c r="C179" s="20" t="e">
        <f>_xlfn.XLOOKUP(Christus_Emp_Table[[#This Row],[Analyst Name:]],[1]!Table1[Analyst Name],[1]!Table1[Module])</f>
        <v>#REF!</v>
      </c>
      <c r="D179" s="20" t="e">
        <f>_xlfn.XLOOKUP(Christus_Emp_Table[[#This Row],[Analyst Name:]],[1]!Table1[Analyst Name],[1]!Table1[Location])</f>
        <v>#REF!</v>
      </c>
      <c r="E179" s="22" t="s">
        <v>19</v>
      </c>
      <c r="F179" s="21">
        <v>45862</v>
      </c>
      <c r="G179" s="21">
        <v>45863</v>
      </c>
      <c r="H179" s="20" t="s">
        <v>20</v>
      </c>
      <c r="I179" s="20" t="s">
        <v>16</v>
      </c>
      <c r="J179" s="20">
        <f>NETWORKDAYS(Christus_Emp_Table[[#This Row],[From Date:]],Christus_Emp_Table[[#This Row],[To Date:]])</f>
        <v>2</v>
      </c>
      <c r="K179" s="20"/>
      <c r="L179" s="20" t="e">
        <f>_xlfn.XLOOKUP(Christus_Emp_Table[[#This Row],[Analyst Name:]],[1]!Table1[Analyst Name],[1]!Table1[Lead])</f>
        <v>#REF!</v>
      </c>
      <c r="M179" s="20" t="e">
        <f>_xlfn.XLOOKUP(Christus_Emp_Table[[#This Row],[Analyst Name:]],[1]!Table1[Analyst Name],[1]!Table1[Active/Inactive])</f>
        <v>#REF!</v>
      </c>
    </row>
    <row r="180" spans="1:13" x14ac:dyDescent="0.35">
      <c r="A180" s="19" t="s">
        <v>34</v>
      </c>
      <c r="B180" s="20" t="e">
        <f>_xlfn.XLOOKUP(Christus_Emp_Table[[#This Row],[Analyst Name:]],[1]!Table1[Analyst Name],[1]!Table1[Deloitte Email ID])</f>
        <v>#REF!</v>
      </c>
      <c r="C180" s="20" t="e">
        <f>_xlfn.XLOOKUP(Christus_Emp_Table[[#This Row],[Analyst Name:]],[1]!Table1[Analyst Name],[1]!Table1[Module])</f>
        <v>#REF!</v>
      </c>
      <c r="D180" s="20" t="e">
        <f>_xlfn.XLOOKUP(Christus_Emp_Table[[#This Row],[Analyst Name:]],[1]!Table1[Analyst Name],[1]!Table1[Location])</f>
        <v>#REF!</v>
      </c>
      <c r="E180" s="22" t="s">
        <v>19</v>
      </c>
      <c r="F180" s="21">
        <v>45842</v>
      </c>
      <c r="G180" s="21">
        <v>45842</v>
      </c>
      <c r="H180" s="20" t="s">
        <v>20</v>
      </c>
      <c r="I180" s="20" t="s">
        <v>16</v>
      </c>
      <c r="J180" s="20">
        <f>NETWORKDAYS(Christus_Emp_Table[[#This Row],[From Date:]],Christus_Emp_Table[[#This Row],[To Date:]])</f>
        <v>1</v>
      </c>
      <c r="K180" s="20"/>
      <c r="L180" s="20" t="e">
        <f>_xlfn.XLOOKUP(Christus_Emp_Table[[#This Row],[Analyst Name:]],[1]!Table1[Analyst Name],[1]!Table1[Lead])</f>
        <v>#REF!</v>
      </c>
      <c r="M180" s="20" t="e">
        <f>_xlfn.XLOOKUP(Christus_Emp_Table[[#This Row],[Analyst Name:]],[1]!Table1[Analyst Name],[1]!Table1[Active/Inactive])</f>
        <v>#REF!</v>
      </c>
    </row>
    <row r="181" spans="1:13" x14ac:dyDescent="0.35">
      <c r="A181" s="19" t="s">
        <v>35</v>
      </c>
      <c r="B181" s="20" t="e">
        <f>_xlfn.XLOOKUP(Christus_Emp_Table[[#This Row],[Analyst Name:]],[1]!Table1[Analyst Name],[1]!Table1[Deloitte Email ID])</f>
        <v>#REF!</v>
      </c>
      <c r="C181" s="20" t="e">
        <f>_xlfn.XLOOKUP(Christus_Emp_Table[[#This Row],[Analyst Name:]],[1]!Table1[Analyst Name],[1]!Table1[Module])</f>
        <v>#REF!</v>
      </c>
      <c r="D181" s="20" t="e">
        <f>_xlfn.XLOOKUP(Christus_Emp_Table[[#This Row],[Analyst Name:]],[1]!Table1[Analyst Name],[1]!Table1[Location])</f>
        <v>#REF!</v>
      </c>
      <c r="E181" s="20" t="s">
        <v>15</v>
      </c>
      <c r="F181" s="21">
        <v>45855</v>
      </c>
      <c r="G181" s="21">
        <v>45856</v>
      </c>
      <c r="H181" s="20" t="s">
        <v>15</v>
      </c>
      <c r="I181" s="20" t="s">
        <v>16</v>
      </c>
      <c r="J181" s="20">
        <f>NETWORKDAYS(Christus_Emp_Table[[#This Row],[From Date:]],Christus_Emp_Table[[#This Row],[To Date:]])</f>
        <v>2</v>
      </c>
      <c r="K181" s="20"/>
      <c r="L181" s="20" t="e">
        <f>_xlfn.XLOOKUP(Christus_Emp_Table[[#This Row],[Analyst Name:]],[1]!Table1[Analyst Name],[1]!Table1[Lead])</f>
        <v>#REF!</v>
      </c>
      <c r="M181" s="20" t="e">
        <f>_xlfn.XLOOKUP(Christus_Emp_Table[[#This Row],[Analyst Name:]],[1]!Table1[Analyst Name],[1]!Table1[Active/Inactive])</f>
        <v>#REF!</v>
      </c>
    </row>
    <row r="182" spans="1:13" x14ac:dyDescent="0.35">
      <c r="A182" s="19" t="s">
        <v>36</v>
      </c>
      <c r="B182" s="20" t="e">
        <f>_xlfn.XLOOKUP(Christus_Emp_Table[[#This Row],[Analyst Name:]],[1]!Table1[Analyst Name],[1]!Table1[Deloitte Email ID])</f>
        <v>#REF!</v>
      </c>
      <c r="C182" s="20" t="e">
        <f>_xlfn.XLOOKUP(Christus_Emp_Table[[#This Row],[Analyst Name:]],[1]!Table1[Analyst Name],[1]!Table1[Module])</f>
        <v>#REF!</v>
      </c>
      <c r="D182" s="20" t="e">
        <f>_xlfn.XLOOKUP(Christus_Emp_Table[[#This Row],[Analyst Name:]],[1]!Table1[Analyst Name],[1]!Table1[Location])</f>
        <v>#REF!</v>
      </c>
      <c r="E182" s="22" t="s">
        <v>19</v>
      </c>
      <c r="F182" s="21">
        <v>45859</v>
      </c>
      <c r="G182" s="21">
        <v>45859</v>
      </c>
      <c r="H182" s="20" t="s">
        <v>20</v>
      </c>
      <c r="I182" s="20" t="s">
        <v>16</v>
      </c>
      <c r="J182" s="20">
        <f>NETWORKDAYS(Christus_Emp_Table[[#This Row],[From Date:]],Christus_Emp_Table[[#This Row],[To Date:]])</f>
        <v>1</v>
      </c>
      <c r="K182" s="20"/>
      <c r="L182" s="20" t="e">
        <f>_xlfn.XLOOKUP(Christus_Emp_Table[[#This Row],[Analyst Name:]],[1]!Table1[Analyst Name],[1]!Table1[Lead])</f>
        <v>#REF!</v>
      </c>
      <c r="M182" s="20" t="e">
        <f>_xlfn.XLOOKUP(Christus_Emp_Table[[#This Row],[Analyst Name:]],[1]!Table1[Analyst Name],[1]!Table1[Active/Inactive])</f>
        <v>#REF!</v>
      </c>
    </row>
    <row r="183" spans="1:13" x14ac:dyDescent="0.35">
      <c r="A183" s="19" t="s">
        <v>36</v>
      </c>
      <c r="B183" s="20" t="e">
        <f>_xlfn.XLOOKUP(Christus_Emp_Table[[#This Row],[Analyst Name:]],[1]!Table1[Analyst Name],[1]!Table1[Deloitte Email ID])</f>
        <v>#REF!</v>
      </c>
      <c r="C183" s="20" t="e">
        <f>_xlfn.XLOOKUP(Christus_Emp_Table[[#This Row],[Analyst Name:]],[1]!Table1[Analyst Name],[1]!Table1[Module])</f>
        <v>#REF!</v>
      </c>
      <c r="D183" s="20" t="e">
        <f>_xlfn.XLOOKUP(Christus_Emp_Table[[#This Row],[Analyst Name:]],[1]!Table1[Analyst Name],[1]!Table1[Location])</f>
        <v>#REF!</v>
      </c>
      <c r="E183" s="20" t="s">
        <v>15</v>
      </c>
      <c r="F183" s="21">
        <v>45867</v>
      </c>
      <c r="G183" s="21">
        <v>45868</v>
      </c>
      <c r="H183" s="20" t="s">
        <v>15</v>
      </c>
      <c r="I183" s="20" t="s">
        <v>16</v>
      </c>
      <c r="J183" s="20">
        <f>NETWORKDAYS(Christus_Emp_Table[[#This Row],[From Date:]],Christus_Emp_Table[[#This Row],[To Date:]])</f>
        <v>2</v>
      </c>
      <c r="K183" s="20"/>
      <c r="L183" s="20" t="e">
        <f>_xlfn.XLOOKUP(Christus_Emp_Table[[#This Row],[Analyst Name:]],[1]!Table1[Analyst Name],[1]!Table1[Lead])</f>
        <v>#REF!</v>
      </c>
      <c r="M183" s="20" t="e">
        <f>_xlfn.XLOOKUP(Christus_Emp_Table[[#This Row],[Analyst Name:]],[1]!Table1[Analyst Name],[1]!Table1[Active/Inactive])</f>
        <v>#REF!</v>
      </c>
    </row>
    <row r="184" spans="1:13" x14ac:dyDescent="0.35">
      <c r="A184" s="19" t="s">
        <v>37</v>
      </c>
      <c r="B184" s="20" t="e">
        <f>_xlfn.XLOOKUP(Christus_Emp_Table[[#This Row],[Analyst Name:]],[1]!Table1[Analyst Name],[1]!Table1[Deloitte Email ID])</f>
        <v>#REF!</v>
      </c>
      <c r="C184" s="20" t="e">
        <f>_xlfn.XLOOKUP(Christus_Emp_Table[[#This Row],[Analyst Name:]],[1]!Table1[Analyst Name],[1]!Table1[Module])</f>
        <v>#REF!</v>
      </c>
      <c r="D184" s="20" t="e">
        <f>_xlfn.XLOOKUP(Christus_Emp_Table[[#This Row],[Analyst Name:]],[1]!Table1[Analyst Name],[1]!Table1[Location])</f>
        <v>#REF!</v>
      </c>
      <c r="E184" s="20" t="s">
        <v>23</v>
      </c>
      <c r="F184" s="21">
        <v>45847</v>
      </c>
      <c r="G184" s="21">
        <v>45847</v>
      </c>
      <c r="H184" s="20" t="s">
        <v>23</v>
      </c>
      <c r="I184" s="20" t="s">
        <v>16</v>
      </c>
      <c r="J184" s="20">
        <f>NETWORKDAYS(Christus_Emp_Table[[#This Row],[From Date:]],Christus_Emp_Table[[#This Row],[To Date:]])</f>
        <v>1</v>
      </c>
      <c r="K184" s="20"/>
      <c r="L184" s="20" t="e">
        <f>_xlfn.XLOOKUP(Christus_Emp_Table[[#This Row],[Analyst Name:]],[1]!Table1[Analyst Name],[1]!Table1[Lead])</f>
        <v>#REF!</v>
      </c>
      <c r="M184" s="20" t="e">
        <f>_xlfn.XLOOKUP(Christus_Emp_Table[[#This Row],[Analyst Name:]],[1]!Table1[Analyst Name],[1]!Table1[Active/Inactive])</f>
        <v>#REF!</v>
      </c>
    </row>
    <row r="185" spans="1:13" x14ac:dyDescent="0.35">
      <c r="A185" s="19" t="s">
        <v>14</v>
      </c>
      <c r="B185" s="20" t="e">
        <f>_xlfn.XLOOKUP(Christus_Emp_Table[[#This Row],[Analyst Name:]],[1]!Table1[Analyst Name],[1]!Table1[Deloitte Email ID])</f>
        <v>#REF!</v>
      </c>
      <c r="C185" s="20" t="e">
        <f>_xlfn.XLOOKUP(Christus_Emp_Table[[#This Row],[Analyst Name:]],[1]!Table1[Analyst Name],[1]!Table1[Module])</f>
        <v>#REF!</v>
      </c>
      <c r="D185" s="20" t="e">
        <f>_xlfn.XLOOKUP(Christus_Emp_Table[[#This Row],[Analyst Name:]],[1]!Table1[Analyst Name],[1]!Table1[Location])</f>
        <v>#REF!</v>
      </c>
      <c r="E185" s="20" t="s">
        <v>15</v>
      </c>
      <c r="F185" s="21">
        <v>45845</v>
      </c>
      <c r="G185" s="21">
        <v>45847</v>
      </c>
      <c r="H185" s="20" t="s">
        <v>15</v>
      </c>
      <c r="I185" s="20" t="s">
        <v>16</v>
      </c>
      <c r="J185" s="20">
        <f>NETWORKDAYS(Christus_Emp_Table[[#This Row],[From Date:]],Christus_Emp_Table[[#This Row],[To Date:]])</f>
        <v>3</v>
      </c>
      <c r="K185" s="20"/>
      <c r="L185" s="20" t="e">
        <f>_xlfn.XLOOKUP(Christus_Emp_Table[[#This Row],[Analyst Name:]],[1]!Table1[Analyst Name],[1]!Table1[Lead])</f>
        <v>#REF!</v>
      </c>
      <c r="M185" s="20" t="e">
        <f>_xlfn.XLOOKUP(Christus_Emp_Table[[#This Row],[Analyst Name:]],[1]!Table1[Analyst Name],[1]!Table1[Active/Inactive])</f>
        <v>#REF!</v>
      </c>
    </row>
    <row r="186" spans="1:13" x14ac:dyDescent="0.35">
      <c r="A186" s="19" t="s">
        <v>43</v>
      </c>
      <c r="B186" s="20" t="e">
        <f>_xlfn.XLOOKUP(Christus_Emp_Table[[#This Row],[Analyst Name:]],[1]!Table1[Analyst Name],[1]!Table1[Deloitte Email ID])</f>
        <v>#REF!</v>
      </c>
      <c r="C186" s="20" t="e">
        <f>_xlfn.XLOOKUP(Christus_Emp_Table[[#This Row],[Analyst Name:]],[1]!Table1[Analyst Name],[1]!Table1[Module])</f>
        <v>#REF!</v>
      </c>
      <c r="D186" s="20" t="e">
        <f>_xlfn.XLOOKUP(Christus_Emp_Table[[#This Row],[Analyst Name:]],[1]!Table1[Analyst Name],[1]!Table1[Location])</f>
        <v>#REF!</v>
      </c>
      <c r="E186" s="20" t="s">
        <v>15</v>
      </c>
      <c r="F186" s="21">
        <v>45882</v>
      </c>
      <c r="G186" s="21">
        <v>45883</v>
      </c>
      <c r="H186" s="20" t="s">
        <v>15</v>
      </c>
      <c r="I186" s="20" t="s">
        <v>16</v>
      </c>
      <c r="J186" s="20">
        <f>NETWORKDAYS(Christus_Emp_Table[[#This Row],[From Date:]],Christus_Emp_Table[[#This Row],[To Date:]])</f>
        <v>2</v>
      </c>
      <c r="K186" s="20"/>
      <c r="L186" s="20" t="e">
        <f>_xlfn.XLOOKUP(Christus_Emp_Table[[#This Row],[Analyst Name:]],[1]!Table1[Analyst Name],[1]!Table1[Lead])</f>
        <v>#REF!</v>
      </c>
      <c r="M186" s="20" t="e">
        <f>_xlfn.XLOOKUP(Christus_Emp_Table[[#This Row],[Analyst Name:]],[1]!Table1[Analyst Name],[1]!Table1[Active/Inactive])</f>
        <v>#REF!</v>
      </c>
    </row>
    <row r="187" spans="1:13" x14ac:dyDescent="0.35">
      <c r="A187" s="19" t="s">
        <v>44</v>
      </c>
      <c r="B187" s="20" t="e">
        <f>_xlfn.XLOOKUP(Christus_Emp_Table[[#This Row],[Analyst Name:]],[1]!Table1[Analyst Name],[1]!Table1[Deloitte Email ID])</f>
        <v>#REF!</v>
      </c>
      <c r="C187" s="20" t="e">
        <f>_xlfn.XLOOKUP(Christus_Emp_Table[[#This Row],[Analyst Name:]],[1]!Table1[Analyst Name],[1]!Table1[Module])</f>
        <v>#REF!</v>
      </c>
      <c r="D187" s="20" t="e">
        <f>_xlfn.XLOOKUP(Christus_Emp_Table[[#This Row],[Analyst Name:]],[1]!Table1[Analyst Name],[1]!Table1[Location])</f>
        <v>#REF!</v>
      </c>
      <c r="E187" s="20" t="s">
        <v>15</v>
      </c>
      <c r="F187" s="21">
        <v>45897</v>
      </c>
      <c r="G187" s="21">
        <v>45898</v>
      </c>
      <c r="H187" s="20" t="s">
        <v>15</v>
      </c>
      <c r="I187" s="20" t="s">
        <v>16</v>
      </c>
      <c r="J187" s="20">
        <f>NETWORKDAYS(Christus_Emp_Table[[#This Row],[From Date:]],Christus_Emp_Table[[#This Row],[To Date:]])</f>
        <v>2</v>
      </c>
      <c r="K187" s="20"/>
      <c r="L187" s="20" t="e">
        <f>_xlfn.XLOOKUP(Christus_Emp_Table[[#This Row],[Analyst Name:]],[1]!Table1[Analyst Name],[1]!Table1[Lead])</f>
        <v>#REF!</v>
      </c>
      <c r="M187" s="20" t="e">
        <f>_xlfn.XLOOKUP(Christus_Emp_Table[[#This Row],[Analyst Name:]],[1]!Table1[Analyst Name],[1]!Table1[Active/Inactive])</f>
        <v>#REF!</v>
      </c>
    </row>
    <row r="188" spans="1:13" x14ac:dyDescent="0.35">
      <c r="A188" s="19" t="s">
        <v>45</v>
      </c>
      <c r="B188" s="20" t="e">
        <f>_xlfn.XLOOKUP(Christus_Emp_Table[[#This Row],[Analyst Name:]],[1]!Table1[Analyst Name],[1]!Table1[Deloitte Email ID])</f>
        <v>#REF!</v>
      </c>
      <c r="C188" s="20" t="e">
        <f>_xlfn.XLOOKUP(Christus_Emp_Table[[#This Row],[Analyst Name:]],[1]!Table1[Analyst Name],[1]!Table1[Module])</f>
        <v>#REF!</v>
      </c>
      <c r="D188" s="20" t="e">
        <f>_xlfn.XLOOKUP(Christus_Emp_Table[[#This Row],[Analyst Name:]],[1]!Table1[Analyst Name],[1]!Table1[Location])</f>
        <v>#REF!</v>
      </c>
      <c r="E188" s="20" t="s">
        <v>15</v>
      </c>
      <c r="F188" s="21">
        <v>45887</v>
      </c>
      <c r="G188" s="21">
        <v>45888</v>
      </c>
      <c r="H188" s="20" t="s">
        <v>15</v>
      </c>
      <c r="I188" s="20" t="s">
        <v>16</v>
      </c>
      <c r="J188" s="20">
        <f>NETWORKDAYS(Christus_Emp_Table[[#This Row],[From Date:]],Christus_Emp_Table[[#This Row],[To Date:]])</f>
        <v>2</v>
      </c>
      <c r="K188" s="20"/>
      <c r="L188" s="20" t="e">
        <f>_xlfn.XLOOKUP(Christus_Emp_Table[[#This Row],[Analyst Name:]],[1]!Table1[Analyst Name],[1]!Table1[Lead])</f>
        <v>#REF!</v>
      </c>
      <c r="M188" s="20" t="e">
        <f>_xlfn.XLOOKUP(Christus_Emp_Table[[#This Row],[Analyst Name:]],[1]!Table1[Analyst Name],[1]!Table1[Active/Inactive])</f>
        <v>#REF!</v>
      </c>
    </row>
    <row r="189" spans="1:13" x14ac:dyDescent="0.35">
      <c r="A189" s="19" t="s">
        <v>41</v>
      </c>
      <c r="B189" s="20" t="e">
        <f>_xlfn.XLOOKUP(Christus_Emp_Table[[#This Row],[Analyst Name:]],[1]!Table1[Analyst Name],[1]!Table1[Deloitte Email ID])</f>
        <v>#REF!</v>
      </c>
      <c r="C189" s="20" t="e">
        <f>_xlfn.XLOOKUP(Christus_Emp_Table[[#This Row],[Analyst Name:]],[1]!Table1[Analyst Name],[1]!Table1[Module])</f>
        <v>#REF!</v>
      </c>
      <c r="D189" s="20" t="e">
        <f>_xlfn.XLOOKUP(Christus_Emp_Table[[#This Row],[Analyst Name:]],[1]!Table1[Analyst Name],[1]!Table1[Location])</f>
        <v>#REF!</v>
      </c>
      <c r="E189" s="22" t="s">
        <v>19</v>
      </c>
      <c r="F189" s="21">
        <v>45870</v>
      </c>
      <c r="G189" s="21">
        <v>45870</v>
      </c>
      <c r="H189" s="20" t="s">
        <v>20</v>
      </c>
      <c r="I189" s="20" t="s">
        <v>16</v>
      </c>
      <c r="J189" s="20">
        <f>NETWORKDAYS(Christus_Emp_Table[[#This Row],[From Date:]],Christus_Emp_Table[[#This Row],[To Date:]])</f>
        <v>1</v>
      </c>
      <c r="K189" s="20"/>
      <c r="L189" s="20" t="e">
        <f>_xlfn.XLOOKUP(Christus_Emp_Table[[#This Row],[Analyst Name:]],[1]!Table1[Analyst Name],[1]!Table1[Lead])</f>
        <v>#REF!</v>
      </c>
      <c r="M189" s="20" t="e">
        <f>_xlfn.XLOOKUP(Christus_Emp_Table[[#This Row],[Analyst Name:]],[1]!Table1[Analyst Name],[1]!Table1[Active/Inactive])</f>
        <v>#REF!</v>
      </c>
    </row>
    <row r="190" spans="1:13" x14ac:dyDescent="0.35">
      <c r="A190" s="19" t="s">
        <v>41</v>
      </c>
      <c r="B190" s="20" t="e">
        <f>_xlfn.XLOOKUP(Christus_Emp_Table[[#This Row],[Analyst Name:]],[1]!Table1[Analyst Name],[1]!Table1[Deloitte Email ID])</f>
        <v>#REF!</v>
      </c>
      <c r="C190" s="20" t="e">
        <f>_xlfn.XLOOKUP(Christus_Emp_Table[[#This Row],[Analyst Name:]],[1]!Table1[Analyst Name],[1]!Table1[Module])</f>
        <v>#REF!</v>
      </c>
      <c r="D190" s="20" t="e">
        <f>_xlfn.XLOOKUP(Christus_Emp_Table[[#This Row],[Analyst Name:]],[1]!Table1[Analyst Name],[1]!Table1[Location])</f>
        <v>#REF!</v>
      </c>
      <c r="E190" s="20" t="s">
        <v>15</v>
      </c>
      <c r="F190" s="21">
        <v>45887</v>
      </c>
      <c r="G190" s="21">
        <v>45889</v>
      </c>
      <c r="H190" s="20" t="s">
        <v>15</v>
      </c>
      <c r="I190" s="20" t="s">
        <v>16</v>
      </c>
      <c r="J190" s="20">
        <f>NETWORKDAYS(Christus_Emp_Table[[#This Row],[From Date:]],Christus_Emp_Table[[#This Row],[To Date:]])</f>
        <v>3</v>
      </c>
      <c r="K190" s="20"/>
      <c r="L190" s="20" t="e">
        <f>_xlfn.XLOOKUP(Christus_Emp_Table[[#This Row],[Analyst Name:]],[1]!Table1[Analyst Name],[1]!Table1[Lead])</f>
        <v>#REF!</v>
      </c>
      <c r="M190" s="20" t="e">
        <f>_xlfn.XLOOKUP(Christus_Emp_Table[[#This Row],[Analyst Name:]],[1]!Table1[Analyst Name],[1]!Table1[Active/Inactive])</f>
        <v>#REF!</v>
      </c>
    </row>
    <row r="191" spans="1:13" x14ac:dyDescent="0.35">
      <c r="A191" s="19" t="s">
        <v>17</v>
      </c>
      <c r="B191" s="20" t="e">
        <f>_xlfn.XLOOKUP(Christus_Emp_Table[[#This Row],[Analyst Name:]],[1]!Table1[Analyst Name],[1]!Table1[Deloitte Email ID])</f>
        <v>#REF!</v>
      </c>
      <c r="C191" s="20" t="e">
        <f>_xlfn.XLOOKUP(Christus_Emp_Table[[#This Row],[Analyst Name:]],[1]!Table1[Analyst Name],[1]!Table1[Module])</f>
        <v>#REF!</v>
      </c>
      <c r="D191" s="20" t="e">
        <f>_xlfn.XLOOKUP(Christus_Emp_Table[[#This Row],[Analyst Name:]],[1]!Table1[Analyst Name],[1]!Table1[Location])</f>
        <v>#REF!</v>
      </c>
      <c r="E191" s="20" t="s">
        <v>15</v>
      </c>
      <c r="F191" s="21">
        <v>45880</v>
      </c>
      <c r="G191" s="21">
        <v>45880</v>
      </c>
      <c r="H191" s="20" t="s">
        <v>15</v>
      </c>
      <c r="I191" s="20" t="s">
        <v>16</v>
      </c>
      <c r="J191" s="20">
        <f>NETWORKDAYS(Christus_Emp_Table[[#This Row],[From Date:]],Christus_Emp_Table[[#This Row],[To Date:]])</f>
        <v>1</v>
      </c>
      <c r="K191" s="20"/>
      <c r="L191" s="20" t="e">
        <f>_xlfn.XLOOKUP(Christus_Emp_Table[[#This Row],[Analyst Name:]],[1]!Table1[Analyst Name],[1]!Table1[Lead])</f>
        <v>#REF!</v>
      </c>
      <c r="M191" s="20" t="e">
        <f>_xlfn.XLOOKUP(Christus_Emp_Table[[#This Row],[Analyst Name:]],[1]!Table1[Analyst Name],[1]!Table1[Active/Inactive])</f>
        <v>#REF!</v>
      </c>
    </row>
    <row r="192" spans="1:13" x14ac:dyDescent="0.35">
      <c r="A192" s="19" t="s">
        <v>18</v>
      </c>
      <c r="B192" s="20" t="e">
        <f>_xlfn.XLOOKUP(Christus_Emp_Table[[#This Row],[Analyst Name:]],[1]!Table1[Analyst Name],[1]!Table1[Deloitte Email ID])</f>
        <v>#REF!</v>
      </c>
      <c r="C192" s="20" t="e">
        <f>_xlfn.XLOOKUP(Christus_Emp_Table[[#This Row],[Analyst Name:]],[1]!Table1[Analyst Name],[1]!Table1[Module])</f>
        <v>#REF!</v>
      </c>
      <c r="D192" s="20" t="e">
        <f>_xlfn.XLOOKUP(Christus_Emp_Table[[#This Row],[Analyst Name:]],[1]!Table1[Analyst Name],[1]!Table1[Location])</f>
        <v>#REF!</v>
      </c>
      <c r="E192" s="22" t="s">
        <v>19</v>
      </c>
      <c r="F192" s="21">
        <v>45876</v>
      </c>
      <c r="G192" s="21">
        <v>45876</v>
      </c>
      <c r="H192" s="20" t="s">
        <v>20</v>
      </c>
      <c r="I192" s="20" t="s">
        <v>16</v>
      </c>
      <c r="J192" s="20">
        <f>NETWORKDAYS(Christus_Emp_Table[[#This Row],[From Date:]],Christus_Emp_Table[[#This Row],[To Date:]])</f>
        <v>1</v>
      </c>
      <c r="K192" s="20"/>
      <c r="L192" s="20" t="e">
        <f>_xlfn.XLOOKUP(Christus_Emp_Table[[#This Row],[Analyst Name:]],[1]!Table1[Analyst Name],[1]!Table1[Lead])</f>
        <v>#REF!</v>
      </c>
      <c r="M192" s="20" t="e">
        <f>_xlfn.XLOOKUP(Christus_Emp_Table[[#This Row],[Analyst Name:]],[1]!Table1[Analyst Name],[1]!Table1[Active/Inactive])</f>
        <v>#REF!</v>
      </c>
    </row>
    <row r="193" spans="1:13" x14ac:dyDescent="0.35">
      <c r="A193" s="19" t="s">
        <v>18</v>
      </c>
      <c r="B193" s="20" t="e">
        <f>_xlfn.XLOOKUP(Christus_Emp_Table[[#This Row],[Analyst Name:]],[1]!Table1[Analyst Name],[1]!Table1[Deloitte Email ID])</f>
        <v>#REF!</v>
      </c>
      <c r="C193" s="20" t="e">
        <f>_xlfn.XLOOKUP(Christus_Emp_Table[[#This Row],[Analyst Name:]],[1]!Table1[Analyst Name],[1]!Table1[Module])</f>
        <v>#REF!</v>
      </c>
      <c r="D193" s="20" t="e">
        <f>_xlfn.XLOOKUP(Christus_Emp_Table[[#This Row],[Analyst Name:]],[1]!Table1[Analyst Name],[1]!Table1[Location])</f>
        <v>#REF!</v>
      </c>
      <c r="E193" s="20" t="s">
        <v>23</v>
      </c>
      <c r="F193" s="21">
        <v>45881</v>
      </c>
      <c r="G193" s="21">
        <v>45881</v>
      </c>
      <c r="H193" s="20" t="s">
        <v>23</v>
      </c>
      <c r="I193" s="20" t="s">
        <v>16</v>
      </c>
      <c r="J193" s="20">
        <f>NETWORKDAYS(Christus_Emp_Table[[#This Row],[From Date:]],Christus_Emp_Table[[#This Row],[To Date:]])</f>
        <v>1</v>
      </c>
      <c r="K193" s="20"/>
      <c r="L193" s="20" t="e">
        <f>_xlfn.XLOOKUP(Christus_Emp_Table[[#This Row],[Analyst Name:]],[1]!Table1[Analyst Name],[1]!Table1[Lead])</f>
        <v>#REF!</v>
      </c>
      <c r="M193" s="20" t="e">
        <f>_xlfn.XLOOKUP(Christus_Emp_Table[[#This Row],[Analyst Name:]],[1]!Table1[Analyst Name],[1]!Table1[Active/Inactive])</f>
        <v>#REF!</v>
      </c>
    </row>
    <row r="194" spans="1:13" x14ac:dyDescent="0.35">
      <c r="A194" s="19" t="s">
        <v>18</v>
      </c>
      <c r="B194" s="20" t="e">
        <f>_xlfn.XLOOKUP(Christus_Emp_Table[[#This Row],[Analyst Name:]],[1]!Table1[Analyst Name],[1]!Table1[Deloitte Email ID])</f>
        <v>#REF!</v>
      </c>
      <c r="C194" s="20" t="e">
        <f>_xlfn.XLOOKUP(Christus_Emp_Table[[#This Row],[Analyst Name:]],[1]!Table1[Analyst Name],[1]!Table1[Module])</f>
        <v>#REF!</v>
      </c>
      <c r="D194" s="20" t="e">
        <f>_xlfn.XLOOKUP(Christus_Emp_Table[[#This Row],[Analyst Name:]],[1]!Table1[Analyst Name],[1]!Table1[Location])</f>
        <v>#REF!</v>
      </c>
      <c r="E194" s="20" t="s">
        <v>15</v>
      </c>
      <c r="F194" s="21">
        <v>45883</v>
      </c>
      <c r="G194" s="21">
        <v>45883</v>
      </c>
      <c r="H194" s="20" t="s">
        <v>15</v>
      </c>
      <c r="I194" s="20" t="s">
        <v>16</v>
      </c>
      <c r="J194" s="20">
        <f>NETWORKDAYS(Christus_Emp_Table[[#This Row],[From Date:]],Christus_Emp_Table[[#This Row],[To Date:]])</f>
        <v>1</v>
      </c>
      <c r="K194" s="20"/>
      <c r="L194" s="20" t="e">
        <f>_xlfn.XLOOKUP(Christus_Emp_Table[[#This Row],[Analyst Name:]],[1]!Table1[Analyst Name],[1]!Table1[Lead])</f>
        <v>#REF!</v>
      </c>
      <c r="M194" s="20" t="e">
        <f>_xlfn.XLOOKUP(Christus_Emp_Table[[#This Row],[Analyst Name:]],[1]!Table1[Analyst Name],[1]!Table1[Active/Inactive])</f>
        <v>#REF!</v>
      </c>
    </row>
    <row r="195" spans="1:13" x14ac:dyDescent="0.35">
      <c r="A195" s="19" t="s">
        <v>21</v>
      </c>
      <c r="B195" s="20" t="e">
        <f>_xlfn.XLOOKUP(Christus_Emp_Table[[#This Row],[Analyst Name:]],[1]!Table1[Analyst Name],[1]!Table1[Deloitte Email ID])</f>
        <v>#REF!</v>
      </c>
      <c r="C195" s="20" t="e">
        <f>_xlfn.XLOOKUP(Christus_Emp_Table[[#This Row],[Analyst Name:]],[1]!Table1[Analyst Name],[1]!Table1[Module])</f>
        <v>#REF!</v>
      </c>
      <c r="D195" s="20" t="e">
        <f>_xlfn.XLOOKUP(Christus_Emp_Table[[#This Row],[Analyst Name:]],[1]!Table1[Analyst Name],[1]!Table1[Location])</f>
        <v>#REF!</v>
      </c>
      <c r="E195" s="20" t="s">
        <v>15</v>
      </c>
      <c r="F195" s="21">
        <v>45883</v>
      </c>
      <c r="G195" s="21">
        <v>45883</v>
      </c>
      <c r="H195" s="20" t="s">
        <v>15</v>
      </c>
      <c r="I195" s="20" t="s">
        <v>16</v>
      </c>
      <c r="J195" s="20">
        <f>NETWORKDAYS(Christus_Emp_Table[[#This Row],[From Date:]],Christus_Emp_Table[[#This Row],[To Date:]])</f>
        <v>1</v>
      </c>
      <c r="K195" s="20"/>
      <c r="L195" s="20" t="e">
        <f>_xlfn.XLOOKUP(Christus_Emp_Table[[#This Row],[Analyst Name:]],[1]!Table1[Analyst Name],[1]!Table1[Lead])</f>
        <v>#REF!</v>
      </c>
      <c r="M195" s="20" t="e">
        <f>_xlfn.XLOOKUP(Christus_Emp_Table[[#This Row],[Analyst Name:]],[1]!Table1[Analyst Name],[1]!Table1[Active/Inactive])</f>
        <v>#REF!</v>
      </c>
    </row>
    <row r="196" spans="1:13" x14ac:dyDescent="0.35">
      <c r="A196" s="19" t="s">
        <v>22</v>
      </c>
      <c r="B196" s="20" t="e">
        <f>_xlfn.XLOOKUP(Christus_Emp_Table[[#This Row],[Analyst Name:]],[1]!Table1[Analyst Name],[1]!Table1[Deloitte Email ID])</f>
        <v>#REF!</v>
      </c>
      <c r="C196" s="20" t="e">
        <f>_xlfn.XLOOKUP(Christus_Emp_Table[[#This Row],[Analyst Name:]],[1]!Table1[Analyst Name],[1]!Table1[Module])</f>
        <v>#REF!</v>
      </c>
      <c r="D196" s="20" t="e">
        <f>_xlfn.XLOOKUP(Christus_Emp_Table[[#This Row],[Analyst Name:]],[1]!Table1[Analyst Name],[1]!Table1[Location])</f>
        <v>#REF!</v>
      </c>
      <c r="E196" s="20" t="s">
        <v>15</v>
      </c>
      <c r="F196" s="21">
        <v>45876</v>
      </c>
      <c r="G196" s="21">
        <v>45877</v>
      </c>
      <c r="H196" s="20" t="s">
        <v>15</v>
      </c>
      <c r="I196" s="20" t="s">
        <v>16</v>
      </c>
      <c r="J196" s="20">
        <f>NETWORKDAYS(Christus_Emp_Table[[#This Row],[From Date:]],Christus_Emp_Table[[#This Row],[To Date:]])</f>
        <v>2</v>
      </c>
      <c r="K196" s="20"/>
      <c r="L196" s="20" t="e">
        <f>_xlfn.XLOOKUP(Christus_Emp_Table[[#This Row],[Analyst Name:]],[1]!Table1[Analyst Name],[1]!Table1[Lead])</f>
        <v>#REF!</v>
      </c>
      <c r="M196" s="20" t="e">
        <f>_xlfn.XLOOKUP(Christus_Emp_Table[[#This Row],[Analyst Name:]],[1]!Table1[Analyst Name],[1]!Table1[Active/Inactive])</f>
        <v>#REF!</v>
      </c>
    </row>
    <row r="197" spans="1:13" x14ac:dyDescent="0.35">
      <c r="A197" s="19" t="s">
        <v>22</v>
      </c>
      <c r="B197" s="20" t="e">
        <f>_xlfn.XLOOKUP(Christus_Emp_Table[[#This Row],[Analyst Name:]],[1]!Table1[Analyst Name],[1]!Table1[Deloitte Email ID])</f>
        <v>#REF!</v>
      </c>
      <c r="C197" s="20" t="e">
        <f>_xlfn.XLOOKUP(Christus_Emp_Table[[#This Row],[Analyst Name:]],[1]!Table1[Analyst Name],[1]!Table1[Module])</f>
        <v>#REF!</v>
      </c>
      <c r="D197" s="20" t="e">
        <f>_xlfn.XLOOKUP(Christus_Emp_Table[[#This Row],[Analyst Name:]],[1]!Table1[Analyst Name],[1]!Table1[Location])</f>
        <v>#REF!</v>
      </c>
      <c r="E197" s="20" t="s">
        <v>15</v>
      </c>
      <c r="F197" s="21">
        <v>45895</v>
      </c>
      <c r="G197" s="21">
        <v>45895</v>
      </c>
      <c r="H197" s="20" t="s">
        <v>15</v>
      </c>
      <c r="I197" s="20" t="s">
        <v>16</v>
      </c>
      <c r="J197" s="20">
        <f>NETWORKDAYS(Christus_Emp_Table[[#This Row],[From Date:]],Christus_Emp_Table[[#This Row],[To Date:]])</f>
        <v>1</v>
      </c>
      <c r="K197" s="20"/>
      <c r="L197" s="20" t="e">
        <f>_xlfn.XLOOKUP(Christus_Emp_Table[[#This Row],[Analyst Name:]],[1]!Table1[Analyst Name],[1]!Table1[Lead])</f>
        <v>#REF!</v>
      </c>
      <c r="M197" s="20" t="e">
        <f>_xlfn.XLOOKUP(Christus_Emp_Table[[#This Row],[Analyst Name:]],[1]!Table1[Analyst Name],[1]!Table1[Active/Inactive])</f>
        <v>#REF!</v>
      </c>
    </row>
    <row r="198" spans="1:13" x14ac:dyDescent="0.35">
      <c r="A198" s="19" t="s">
        <v>22</v>
      </c>
      <c r="B198" s="20" t="e">
        <f>_xlfn.XLOOKUP(Christus_Emp_Table[[#This Row],[Analyst Name:]],[1]!Table1[Analyst Name],[1]!Table1[Deloitte Email ID])</f>
        <v>#REF!</v>
      </c>
      <c r="C198" s="20" t="e">
        <f>_xlfn.XLOOKUP(Christus_Emp_Table[[#This Row],[Analyst Name:]],[1]!Table1[Analyst Name],[1]!Table1[Module])</f>
        <v>#REF!</v>
      </c>
      <c r="D198" s="20" t="e">
        <f>_xlfn.XLOOKUP(Christus_Emp_Table[[#This Row],[Analyst Name:]],[1]!Table1[Analyst Name],[1]!Table1[Location])</f>
        <v>#REF!</v>
      </c>
      <c r="E198" s="22" t="s">
        <v>19</v>
      </c>
      <c r="F198" s="21">
        <v>45897</v>
      </c>
      <c r="G198" s="21">
        <v>45898</v>
      </c>
      <c r="H198" s="20" t="s">
        <v>20</v>
      </c>
      <c r="I198" s="20" t="s">
        <v>16</v>
      </c>
      <c r="J198" s="20">
        <f>NETWORKDAYS(Christus_Emp_Table[[#This Row],[From Date:]],Christus_Emp_Table[[#This Row],[To Date:]])</f>
        <v>2</v>
      </c>
      <c r="K198" s="20"/>
      <c r="L198" s="20" t="e">
        <f>_xlfn.XLOOKUP(Christus_Emp_Table[[#This Row],[Analyst Name:]],[1]!Table1[Analyst Name],[1]!Table1[Lead])</f>
        <v>#REF!</v>
      </c>
      <c r="M198" s="20" t="e">
        <f>_xlfn.XLOOKUP(Christus_Emp_Table[[#This Row],[Analyst Name:]],[1]!Table1[Analyst Name],[1]!Table1[Active/Inactive])</f>
        <v>#REF!</v>
      </c>
    </row>
    <row r="199" spans="1:13" x14ac:dyDescent="0.35">
      <c r="A199" s="19" t="s">
        <v>25</v>
      </c>
      <c r="B199" s="20" t="e">
        <f>_xlfn.XLOOKUP(Christus_Emp_Table[[#This Row],[Analyst Name:]],[1]!Table1[Analyst Name],[1]!Table1[Deloitte Email ID])</f>
        <v>#REF!</v>
      </c>
      <c r="C199" s="20" t="e">
        <f>_xlfn.XLOOKUP(Christus_Emp_Table[[#This Row],[Analyst Name:]],[1]!Table1[Analyst Name],[1]!Table1[Module])</f>
        <v>#REF!</v>
      </c>
      <c r="D199" s="20" t="e">
        <f>_xlfn.XLOOKUP(Christus_Emp_Table[[#This Row],[Analyst Name:]],[1]!Table1[Analyst Name],[1]!Table1[Location])</f>
        <v>#REF!</v>
      </c>
      <c r="E199" s="20" t="s">
        <v>15</v>
      </c>
      <c r="F199" s="21">
        <v>45870</v>
      </c>
      <c r="G199" s="21">
        <v>45870</v>
      </c>
      <c r="H199" s="20" t="s">
        <v>15</v>
      </c>
      <c r="I199" s="20" t="s">
        <v>16</v>
      </c>
      <c r="J199" s="20">
        <f>NETWORKDAYS(Christus_Emp_Table[[#This Row],[From Date:]],Christus_Emp_Table[[#This Row],[To Date:]])</f>
        <v>1</v>
      </c>
      <c r="K199" s="20"/>
      <c r="L199" s="20" t="e">
        <f>_xlfn.XLOOKUP(Christus_Emp_Table[[#This Row],[Analyst Name:]],[1]!Table1[Analyst Name],[1]!Table1[Lead])</f>
        <v>#REF!</v>
      </c>
      <c r="M199" s="20" t="e">
        <f>_xlfn.XLOOKUP(Christus_Emp_Table[[#This Row],[Analyst Name:]],[1]!Table1[Analyst Name],[1]!Table1[Active/Inactive])</f>
        <v>#REF!</v>
      </c>
    </row>
    <row r="200" spans="1:13" x14ac:dyDescent="0.35">
      <c r="A200" s="19" t="s">
        <v>26</v>
      </c>
      <c r="B200" s="20" t="e">
        <f>_xlfn.XLOOKUP(Christus_Emp_Table[[#This Row],[Analyst Name:]],[1]!Table1[Analyst Name],[1]!Table1[Deloitte Email ID])</f>
        <v>#REF!</v>
      </c>
      <c r="C200" s="20" t="e">
        <f>_xlfn.XLOOKUP(Christus_Emp_Table[[#This Row],[Analyst Name:]],[1]!Table1[Analyst Name],[1]!Table1[Module])</f>
        <v>#REF!</v>
      </c>
      <c r="D200" s="20" t="e">
        <f>_xlfn.XLOOKUP(Christus_Emp_Table[[#This Row],[Analyst Name:]],[1]!Table1[Analyst Name],[1]!Table1[Location])</f>
        <v>#REF!</v>
      </c>
      <c r="E200" s="22" t="s">
        <v>19</v>
      </c>
      <c r="F200" s="21">
        <v>45874</v>
      </c>
      <c r="G200" s="21">
        <v>45874</v>
      </c>
      <c r="H200" s="20" t="s">
        <v>20</v>
      </c>
      <c r="I200" s="20" t="s">
        <v>16</v>
      </c>
      <c r="J200" s="20">
        <f>NETWORKDAYS(Christus_Emp_Table[[#This Row],[From Date:]],Christus_Emp_Table[[#This Row],[To Date:]])</f>
        <v>1</v>
      </c>
      <c r="K200" s="20"/>
      <c r="L200" s="20" t="e">
        <f>_xlfn.XLOOKUP(Christus_Emp_Table[[#This Row],[Analyst Name:]],[1]!Table1[Analyst Name],[1]!Table1[Lead])</f>
        <v>#REF!</v>
      </c>
      <c r="M200" s="20" t="e">
        <f>_xlfn.XLOOKUP(Christus_Emp_Table[[#This Row],[Analyst Name:]],[1]!Table1[Analyst Name],[1]!Table1[Active/Inactive])</f>
        <v>#REF!</v>
      </c>
    </row>
    <row r="201" spans="1:13" x14ac:dyDescent="0.35">
      <c r="A201" s="19" t="s">
        <v>26</v>
      </c>
      <c r="B201" s="20" t="e">
        <f>_xlfn.XLOOKUP(Christus_Emp_Table[[#This Row],[Analyst Name:]],[1]!Table1[Analyst Name],[1]!Table1[Deloitte Email ID])</f>
        <v>#REF!</v>
      </c>
      <c r="C201" s="20" t="e">
        <f>_xlfn.XLOOKUP(Christus_Emp_Table[[#This Row],[Analyst Name:]],[1]!Table1[Analyst Name],[1]!Table1[Module])</f>
        <v>#REF!</v>
      </c>
      <c r="D201" s="20" t="e">
        <f>_xlfn.XLOOKUP(Christus_Emp_Table[[#This Row],[Analyst Name:]],[1]!Table1[Analyst Name],[1]!Table1[Location])</f>
        <v>#REF!</v>
      </c>
      <c r="E201" s="20" t="s">
        <v>15</v>
      </c>
      <c r="F201" s="21">
        <v>45883</v>
      </c>
      <c r="G201" s="21">
        <v>45883</v>
      </c>
      <c r="H201" s="20" t="s">
        <v>15</v>
      </c>
      <c r="I201" s="20" t="s">
        <v>16</v>
      </c>
      <c r="J201" s="20">
        <f>NETWORKDAYS(Christus_Emp_Table[[#This Row],[From Date:]],Christus_Emp_Table[[#This Row],[To Date:]])</f>
        <v>1</v>
      </c>
      <c r="K201" s="20"/>
      <c r="L201" s="20" t="e">
        <f>_xlfn.XLOOKUP(Christus_Emp_Table[[#This Row],[Analyst Name:]],[1]!Table1[Analyst Name],[1]!Table1[Lead])</f>
        <v>#REF!</v>
      </c>
      <c r="M201" s="20" t="e">
        <f>_xlfn.XLOOKUP(Christus_Emp_Table[[#This Row],[Analyst Name:]],[1]!Table1[Analyst Name],[1]!Table1[Active/Inactive])</f>
        <v>#REF!</v>
      </c>
    </row>
    <row r="202" spans="1:13" x14ac:dyDescent="0.35">
      <c r="A202" s="19" t="s">
        <v>38</v>
      </c>
      <c r="B202" s="20" t="e">
        <f>_xlfn.XLOOKUP(Christus_Emp_Table[[#This Row],[Analyst Name:]],[1]!Table1[Analyst Name],[1]!Table1[Deloitte Email ID])</f>
        <v>#REF!</v>
      </c>
      <c r="C202" s="20" t="e">
        <f>_xlfn.XLOOKUP(Christus_Emp_Table[[#This Row],[Analyst Name:]],[1]!Table1[Analyst Name],[1]!Table1[Module])</f>
        <v>#REF!</v>
      </c>
      <c r="D202" s="20" t="e">
        <f>_xlfn.XLOOKUP(Christus_Emp_Table[[#This Row],[Analyst Name:]],[1]!Table1[Analyst Name],[1]!Table1[Location])</f>
        <v>#REF!</v>
      </c>
      <c r="E202" s="20" t="s">
        <v>15</v>
      </c>
      <c r="F202" s="21">
        <v>45870</v>
      </c>
      <c r="G202" s="21">
        <v>45873</v>
      </c>
      <c r="H202" s="20" t="s">
        <v>15</v>
      </c>
      <c r="I202" s="20" t="s">
        <v>16</v>
      </c>
      <c r="J202" s="20">
        <f>NETWORKDAYS(Christus_Emp_Table[[#This Row],[From Date:]],Christus_Emp_Table[[#This Row],[To Date:]])</f>
        <v>2</v>
      </c>
      <c r="K202" s="20"/>
      <c r="L202" s="20" t="e">
        <f>_xlfn.XLOOKUP(Christus_Emp_Table[[#This Row],[Analyst Name:]],[1]!Table1[Analyst Name],[1]!Table1[Lead])</f>
        <v>#REF!</v>
      </c>
      <c r="M202" s="20" t="e">
        <f>_xlfn.XLOOKUP(Christus_Emp_Table[[#This Row],[Analyst Name:]],[1]!Table1[Analyst Name],[1]!Table1[Active/Inactive])</f>
        <v>#REF!</v>
      </c>
    </row>
    <row r="203" spans="1:13" x14ac:dyDescent="0.35">
      <c r="A203" s="19" t="s">
        <v>38</v>
      </c>
      <c r="B203" s="20" t="e">
        <f>_xlfn.XLOOKUP(Christus_Emp_Table[[#This Row],[Analyst Name:]],[1]!Table1[Analyst Name],[1]!Table1[Deloitte Email ID])</f>
        <v>#REF!</v>
      </c>
      <c r="C203" s="20" t="e">
        <f>_xlfn.XLOOKUP(Christus_Emp_Table[[#This Row],[Analyst Name:]],[1]!Table1[Analyst Name],[1]!Table1[Module])</f>
        <v>#REF!</v>
      </c>
      <c r="D203" s="20" t="e">
        <f>_xlfn.XLOOKUP(Christus_Emp_Table[[#This Row],[Analyst Name:]],[1]!Table1[Analyst Name],[1]!Table1[Location])</f>
        <v>#REF!</v>
      </c>
      <c r="E203" s="20" t="s">
        <v>15</v>
      </c>
      <c r="F203" s="21">
        <v>45887</v>
      </c>
      <c r="G203" s="21">
        <v>45887</v>
      </c>
      <c r="H203" s="20" t="s">
        <v>15</v>
      </c>
      <c r="I203" s="20" t="s">
        <v>16</v>
      </c>
      <c r="J203" s="20">
        <f>NETWORKDAYS(Christus_Emp_Table[[#This Row],[From Date:]],Christus_Emp_Table[[#This Row],[To Date:]])</f>
        <v>1</v>
      </c>
      <c r="K203" s="20"/>
      <c r="L203" s="20" t="e">
        <f>_xlfn.XLOOKUP(Christus_Emp_Table[[#This Row],[Analyst Name:]],[1]!Table1[Analyst Name],[1]!Table1[Lead])</f>
        <v>#REF!</v>
      </c>
      <c r="M203" s="20" t="e">
        <f>_xlfn.XLOOKUP(Christus_Emp_Table[[#This Row],[Analyst Name:]],[1]!Table1[Analyst Name],[1]!Table1[Active/Inactive])</f>
        <v>#REF!</v>
      </c>
    </row>
    <row r="204" spans="1:13" x14ac:dyDescent="0.35">
      <c r="A204" s="19" t="s">
        <v>38</v>
      </c>
      <c r="B204" s="20" t="e">
        <f>_xlfn.XLOOKUP(Christus_Emp_Table[[#This Row],[Analyst Name:]],[1]!Table1[Analyst Name],[1]!Table1[Deloitte Email ID])</f>
        <v>#REF!</v>
      </c>
      <c r="C204" s="20" t="e">
        <f>_xlfn.XLOOKUP(Christus_Emp_Table[[#This Row],[Analyst Name:]],[1]!Table1[Analyst Name],[1]!Table1[Module])</f>
        <v>#REF!</v>
      </c>
      <c r="D204" s="20" t="e">
        <f>_xlfn.XLOOKUP(Christus_Emp_Table[[#This Row],[Analyst Name:]],[1]!Table1[Analyst Name],[1]!Table1[Location])</f>
        <v>#REF!</v>
      </c>
      <c r="E204" s="20" t="s">
        <v>15</v>
      </c>
      <c r="F204" s="21">
        <v>45897</v>
      </c>
      <c r="G204" s="21">
        <v>45898</v>
      </c>
      <c r="H204" s="20" t="s">
        <v>15</v>
      </c>
      <c r="I204" s="20" t="s">
        <v>16</v>
      </c>
      <c r="J204" s="20">
        <f>NETWORKDAYS(Christus_Emp_Table[[#This Row],[From Date:]],Christus_Emp_Table[[#This Row],[To Date:]])</f>
        <v>2</v>
      </c>
      <c r="K204" s="20"/>
      <c r="L204" s="20" t="e">
        <f>_xlfn.XLOOKUP(Christus_Emp_Table[[#This Row],[Analyst Name:]],[1]!Table1[Analyst Name],[1]!Table1[Lead])</f>
        <v>#REF!</v>
      </c>
      <c r="M204" s="20" t="e">
        <f>_xlfn.XLOOKUP(Christus_Emp_Table[[#This Row],[Analyst Name:]],[1]!Table1[Analyst Name],[1]!Table1[Active/Inactive])</f>
        <v>#REF!</v>
      </c>
    </row>
    <row r="205" spans="1:13" x14ac:dyDescent="0.35">
      <c r="A205" s="19" t="s">
        <v>42</v>
      </c>
      <c r="B205" s="20" t="e">
        <f>_xlfn.XLOOKUP(Christus_Emp_Table[[#This Row],[Analyst Name:]],[1]!Table1[Analyst Name],[1]!Table1[Deloitte Email ID])</f>
        <v>#REF!</v>
      </c>
      <c r="C205" s="20" t="e">
        <f>_xlfn.XLOOKUP(Christus_Emp_Table[[#This Row],[Analyst Name:]],[1]!Table1[Analyst Name],[1]!Table1[Module])</f>
        <v>#REF!</v>
      </c>
      <c r="D205" s="20" t="e">
        <f>_xlfn.XLOOKUP(Christus_Emp_Table[[#This Row],[Analyst Name:]],[1]!Table1[Analyst Name],[1]!Table1[Location])</f>
        <v>#REF!</v>
      </c>
      <c r="E205" s="22" t="s">
        <v>19</v>
      </c>
      <c r="F205" s="21">
        <v>45873</v>
      </c>
      <c r="G205" s="21">
        <v>45873</v>
      </c>
      <c r="H205" s="20" t="s">
        <v>20</v>
      </c>
      <c r="I205" s="20" t="s">
        <v>16</v>
      </c>
      <c r="J205" s="20">
        <f>NETWORKDAYS(Christus_Emp_Table[[#This Row],[From Date:]],Christus_Emp_Table[[#This Row],[To Date:]])</f>
        <v>1</v>
      </c>
      <c r="K205" s="20"/>
      <c r="L205" s="20" t="e">
        <f>_xlfn.XLOOKUP(Christus_Emp_Table[[#This Row],[Analyst Name:]],[1]!Table1[Analyst Name],[1]!Table1[Lead])</f>
        <v>#REF!</v>
      </c>
      <c r="M205" s="20" t="e">
        <f>_xlfn.XLOOKUP(Christus_Emp_Table[[#This Row],[Analyst Name:]],[1]!Table1[Analyst Name],[1]!Table1[Active/Inactive])</f>
        <v>#REF!</v>
      </c>
    </row>
    <row r="206" spans="1:13" x14ac:dyDescent="0.35">
      <c r="A206" s="19" t="s">
        <v>42</v>
      </c>
      <c r="B206" s="20" t="e">
        <f>_xlfn.XLOOKUP(Christus_Emp_Table[[#This Row],[Analyst Name:]],[1]!Table1[Analyst Name],[1]!Table1[Deloitte Email ID])</f>
        <v>#REF!</v>
      </c>
      <c r="C206" s="20" t="e">
        <f>_xlfn.XLOOKUP(Christus_Emp_Table[[#This Row],[Analyst Name:]],[1]!Table1[Analyst Name],[1]!Table1[Module])</f>
        <v>#REF!</v>
      </c>
      <c r="D206" s="20" t="e">
        <f>_xlfn.XLOOKUP(Christus_Emp_Table[[#This Row],[Analyst Name:]],[1]!Table1[Analyst Name],[1]!Table1[Location])</f>
        <v>#REF!</v>
      </c>
      <c r="E206" s="20" t="s">
        <v>15</v>
      </c>
      <c r="F206" s="21">
        <v>45897</v>
      </c>
      <c r="G206" s="21">
        <v>45897</v>
      </c>
      <c r="H206" s="20" t="s">
        <v>15</v>
      </c>
      <c r="I206" s="20" t="s">
        <v>16</v>
      </c>
      <c r="J206" s="20">
        <f>NETWORKDAYS(Christus_Emp_Table[[#This Row],[From Date:]],Christus_Emp_Table[[#This Row],[To Date:]])</f>
        <v>1</v>
      </c>
      <c r="K206" s="20"/>
      <c r="L206" s="20" t="e">
        <f>_xlfn.XLOOKUP(Christus_Emp_Table[[#This Row],[Analyst Name:]],[1]!Table1[Analyst Name],[1]!Table1[Lead])</f>
        <v>#REF!</v>
      </c>
      <c r="M206" s="20" t="e">
        <f>_xlfn.XLOOKUP(Christus_Emp_Table[[#This Row],[Analyst Name:]],[1]!Table1[Analyst Name],[1]!Table1[Active/Inactive])</f>
        <v>#REF!</v>
      </c>
    </row>
    <row r="207" spans="1:13" x14ac:dyDescent="0.35">
      <c r="A207" s="19" t="s">
        <v>27</v>
      </c>
      <c r="B207" s="20" t="e">
        <f>_xlfn.XLOOKUP(Christus_Emp_Table[[#This Row],[Analyst Name:]],[1]!Table1[Analyst Name],[1]!Table1[Deloitte Email ID])</f>
        <v>#REF!</v>
      </c>
      <c r="C207" s="20" t="e">
        <f>_xlfn.XLOOKUP(Christus_Emp_Table[[#This Row],[Analyst Name:]],[1]!Table1[Analyst Name],[1]!Table1[Module])</f>
        <v>#REF!</v>
      </c>
      <c r="D207" s="20" t="e">
        <f>_xlfn.XLOOKUP(Christus_Emp_Table[[#This Row],[Analyst Name:]],[1]!Table1[Analyst Name],[1]!Table1[Location])</f>
        <v>#REF!</v>
      </c>
      <c r="E207" s="22" t="s">
        <v>19</v>
      </c>
      <c r="F207" s="21">
        <v>45894</v>
      </c>
      <c r="G207" s="21">
        <v>45894</v>
      </c>
      <c r="H207" s="20" t="s">
        <v>20</v>
      </c>
      <c r="I207" s="20" t="s">
        <v>16</v>
      </c>
      <c r="J207" s="20">
        <f>NETWORKDAYS(Christus_Emp_Table[[#This Row],[From Date:]],Christus_Emp_Table[[#This Row],[To Date:]])</f>
        <v>1</v>
      </c>
      <c r="K207" s="20"/>
      <c r="L207" s="20" t="e">
        <f>_xlfn.XLOOKUP(Christus_Emp_Table[[#This Row],[Analyst Name:]],[1]!Table1[Analyst Name],[1]!Table1[Lead])</f>
        <v>#REF!</v>
      </c>
      <c r="M207" s="20" t="e">
        <f>_xlfn.XLOOKUP(Christus_Emp_Table[[#This Row],[Analyst Name:]],[1]!Table1[Analyst Name],[1]!Table1[Active/Inactive])</f>
        <v>#REF!</v>
      </c>
    </row>
    <row r="208" spans="1:13" x14ac:dyDescent="0.35">
      <c r="A208" s="19" t="s">
        <v>28</v>
      </c>
      <c r="B208" s="20" t="e">
        <f>_xlfn.XLOOKUP(Christus_Emp_Table[[#This Row],[Analyst Name:]],[1]!Table1[Analyst Name],[1]!Table1[Deloitte Email ID])</f>
        <v>#REF!</v>
      </c>
      <c r="C208" s="20" t="e">
        <f>_xlfn.XLOOKUP(Christus_Emp_Table[[#This Row],[Analyst Name:]],[1]!Table1[Analyst Name],[1]!Table1[Module])</f>
        <v>#REF!</v>
      </c>
      <c r="D208" s="20" t="e">
        <f>_xlfn.XLOOKUP(Christus_Emp_Table[[#This Row],[Analyst Name:]],[1]!Table1[Analyst Name],[1]!Table1[Location])</f>
        <v>#REF!</v>
      </c>
      <c r="E208" s="22" t="s">
        <v>19</v>
      </c>
      <c r="F208" s="21">
        <v>45877</v>
      </c>
      <c r="G208" s="21">
        <v>45877</v>
      </c>
      <c r="H208" s="20" t="s">
        <v>20</v>
      </c>
      <c r="I208" s="20" t="s">
        <v>16</v>
      </c>
      <c r="J208" s="20">
        <f>NETWORKDAYS(Christus_Emp_Table[[#This Row],[From Date:]],Christus_Emp_Table[[#This Row],[To Date:]])</f>
        <v>1</v>
      </c>
      <c r="K208" s="20"/>
      <c r="L208" s="20" t="e">
        <f>_xlfn.XLOOKUP(Christus_Emp_Table[[#This Row],[Analyst Name:]],[1]!Table1[Analyst Name],[1]!Table1[Lead])</f>
        <v>#REF!</v>
      </c>
      <c r="M208" s="20" t="e">
        <f>_xlfn.XLOOKUP(Christus_Emp_Table[[#This Row],[Analyst Name:]],[1]!Table1[Analyst Name],[1]!Table1[Active/Inactive])</f>
        <v>#REF!</v>
      </c>
    </row>
    <row r="209" spans="1:13" x14ac:dyDescent="0.35">
      <c r="A209" s="19" t="s">
        <v>28</v>
      </c>
      <c r="B209" s="20" t="e">
        <f>_xlfn.XLOOKUP(Christus_Emp_Table[[#This Row],[Analyst Name:]],[1]!Table1[Analyst Name],[1]!Table1[Deloitte Email ID])</f>
        <v>#REF!</v>
      </c>
      <c r="C209" s="20" t="e">
        <f>_xlfn.XLOOKUP(Christus_Emp_Table[[#This Row],[Analyst Name:]],[1]!Table1[Analyst Name],[1]!Table1[Module])</f>
        <v>#REF!</v>
      </c>
      <c r="D209" s="20" t="e">
        <f>_xlfn.XLOOKUP(Christus_Emp_Table[[#This Row],[Analyst Name:]],[1]!Table1[Analyst Name],[1]!Table1[Location])</f>
        <v>#REF!</v>
      </c>
      <c r="E209" s="22" t="s">
        <v>19</v>
      </c>
      <c r="F209" s="21">
        <v>45888</v>
      </c>
      <c r="G209" s="21">
        <v>45888</v>
      </c>
      <c r="H209" s="20" t="s">
        <v>20</v>
      </c>
      <c r="I209" s="20" t="s">
        <v>16</v>
      </c>
      <c r="J209" s="20">
        <f>NETWORKDAYS(Christus_Emp_Table[[#This Row],[From Date:]],Christus_Emp_Table[[#This Row],[To Date:]])</f>
        <v>1</v>
      </c>
      <c r="K209" s="20"/>
      <c r="L209" s="20" t="e">
        <f>_xlfn.XLOOKUP(Christus_Emp_Table[[#This Row],[Analyst Name:]],[1]!Table1[Analyst Name],[1]!Table1[Lead])</f>
        <v>#REF!</v>
      </c>
      <c r="M209" s="20" t="e">
        <f>_xlfn.XLOOKUP(Christus_Emp_Table[[#This Row],[Analyst Name:]],[1]!Table1[Analyst Name],[1]!Table1[Active/Inactive])</f>
        <v>#REF!</v>
      </c>
    </row>
    <row r="210" spans="1:13" x14ac:dyDescent="0.35">
      <c r="A210" s="19" t="s">
        <v>39</v>
      </c>
      <c r="B210" s="20" t="e">
        <f>_xlfn.XLOOKUP(Christus_Emp_Table[[#This Row],[Analyst Name:]],[1]!Table1[Analyst Name],[1]!Table1[Deloitte Email ID])</f>
        <v>#REF!</v>
      </c>
      <c r="C210" s="20" t="e">
        <f>_xlfn.XLOOKUP(Christus_Emp_Table[[#This Row],[Analyst Name:]],[1]!Table1[Analyst Name],[1]!Table1[Module])</f>
        <v>#REF!</v>
      </c>
      <c r="D210" s="20" t="e">
        <f>_xlfn.XLOOKUP(Christus_Emp_Table[[#This Row],[Analyst Name:]],[1]!Table1[Analyst Name],[1]!Table1[Location])</f>
        <v>#REF!</v>
      </c>
      <c r="E210" s="20" t="s">
        <v>15</v>
      </c>
      <c r="F210" s="21">
        <v>45880</v>
      </c>
      <c r="G210" s="21">
        <v>45883</v>
      </c>
      <c r="H210" s="20" t="s">
        <v>15</v>
      </c>
      <c r="I210" s="20" t="s">
        <v>16</v>
      </c>
      <c r="J210" s="20">
        <f>NETWORKDAYS(Christus_Emp_Table[[#This Row],[From Date:]],Christus_Emp_Table[[#This Row],[To Date:]])</f>
        <v>4</v>
      </c>
      <c r="K210" s="20"/>
      <c r="L210" s="20" t="e">
        <f>_xlfn.XLOOKUP(Christus_Emp_Table[[#This Row],[Analyst Name:]],[1]!Table1[Analyst Name],[1]!Table1[Lead])</f>
        <v>#REF!</v>
      </c>
      <c r="M210" s="20" t="e">
        <f>_xlfn.XLOOKUP(Christus_Emp_Table[[#This Row],[Analyst Name:]],[1]!Table1[Analyst Name],[1]!Table1[Active/Inactive])</f>
        <v>#REF!</v>
      </c>
    </row>
    <row r="211" spans="1:13" x14ac:dyDescent="0.35">
      <c r="A211" s="19" t="s">
        <v>29</v>
      </c>
      <c r="B211" s="20" t="e">
        <f>_xlfn.XLOOKUP(Christus_Emp_Table[[#This Row],[Analyst Name:]],[1]!Table1[Analyst Name],[1]!Table1[Deloitte Email ID])</f>
        <v>#REF!</v>
      </c>
      <c r="C211" s="20" t="e">
        <f>_xlfn.XLOOKUP(Christus_Emp_Table[[#This Row],[Analyst Name:]],[1]!Table1[Analyst Name],[1]!Table1[Module])</f>
        <v>#REF!</v>
      </c>
      <c r="D211" s="20" t="e">
        <f>_xlfn.XLOOKUP(Christus_Emp_Table[[#This Row],[Analyst Name:]],[1]!Table1[Analyst Name],[1]!Table1[Location])</f>
        <v>#REF!</v>
      </c>
      <c r="E211" s="20" t="s">
        <v>23</v>
      </c>
      <c r="F211" s="21">
        <v>45888</v>
      </c>
      <c r="G211" s="21">
        <v>45888</v>
      </c>
      <c r="H211" s="20" t="s">
        <v>23</v>
      </c>
      <c r="I211" s="20" t="s">
        <v>16</v>
      </c>
      <c r="J211" s="20">
        <f>NETWORKDAYS(Christus_Emp_Table[[#This Row],[From Date:]],Christus_Emp_Table[[#This Row],[To Date:]])</f>
        <v>1</v>
      </c>
      <c r="K211" s="20"/>
      <c r="L211" s="20" t="e">
        <f>_xlfn.XLOOKUP(Christus_Emp_Table[[#This Row],[Analyst Name:]],[1]!Table1[Analyst Name],[1]!Table1[Lead])</f>
        <v>#REF!</v>
      </c>
      <c r="M211" s="20" t="e">
        <f>_xlfn.XLOOKUP(Christus_Emp_Table[[#This Row],[Analyst Name:]],[1]!Table1[Analyst Name],[1]!Table1[Active/Inactive])</f>
        <v>#REF!</v>
      </c>
    </row>
    <row r="212" spans="1:13" x14ac:dyDescent="0.35">
      <c r="A212" s="19" t="s">
        <v>30</v>
      </c>
      <c r="B212" s="20" t="e">
        <f>_xlfn.XLOOKUP(Christus_Emp_Table[[#This Row],[Analyst Name:]],[1]!Table1[Analyst Name],[1]!Table1[Deloitte Email ID])</f>
        <v>#REF!</v>
      </c>
      <c r="C212" s="20" t="e">
        <f>_xlfn.XLOOKUP(Christus_Emp_Table[[#This Row],[Analyst Name:]],[1]!Table1[Analyst Name],[1]!Table1[Module])</f>
        <v>#REF!</v>
      </c>
      <c r="D212" s="20" t="e">
        <f>_xlfn.XLOOKUP(Christus_Emp_Table[[#This Row],[Analyst Name:]],[1]!Table1[Analyst Name],[1]!Table1[Location])</f>
        <v>#REF!</v>
      </c>
      <c r="E212" s="22" t="s">
        <v>19</v>
      </c>
      <c r="F212" s="21">
        <v>45870</v>
      </c>
      <c r="G212" s="21">
        <v>45873</v>
      </c>
      <c r="H212" s="20" t="s">
        <v>20</v>
      </c>
      <c r="I212" s="20" t="s">
        <v>16</v>
      </c>
      <c r="J212" s="20">
        <f>NETWORKDAYS(Christus_Emp_Table[[#This Row],[From Date:]],Christus_Emp_Table[[#This Row],[To Date:]])</f>
        <v>2</v>
      </c>
      <c r="K212" s="20"/>
      <c r="L212" s="20" t="e">
        <f>_xlfn.XLOOKUP(Christus_Emp_Table[[#This Row],[Analyst Name:]],[1]!Table1[Analyst Name],[1]!Table1[Lead])</f>
        <v>#REF!</v>
      </c>
      <c r="M212" s="20" t="e">
        <f>_xlfn.XLOOKUP(Christus_Emp_Table[[#This Row],[Analyst Name:]],[1]!Table1[Analyst Name],[1]!Table1[Active/Inactive])</f>
        <v>#REF!</v>
      </c>
    </row>
    <row r="213" spans="1:13" x14ac:dyDescent="0.35">
      <c r="A213" s="19" t="s">
        <v>30</v>
      </c>
      <c r="B213" s="20" t="e">
        <f>_xlfn.XLOOKUP(Christus_Emp_Table[[#This Row],[Analyst Name:]],[1]!Table1[Analyst Name],[1]!Table1[Deloitte Email ID])</f>
        <v>#REF!</v>
      </c>
      <c r="C213" s="20" t="e">
        <f>_xlfn.XLOOKUP(Christus_Emp_Table[[#This Row],[Analyst Name:]],[1]!Table1[Analyst Name],[1]!Table1[Module])</f>
        <v>#REF!</v>
      </c>
      <c r="D213" s="20" t="e">
        <f>_xlfn.XLOOKUP(Christus_Emp_Table[[#This Row],[Analyst Name:]],[1]!Table1[Analyst Name],[1]!Table1[Location])</f>
        <v>#REF!</v>
      </c>
      <c r="E213" s="20" t="s">
        <v>15</v>
      </c>
      <c r="F213" s="21">
        <v>45882</v>
      </c>
      <c r="G213" s="21">
        <v>45883</v>
      </c>
      <c r="H213" s="20" t="s">
        <v>15</v>
      </c>
      <c r="I213" s="20" t="s">
        <v>16</v>
      </c>
      <c r="J213" s="20">
        <f>NETWORKDAYS(Christus_Emp_Table[[#This Row],[From Date:]],Christus_Emp_Table[[#This Row],[To Date:]])</f>
        <v>2</v>
      </c>
      <c r="K213" s="20"/>
      <c r="L213" s="20" t="e">
        <f>_xlfn.XLOOKUP(Christus_Emp_Table[[#This Row],[Analyst Name:]],[1]!Table1[Analyst Name],[1]!Table1[Lead])</f>
        <v>#REF!</v>
      </c>
      <c r="M213" s="20" t="e">
        <f>_xlfn.XLOOKUP(Christus_Emp_Table[[#This Row],[Analyst Name:]],[1]!Table1[Analyst Name],[1]!Table1[Active/Inactive])</f>
        <v>#REF!</v>
      </c>
    </row>
    <row r="214" spans="1:13" x14ac:dyDescent="0.35">
      <c r="A214" s="19" t="s">
        <v>31</v>
      </c>
      <c r="B214" s="20" t="e">
        <f>_xlfn.XLOOKUP(Christus_Emp_Table[[#This Row],[Analyst Name:]],[1]!Table1[Analyst Name],[1]!Table1[Deloitte Email ID])</f>
        <v>#REF!</v>
      </c>
      <c r="C214" s="20" t="e">
        <f>_xlfn.XLOOKUP(Christus_Emp_Table[[#This Row],[Analyst Name:]],[1]!Table1[Analyst Name],[1]!Table1[Module])</f>
        <v>#REF!</v>
      </c>
      <c r="D214" s="20" t="e">
        <f>_xlfn.XLOOKUP(Christus_Emp_Table[[#This Row],[Analyst Name:]],[1]!Table1[Analyst Name],[1]!Table1[Location])</f>
        <v>#REF!</v>
      </c>
      <c r="E214" s="20" t="s">
        <v>15</v>
      </c>
      <c r="F214" s="21">
        <v>45873</v>
      </c>
      <c r="G214" s="21">
        <v>45877</v>
      </c>
      <c r="H214" s="20" t="s">
        <v>15</v>
      </c>
      <c r="I214" s="20" t="s">
        <v>16</v>
      </c>
      <c r="J214" s="20">
        <f>NETWORKDAYS(Christus_Emp_Table[[#This Row],[From Date:]],Christus_Emp_Table[[#This Row],[To Date:]])</f>
        <v>5</v>
      </c>
      <c r="K214" s="20"/>
      <c r="L214" s="20" t="e">
        <f>_xlfn.XLOOKUP(Christus_Emp_Table[[#This Row],[Analyst Name:]],[1]!Table1[Analyst Name],[1]!Table1[Lead])</f>
        <v>#REF!</v>
      </c>
      <c r="M214" s="20" t="e">
        <f>_xlfn.XLOOKUP(Christus_Emp_Table[[#This Row],[Analyst Name:]],[1]!Table1[Analyst Name],[1]!Table1[Active/Inactive])</f>
        <v>#REF!</v>
      </c>
    </row>
    <row r="215" spans="1:13" x14ac:dyDescent="0.35">
      <c r="A215" s="19" t="s">
        <v>32</v>
      </c>
      <c r="B215" s="20" t="e">
        <f>_xlfn.XLOOKUP(Christus_Emp_Table[[#This Row],[Analyst Name:]],[1]!Table1[Analyst Name],[1]!Table1[Deloitte Email ID])</f>
        <v>#REF!</v>
      </c>
      <c r="C215" s="20" t="e">
        <f>_xlfn.XLOOKUP(Christus_Emp_Table[[#This Row],[Analyst Name:]],[1]!Table1[Analyst Name],[1]!Table1[Module])</f>
        <v>#REF!</v>
      </c>
      <c r="D215" s="20" t="e">
        <f>_xlfn.XLOOKUP(Christus_Emp_Table[[#This Row],[Analyst Name:]],[1]!Table1[Analyst Name],[1]!Table1[Location])</f>
        <v>#REF!</v>
      </c>
      <c r="E215" s="20" t="s">
        <v>15</v>
      </c>
      <c r="F215" s="21">
        <v>45897</v>
      </c>
      <c r="G215" s="21">
        <v>45898</v>
      </c>
      <c r="H215" s="20" t="s">
        <v>15</v>
      </c>
      <c r="I215" s="20" t="s">
        <v>16</v>
      </c>
      <c r="J215" s="20">
        <f>NETWORKDAYS(Christus_Emp_Table[[#This Row],[From Date:]],Christus_Emp_Table[[#This Row],[To Date:]])</f>
        <v>2</v>
      </c>
      <c r="K215" s="20"/>
      <c r="L215" s="20" t="e">
        <f>_xlfn.XLOOKUP(Christus_Emp_Table[[#This Row],[Analyst Name:]],[1]!Table1[Analyst Name],[1]!Table1[Lead])</f>
        <v>#REF!</v>
      </c>
      <c r="M215" s="20" t="e">
        <f>_xlfn.XLOOKUP(Christus_Emp_Table[[#This Row],[Analyst Name:]],[1]!Table1[Analyst Name],[1]!Table1[Active/Inactive])</f>
        <v>#REF!</v>
      </c>
    </row>
    <row r="216" spans="1:13" x14ac:dyDescent="0.35">
      <c r="A216" s="19" t="s">
        <v>33</v>
      </c>
      <c r="B216" s="20" t="e">
        <f>_xlfn.XLOOKUP(Christus_Emp_Table[[#This Row],[Analyst Name:]],[1]!Table1[Analyst Name],[1]!Table1[Deloitte Email ID])</f>
        <v>#REF!</v>
      </c>
      <c r="C216" s="20" t="e">
        <f>_xlfn.XLOOKUP(Christus_Emp_Table[[#This Row],[Analyst Name:]],[1]!Table1[Analyst Name],[1]!Table1[Module])</f>
        <v>#REF!</v>
      </c>
      <c r="D216" s="20" t="e">
        <f>_xlfn.XLOOKUP(Christus_Emp_Table[[#This Row],[Analyst Name:]],[1]!Table1[Analyst Name],[1]!Table1[Location])</f>
        <v>#REF!</v>
      </c>
      <c r="E216" s="20" t="s">
        <v>15</v>
      </c>
      <c r="F216" s="21">
        <v>45880</v>
      </c>
      <c r="G216" s="21">
        <v>45883</v>
      </c>
      <c r="H216" s="20" t="s">
        <v>15</v>
      </c>
      <c r="I216" s="20" t="s">
        <v>16</v>
      </c>
      <c r="J216" s="20">
        <f>NETWORKDAYS(Christus_Emp_Table[[#This Row],[From Date:]],Christus_Emp_Table[[#This Row],[To Date:]])</f>
        <v>4</v>
      </c>
      <c r="K216" s="20"/>
      <c r="L216" s="20" t="e">
        <f>_xlfn.XLOOKUP(Christus_Emp_Table[[#This Row],[Analyst Name:]],[1]!Table1[Analyst Name],[1]!Table1[Lead])</f>
        <v>#REF!</v>
      </c>
      <c r="M216" s="20" t="e">
        <f>_xlfn.XLOOKUP(Christus_Emp_Table[[#This Row],[Analyst Name:]],[1]!Table1[Analyst Name],[1]!Table1[Active/Inactive])</f>
        <v>#REF!</v>
      </c>
    </row>
    <row r="217" spans="1:13" x14ac:dyDescent="0.35">
      <c r="A217" s="19" t="s">
        <v>34</v>
      </c>
      <c r="B217" s="20" t="e">
        <f>_xlfn.XLOOKUP(Christus_Emp_Table[[#This Row],[Analyst Name:]],[1]!Table1[Analyst Name],[1]!Table1[Deloitte Email ID])</f>
        <v>#REF!</v>
      </c>
      <c r="C217" s="20" t="e">
        <f>_xlfn.XLOOKUP(Christus_Emp_Table[[#This Row],[Analyst Name:]],[1]!Table1[Analyst Name],[1]!Table1[Module])</f>
        <v>#REF!</v>
      </c>
      <c r="D217" s="20" t="e">
        <f>_xlfn.XLOOKUP(Christus_Emp_Table[[#This Row],[Analyst Name:]],[1]!Table1[Analyst Name],[1]!Table1[Location])</f>
        <v>#REF!</v>
      </c>
      <c r="E217" s="22" t="s">
        <v>19</v>
      </c>
      <c r="F217" s="21">
        <v>45877</v>
      </c>
      <c r="G217" s="21">
        <v>45877</v>
      </c>
      <c r="H217" s="20" t="s">
        <v>20</v>
      </c>
      <c r="I217" s="20" t="s">
        <v>16</v>
      </c>
      <c r="J217" s="20">
        <f>NETWORKDAYS(Christus_Emp_Table[[#This Row],[From Date:]],Christus_Emp_Table[[#This Row],[To Date:]])</f>
        <v>1</v>
      </c>
      <c r="K217" s="20"/>
      <c r="L217" s="20" t="e">
        <f>_xlfn.XLOOKUP(Christus_Emp_Table[[#This Row],[Analyst Name:]],[1]!Table1[Analyst Name],[1]!Table1[Lead])</f>
        <v>#REF!</v>
      </c>
      <c r="M217" s="20" t="e">
        <f>_xlfn.XLOOKUP(Christus_Emp_Table[[#This Row],[Analyst Name:]],[1]!Table1[Analyst Name],[1]!Table1[Active/Inactive])</f>
        <v>#REF!</v>
      </c>
    </row>
    <row r="218" spans="1:13" x14ac:dyDescent="0.35">
      <c r="A218" s="19" t="s">
        <v>35</v>
      </c>
      <c r="B218" s="20" t="e">
        <f>_xlfn.XLOOKUP(Christus_Emp_Table[[#This Row],[Analyst Name:]],[1]!Table1[Analyst Name],[1]!Table1[Deloitte Email ID])</f>
        <v>#REF!</v>
      </c>
      <c r="C218" s="20" t="e">
        <f>_xlfn.XLOOKUP(Christus_Emp_Table[[#This Row],[Analyst Name:]],[1]!Table1[Analyst Name],[1]!Table1[Module])</f>
        <v>#REF!</v>
      </c>
      <c r="D218" s="20" t="e">
        <f>_xlfn.XLOOKUP(Christus_Emp_Table[[#This Row],[Analyst Name:]],[1]!Table1[Analyst Name],[1]!Table1[Location])</f>
        <v>#REF!</v>
      </c>
      <c r="E218" s="20" t="s">
        <v>15</v>
      </c>
      <c r="F218" s="21">
        <v>45887</v>
      </c>
      <c r="G218" s="21">
        <v>45888</v>
      </c>
      <c r="H218" s="20" t="s">
        <v>15</v>
      </c>
      <c r="I218" s="20" t="s">
        <v>16</v>
      </c>
      <c r="J218" s="20">
        <f>NETWORKDAYS(Christus_Emp_Table[[#This Row],[From Date:]],Christus_Emp_Table[[#This Row],[To Date:]])</f>
        <v>2</v>
      </c>
      <c r="K218" s="20"/>
      <c r="L218" s="20" t="e">
        <f>_xlfn.XLOOKUP(Christus_Emp_Table[[#This Row],[Analyst Name:]],[1]!Table1[Analyst Name],[1]!Table1[Lead])</f>
        <v>#REF!</v>
      </c>
      <c r="M218" s="20" t="e">
        <f>_xlfn.XLOOKUP(Christus_Emp_Table[[#This Row],[Analyst Name:]],[1]!Table1[Analyst Name],[1]!Table1[Active/Inactive])</f>
        <v>#REF!</v>
      </c>
    </row>
    <row r="219" spans="1:13" x14ac:dyDescent="0.35">
      <c r="A219" s="19" t="s">
        <v>35</v>
      </c>
      <c r="B219" s="20" t="e">
        <f>_xlfn.XLOOKUP(Christus_Emp_Table[[#This Row],[Analyst Name:]],[1]!Table1[Analyst Name],[1]!Table1[Deloitte Email ID])</f>
        <v>#REF!</v>
      </c>
      <c r="C219" s="20" t="e">
        <f>_xlfn.XLOOKUP(Christus_Emp_Table[[#This Row],[Analyst Name:]],[1]!Table1[Analyst Name],[1]!Table1[Module])</f>
        <v>#REF!</v>
      </c>
      <c r="D219" s="20" t="e">
        <f>_xlfn.XLOOKUP(Christus_Emp_Table[[#This Row],[Analyst Name:]],[1]!Table1[Analyst Name],[1]!Table1[Location])</f>
        <v>#REF!</v>
      </c>
      <c r="E219" s="22" t="s">
        <v>19</v>
      </c>
      <c r="F219" s="21">
        <v>45895</v>
      </c>
      <c r="G219" s="21">
        <v>45895</v>
      </c>
      <c r="H219" s="20" t="s">
        <v>20</v>
      </c>
      <c r="I219" s="20" t="s">
        <v>16</v>
      </c>
      <c r="J219" s="20">
        <f>NETWORKDAYS(Christus_Emp_Table[[#This Row],[From Date:]],Christus_Emp_Table[[#This Row],[To Date:]])</f>
        <v>1</v>
      </c>
      <c r="K219" s="20"/>
      <c r="L219" s="20" t="e">
        <f>_xlfn.XLOOKUP(Christus_Emp_Table[[#This Row],[Analyst Name:]],[1]!Table1[Analyst Name],[1]!Table1[Lead])</f>
        <v>#REF!</v>
      </c>
      <c r="M219" s="20" t="e">
        <f>_xlfn.XLOOKUP(Christus_Emp_Table[[#This Row],[Analyst Name:]],[1]!Table1[Analyst Name],[1]!Table1[Active/Inactive])</f>
        <v>#REF!</v>
      </c>
    </row>
    <row r="220" spans="1:13" x14ac:dyDescent="0.35">
      <c r="A220" s="19" t="s">
        <v>36</v>
      </c>
      <c r="B220" s="20" t="e">
        <f>_xlfn.XLOOKUP(Christus_Emp_Table[[#This Row],[Analyst Name:]],[1]!Table1[Analyst Name],[1]!Table1[Deloitte Email ID])</f>
        <v>#REF!</v>
      </c>
      <c r="C220" s="20" t="e">
        <f>_xlfn.XLOOKUP(Christus_Emp_Table[[#This Row],[Analyst Name:]],[1]!Table1[Analyst Name],[1]!Table1[Module])</f>
        <v>#REF!</v>
      </c>
      <c r="D220" s="20" t="e">
        <f>_xlfn.XLOOKUP(Christus_Emp_Table[[#This Row],[Analyst Name:]],[1]!Table1[Analyst Name],[1]!Table1[Location])</f>
        <v>#REF!</v>
      </c>
      <c r="E220" s="20" t="s">
        <v>15</v>
      </c>
      <c r="F220" s="21">
        <v>45898</v>
      </c>
      <c r="G220" s="21">
        <v>45898</v>
      </c>
      <c r="H220" s="20" t="s">
        <v>15</v>
      </c>
      <c r="I220" s="20" t="s">
        <v>16</v>
      </c>
      <c r="J220" s="20">
        <f>NETWORKDAYS(Christus_Emp_Table[[#This Row],[From Date:]],Christus_Emp_Table[[#This Row],[To Date:]])</f>
        <v>1</v>
      </c>
      <c r="K220" s="20"/>
      <c r="L220" s="20" t="e">
        <f>_xlfn.XLOOKUP(Christus_Emp_Table[[#This Row],[Analyst Name:]],[1]!Table1[Analyst Name],[1]!Table1[Lead])</f>
        <v>#REF!</v>
      </c>
      <c r="M220" s="20" t="e">
        <f>_xlfn.XLOOKUP(Christus_Emp_Table[[#This Row],[Analyst Name:]],[1]!Table1[Analyst Name],[1]!Table1[Active/Inactive])</f>
        <v>#REF!</v>
      </c>
    </row>
    <row r="221" spans="1:13" x14ac:dyDescent="0.35">
      <c r="A221" s="19" t="s">
        <v>14</v>
      </c>
      <c r="B221" s="20" t="e">
        <f>_xlfn.XLOOKUP(Christus_Emp_Table[[#This Row],[Analyst Name:]],[1]!Table1[Analyst Name],[1]!Table1[Deloitte Email ID])</f>
        <v>#REF!</v>
      </c>
      <c r="C221" s="20" t="e">
        <f>_xlfn.XLOOKUP(Christus_Emp_Table[[#This Row],[Analyst Name:]],[1]!Table1[Analyst Name],[1]!Table1[Module])</f>
        <v>#REF!</v>
      </c>
      <c r="D221" s="20" t="e">
        <f>_xlfn.XLOOKUP(Christus_Emp_Table[[#This Row],[Analyst Name:]],[1]!Table1[Analyst Name],[1]!Table1[Location])</f>
        <v>#REF!</v>
      </c>
      <c r="E221" s="20" t="s">
        <v>15</v>
      </c>
      <c r="F221" s="21">
        <v>45874</v>
      </c>
      <c r="G221" s="21">
        <v>45874</v>
      </c>
      <c r="H221" s="20" t="s">
        <v>15</v>
      </c>
      <c r="I221" s="20" t="s">
        <v>16</v>
      </c>
      <c r="J221" s="20">
        <f>NETWORKDAYS(Christus_Emp_Table[[#This Row],[From Date:]],Christus_Emp_Table[[#This Row],[To Date:]])</f>
        <v>1</v>
      </c>
      <c r="K221" s="20"/>
      <c r="L221" s="20" t="e">
        <f>_xlfn.XLOOKUP(Christus_Emp_Table[[#This Row],[Analyst Name:]],[1]!Table1[Analyst Name],[1]!Table1[Lead])</f>
        <v>#REF!</v>
      </c>
      <c r="M221" s="20" t="e">
        <f>_xlfn.XLOOKUP(Christus_Emp_Table[[#This Row],[Analyst Name:]],[1]!Table1[Analyst Name],[1]!Table1[Active/Inactive])</f>
        <v>#REF!</v>
      </c>
    </row>
    <row r="222" spans="1:13" x14ac:dyDescent="0.35">
      <c r="A222" s="19" t="s">
        <v>44</v>
      </c>
      <c r="B222" s="20" t="e">
        <f>_xlfn.XLOOKUP(Christus_Emp_Table[[#This Row],[Analyst Name:]],[1]!Table1[Analyst Name],[1]!Table1[Deloitte Email ID])</f>
        <v>#REF!</v>
      </c>
      <c r="C222" s="20" t="e">
        <f>_xlfn.XLOOKUP(Christus_Emp_Table[[#This Row],[Analyst Name:]],[1]!Table1[Analyst Name],[1]!Table1[Module])</f>
        <v>#REF!</v>
      </c>
      <c r="D222" s="20" t="e">
        <f>_xlfn.XLOOKUP(Christus_Emp_Table[[#This Row],[Analyst Name:]],[1]!Table1[Analyst Name],[1]!Table1[Location])</f>
        <v>#REF!</v>
      </c>
      <c r="E222" s="22" t="s">
        <v>19</v>
      </c>
      <c r="F222" s="21">
        <v>45918</v>
      </c>
      <c r="G222" s="21">
        <v>45918</v>
      </c>
      <c r="H222" s="20" t="s">
        <v>20</v>
      </c>
      <c r="I222" s="20" t="s">
        <v>16</v>
      </c>
      <c r="J222" s="20">
        <f>NETWORKDAYS(Christus_Emp_Table[[#This Row],[From Date:]],Christus_Emp_Table[[#This Row],[To Date:]])</f>
        <v>1</v>
      </c>
      <c r="K222" s="20"/>
      <c r="L222" s="20" t="e">
        <f>_xlfn.XLOOKUP(Christus_Emp_Table[[#This Row],[Analyst Name:]],[1]!Table1[Analyst Name],[1]!Table1[Lead])</f>
        <v>#REF!</v>
      </c>
      <c r="M222" s="20" t="e">
        <f>_xlfn.XLOOKUP(Christus_Emp_Table[[#This Row],[Analyst Name:]],[1]!Table1[Analyst Name],[1]!Table1[Active/Inactive])</f>
        <v>#REF!</v>
      </c>
    </row>
    <row r="223" spans="1:13" x14ac:dyDescent="0.35">
      <c r="A223" s="19" t="s">
        <v>45</v>
      </c>
      <c r="B223" s="20" t="e">
        <f>_xlfn.XLOOKUP(Christus_Emp_Table[[#This Row],[Analyst Name:]],[1]!Table1[Analyst Name],[1]!Table1[Deloitte Email ID])</f>
        <v>#REF!</v>
      </c>
      <c r="C223" s="20" t="e">
        <f>_xlfn.XLOOKUP(Christus_Emp_Table[[#This Row],[Analyst Name:]],[1]!Table1[Analyst Name],[1]!Table1[Module])</f>
        <v>#REF!</v>
      </c>
      <c r="D223" s="20" t="e">
        <f>_xlfn.XLOOKUP(Christus_Emp_Table[[#This Row],[Analyst Name:]],[1]!Table1[Analyst Name],[1]!Table1[Location])</f>
        <v>#REF!</v>
      </c>
      <c r="E223" s="22" t="s">
        <v>19</v>
      </c>
      <c r="F223" s="21">
        <v>45908</v>
      </c>
      <c r="G223" s="21">
        <v>45908</v>
      </c>
      <c r="H223" s="20" t="s">
        <v>20</v>
      </c>
      <c r="I223" s="20" t="s">
        <v>16</v>
      </c>
      <c r="J223" s="20">
        <f>NETWORKDAYS(Christus_Emp_Table[[#This Row],[From Date:]],Christus_Emp_Table[[#This Row],[To Date:]])</f>
        <v>1</v>
      </c>
      <c r="K223" s="20"/>
      <c r="L223" s="20" t="e">
        <f>_xlfn.XLOOKUP(Christus_Emp_Table[[#This Row],[Analyst Name:]],[1]!Table1[Analyst Name],[1]!Table1[Lead])</f>
        <v>#REF!</v>
      </c>
      <c r="M223" s="20" t="e">
        <f>_xlfn.XLOOKUP(Christus_Emp_Table[[#This Row],[Analyst Name:]],[1]!Table1[Analyst Name],[1]!Table1[Active/Inactive])</f>
        <v>#REF!</v>
      </c>
    </row>
    <row r="224" spans="1:13" x14ac:dyDescent="0.35">
      <c r="A224" s="19" t="s">
        <v>45</v>
      </c>
      <c r="B224" s="20" t="e">
        <f>_xlfn.XLOOKUP(Christus_Emp_Table[[#This Row],[Analyst Name:]],[1]!Table1[Analyst Name],[1]!Table1[Deloitte Email ID])</f>
        <v>#REF!</v>
      </c>
      <c r="C224" s="20" t="e">
        <f>_xlfn.XLOOKUP(Christus_Emp_Table[[#This Row],[Analyst Name:]],[1]!Table1[Analyst Name],[1]!Table1[Module])</f>
        <v>#REF!</v>
      </c>
      <c r="D224" s="20" t="e">
        <f>_xlfn.XLOOKUP(Christus_Emp_Table[[#This Row],[Analyst Name:]],[1]!Table1[Analyst Name],[1]!Table1[Location])</f>
        <v>#REF!</v>
      </c>
      <c r="E224" s="22" t="s">
        <v>19</v>
      </c>
      <c r="F224" s="21">
        <v>45918</v>
      </c>
      <c r="G224" s="21">
        <v>45918</v>
      </c>
      <c r="H224" s="20" t="s">
        <v>20</v>
      </c>
      <c r="I224" s="20" t="s">
        <v>16</v>
      </c>
      <c r="J224" s="20">
        <f>NETWORKDAYS(Christus_Emp_Table[[#This Row],[From Date:]],Christus_Emp_Table[[#This Row],[To Date:]])</f>
        <v>1</v>
      </c>
      <c r="K224" s="20"/>
      <c r="L224" s="20" t="e">
        <f>_xlfn.XLOOKUP(Christus_Emp_Table[[#This Row],[Analyst Name:]],[1]!Table1[Analyst Name],[1]!Table1[Lead])</f>
        <v>#REF!</v>
      </c>
      <c r="M224" s="20" t="e">
        <f>_xlfn.XLOOKUP(Christus_Emp_Table[[#This Row],[Analyst Name:]],[1]!Table1[Analyst Name],[1]!Table1[Active/Inactive])</f>
        <v>#REF!</v>
      </c>
    </row>
    <row r="225" spans="1:13" x14ac:dyDescent="0.35">
      <c r="A225" s="19" t="s">
        <v>41</v>
      </c>
      <c r="B225" s="20" t="e">
        <f>_xlfn.XLOOKUP(Christus_Emp_Table[[#This Row],[Analyst Name:]],[1]!Table1[Analyst Name],[1]!Table1[Deloitte Email ID])</f>
        <v>#REF!</v>
      </c>
      <c r="C225" s="20" t="e">
        <f>_xlfn.XLOOKUP(Christus_Emp_Table[[#This Row],[Analyst Name:]],[1]!Table1[Analyst Name],[1]!Table1[Module])</f>
        <v>#REF!</v>
      </c>
      <c r="D225" s="20" t="e">
        <f>_xlfn.XLOOKUP(Christus_Emp_Table[[#This Row],[Analyst Name:]],[1]!Table1[Analyst Name],[1]!Table1[Location])</f>
        <v>#REF!</v>
      </c>
      <c r="E225" s="22" t="s">
        <v>19</v>
      </c>
      <c r="F225" s="21">
        <v>45901</v>
      </c>
      <c r="G225" s="21">
        <v>45901</v>
      </c>
      <c r="H225" s="20" t="s">
        <v>20</v>
      </c>
      <c r="I225" s="20" t="s">
        <v>16</v>
      </c>
      <c r="J225" s="20">
        <f>NETWORKDAYS(Christus_Emp_Table[[#This Row],[From Date:]],Christus_Emp_Table[[#This Row],[To Date:]])</f>
        <v>1</v>
      </c>
      <c r="K225" s="20"/>
      <c r="L225" s="20" t="e">
        <f>_xlfn.XLOOKUP(Christus_Emp_Table[[#This Row],[Analyst Name:]],[1]!Table1[Analyst Name],[1]!Table1[Lead])</f>
        <v>#REF!</v>
      </c>
      <c r="M225" s="20" t="e">
        <f>_xlfn.XLOOKUP(Christus_Emp_Table[[#This Row],[Analyst Name:]],[1]!Table1[Analyst Name],[1]!Table1[Active/Inactive])</f>
        <v>#REF!</v>
      </c>
    </row>
    <row r="226" spans="1:13" x14ac:dyDescent="0.35">
      <c r="A226" s="19" t="s">
        <v>41</v>
      </c>
      <c r="B226" s="20" t="e">
        <f>_xlfn.XLOOKUP(Christus_Emp_Table[[#This Row],[Analyst Name:]],[1]!Table1[Analyst Name],[1]!Table1[Deloitte Email ID])</f>
        <v>#REF!</v>
      </c>
      <c r="C226" s="20" t="e">
        <f>_xlfn.XLOOKUP(Christus_Emp_Table[[#This Row],[Analyst Name:]],[1]!Table1[Analyst Name],[1]!Table1[Module])</f>
        <v>#REF!</v>
      </c>
      <c r="D226" s="20" t="e">
        <f>_xlfn.XLOOKUP(Christus_Emp_Table[[#This Row],[Analyst Name:]],[1]!Table1[Analyst Name],[1]!Table1[Location])</f>
        <v>#REF!</v>
      </c>
      <c r="E226" s="20" t="s">
        <v>15</v>
      </c>
      <c r="F226" s="21">
        <v>45905</v>
      </c>
      <c r="G226" s="21">
        <v>45905</v>
      </c>
      <c r="H226" s="20" t="s">
        <v>15</v>
      </c>
      <c r="I226" s="20" t="s">
        <v>16</v>
      </c>
      <c r="J226" s="20">
        <f>NETWORKDAYS(Christus_Emp_Table[[#This Row],[From Date:]],Christus_Emp_Table[[#This Row],[To Date:]])</f>
        <v>1</v>
      </c>
      <c r="K226" s="20"/>
      <c r="L226" s="20" t="e">
        <f>_xlfn.XLOOKUP(Christus_Emp_Table[[#This Row],[Analyst Name:]],[1]!Table1[Analyst Name],[1]!Table1[Lead])</f>
        <v>#REF!</v>
      </c>
      <c r="M226" s="20" t="e">
        <f>_xlfn.XLOOKUP(Christus_Emp_Table[[#This Row],[Analyst Name:]],[1]!Table1[Analyst Name],[1]!Table1[Active/Inactive])</f>
        <v>#REF!</v>
      </c>
    </row>
    <row r="227" spans="1:13" x14ac:dyDescent="0.35">
      <c r="A227" s="19" t="s">
        <v>41</v>
      </c>
      <c r="B227" s="20" t="e">
        <f>_xlfn.XLOOKUP(Christus_Emp_Table[[#This Row],[Analyst Name:]],[1]!Table1[Analyst Name],[1]!Table1[Deloitte Email ID])</f>
        <v>#REF!</v>
      </c>
      <c r="C227" s="20" t="e">
        <f>_xlfn.XLOOKUP(Christus_Emp_Table[[#This Row],[Analyst Name:]],[1]!Table1[Analyst Name],[1]!Table1[Module])</f>
        <v>#REF!</v>
      </c>
      <c r="D227" s="20" t="e">
        <f>_xlfn.XLOOKUP(Christus_Emp_Table[[#This Row],[Analyst Name:]],[1]!Table1[Analyst Name],[1]!Table1[Location])</f>
        <v>#REF!</v>
      </c>
      <c r="E227" s="20" t="s">
        <v>15</v>
      </c>
      <c r="F227" s="21">
        <v>45915</v>
      </c>
      <c r="G227" s="21">
        <v>45919</v>
      </c>
      <c r="H227" s="20" t="s">
        <v>15</v>
      </c>
      <c r="I227" s="20" t="s">
        <v>16</v>
      </c>
      <c r="J227" s="20">
        <f>NETWORKDAYS(Christus_Emp_Table[[#This Row],[From Date:]],Christus_Emp_Table[[#This Row],[To Date:]])</f>
        <v>5</v>
      </c>
      <c r="K227" s="20"/>
      <c r="L227" s="20" t="e">
        <f>_xlfn.XLOOKUP(Christus_Emp_Table[[#This Row],[Analyst Name:]],[1]!Table1[Analyst Name],[1]!Table1[Lead])</f>
        <v>#REF!</v>
      </c>
      <c r="M227" s="20" t="e">
        <f>_xlfn.XLOOKUP(Christus_Emp_Table[[#This Row],[Analyst Name:]],[1]!Table1[Analyst Name],[1]!Table1[Active/Inactive])</f>
        <v>#REF!</v>
      </c>
    </row>
    <row r="228" spans="1:13" x14ac:dyDescent="0.35">
      <c r="A228" s="19" t="s">
        <v>17</v>
      </c>
      <c r="B228" s="20" t="e">
        <f>_xlfn.XLOOKUP(Christus_Emp_Table[[#This Row],[Analyst Name:]],[1]!Table1[Analyst Name],[1]!Table1[Deloitte Email ID])</f>
        <v>#REF!</v>
      </c>
      <c r="C228" s="20" t="e">
        <f>_xlfn.XLOOKUP(Christus_Emp_Table[[#This Row],[Analyst Name:]],[1]!Table1[Analyst Name],[1]!Table1[Module])</f>
        <v>#REF!</v>
      </c>
      <c r="D228" s="20" t="e">
        <f>_xlfn.XLOOKUP(Christus_Emp_Table[[#This Row],[Analyst Name:]],[1]!Table1[Analyst Name],[1]!Table1[Location])</f>
        <v>#REF!</v>
      </c>
      <c r="E228" s="20" t="s">
        <v>15</v>
      </c>
      <c r="F228" s="21">
        <v>45905</v>
      </c>
      <c r="G228" s="21">
        <v>45905</v>
      </c>
      <c r="H228" s="20" t="s">
        <v>15</v>
      </c>
      <c r="I228" s="20" t="s">
        <v>16</v>
      </c>
      <c r="J228" s="20">
        <f>NETWORKDAYS(Christus_Emp_Table[[#This Row],[From Date:]],Christus_Emp_Table[[#This Row],[To Date:]])</f>
        <v>1</v>
      </c>
      <c r="K228" s="20"/>
      <c r="L228" s="20" t="e">
        <f>_xlfn.XLOOKUP(Christus_Emp_Table[[#This Row],[Analyst Name:]],[1]!Table1[Analyst Name],[1]!Table1[Lead])</f>
        <v>#REF!</v>
      </c>
      <c r="M228" s="20" t="e">
        <f>_xlfn.XLOOKUP(Christus_Emp_Table[[#This Row],[Analyst Name:]],[1]!Table1[Analyst Name],[1]!Table1[Active/Inactive])</f>
        <v>#REF!</v>
      </c>
    </row>
    <row r="229" spans="1:13" x14ac:dyDescent="0.35">
      <c r="A229" s="19" t="s">
        <v>18</v>
      </c>
      <c r="B229" s="20" t="e">
        <f>_xlfn.XLOOKUP(Christus_Emp_Table[[#This Row],[Analyst Name:]],[1]!Table1[Analyst Name],[1]!Table1[Deloitte Email ID])</f>
        <v>#REF!</v>
      </c>
      <c r="C229" s="20" t="e">
        <f>_xlfn.XLOOKUP(Christus_Emp_Table[[#This Row],[Analyst Name:]],[1]!Table1[Analyst Name],[1]!Table1[Module])</f>
        <v>#REF!</v>
      </c>
      <c r="D229" s="20" t="e">
        <f>_xlfn.XLOOKUP(Christus_Emp_Table[[#This Row],[Analyst Name:]],[1]!Table1[Analyst Name],[1]!Table1[Location])</f>
        <v>#REF!</v>
      </c>
      <c r="E229" s="20" t="s">
        <v>15</v>
      </c>
      <c r="F229" s="21">
        <v>45926</v>
      </c>
      <c r="G229" s="21">
        <v>45930</v>
      </c>
      <c r="H229" s="20" t="s">
        <v>15</v>
      </c>
      <c r="I229" s="20" t="s">
        <v>16</v>
      </c>
      <c r="J229" s="20">
        <f>NETWORKDAYS(Christus_Emp_Table[[#This Row],[From Date:]],Christus_Emp_Table[[#This Row],[To Date:]])</f>
        <v>3</v>
      </c>
      <c r="K229" s="20"/>
      <c r="L229" s="20" t="e">
        <f>_xlfn.XLOOKUP(Christus_Emp_Table[[#This Row],[Analyst Name:]],[1]!Table1[Analyst Name],[1]!Table1[Lead])</f>
        <v>#REF!</v>
      </c>
      <c r="M229" s="20" t="e">
        <f>_xlfn.XLOOKUP(Christus_Emp_Table[[#This Row],[Analyst Name:]],[1]!Table1[Analyst Name],[1]!Table1[Active/Inactive])</f>
        <v>#REF!</v>
      </c>
    </row>
    <row r="230" spans="1:13" x14ac:dyDescent="0.35">
      <c r="A230" s="19" t="s">
        <v>21</v>
      </c>
      <c r="B230" s="20" t="e">
        <f>_xlfn.XLOOKUP(Christus_Emp_Table[[#This Row],[Analyst Name:]],[1]!Table1[Analyst Name],[1]!Table1[Deloitte Email ID])</f>
        <v>#REF!</v>
      </c>
      <c r="C230" s="20" t="e">
        <f>_xlfn.XLOOKUP(Christus_Emp_Table[[#This Row],[Analyst Name:]],[1]!Table1[Analyst Name],[1]!Table1[Module])</f>
        <v>#REF!</v>
      </c>
      <c r="D230" s="20" t="e">
        <f>_xlfn.XLOOKUP(Christus_Emp_Table[[#This Row],[Analyst Name:]],[1]!Table1[Analyst Name],[1]!Table1[Location])</f>
        <v>#REF!</v>
      </c>
      <c r="E230" s="20" t="s">
        <v>15</v>
      </c>
      <c r="F230" s="21">
        <v>45905</v>
      </c>
      <c r="G230" s="21">
        <v>45905</v>
      </c>
      <c r="H230" s="20" t="s">
        <v>15</v>
      </c>
      <c r="I230" s="20" t="s">
        <v>16</v>
      </c>
      <c r="J230" s="20">
        <f>NETWORKDAYS(Christus_Emp_Table[[#This Row],[From Date:]],Christus_Emp_Table[[#This Row],[To Date:]])</f>
        <v>1</v>
      </c>
      <c r="K230" s="20"/>
      <c r="L230" s="20" t="e">
        <f>_xlfn.XLOOKUP(Christus_Emp_Table[[#This Row],[Analyst Name:]],[1]!Table1[Analyst Name],[1]!Table1[Lead])</f>
        <v>#REF!</v>
      </c>
      <c r="M230" s="20" t="e">
        <f>_xlfn.XLOOKUP(Christus_Emp_Table[[#This Row],[Analyst Name:]],[1]!Table1[Analyst Name],[1]!Table1[Active/Inactive])</f>
        <v>#REF!</v>
      </c>
    </row>
    <row r="231" spans="1:13" x14ac:dyDescent="0.35">
      <c r="A231" s="19" t="s">
        <v>21</v>
      </c>
      <c r="B231" s="20" t="e">
        <f>_xlfn.XLOOKUP(Christus_Emp_Table[[#This Row],[Analyst Name:]],[1]!Table1[Analyst Name],[1]!Table1[Deloitte Email ID])</f>
        <v>#REF!</v>
      </c>
      <c r="C231" s="20" t="e">
        <f>_xlfn.XLOOKUP(Christus_Emp_Table[[#This Row],[Analyst Name:]],[1]!Table1[Analyst Name],[1]!Table1[Module])</f>
        <v>#REF!</v>
      </c>
      <c r="D231" s="20" t="e">
        <f>_xlfn.XLOOKUP(Christus_Emp_Table[[#This Row],[Analyst Name:]],[1]!Table1[Analyst Name],[1]!Table1[Location])</f>
        <v>#REF!</v>
      </c>
      <c r="E231" s="20" t="s">
        <v>15</v>
      </c>
      <c r="F231" s="21">
        <v>45912</v>
      </c>
      <c r="G231" s="21">
        <v>45918</v>
      </c>
      <c r="H231" s="20" t="s">
        <v>15</v>
      </c>
      <c r="I231" s="20" t="s">
        <v>16</v>
      </c>
      <c r="J231" s="20">
        <f>NETWORKDAYS(Christus_Emp_Table[[#This Row],[From Date:]],Christus_Emp_Table[[#This Row],[To Date:]])</f>
        <v>5</v>
      </c>
      <c r="K231" s="20"/>
      <c r="L231" s="20" t="e">
        <f>_xlfn.XLOOKUP(Christus_Emp_Table[[#This Row],[Analyst Name:]],[1]!Table1[Analyst Name],[1]!Table1[Lead])</f>
        <v>#REF!</v>
      </c>
      <c r="M231" s="20" t="e">
        <f>_xlfn.XLOOKUP(Christus_Emp_Table[[#This Row],[Analyst Name:]],[1]!Table1[Analyst Name],[1]!Table1[Active/Inactive])</f>
        <v>#REF!</v>
      </c>
    </row>
    <row r="232" spans="1:13" x14ac:dyDescent="0.35">
      <c r="A232" s="19" t="s">
        <v>22</v>
      </c>
      <c r="B232" s="20" t="e">
        <f>_xlfn.XLOOKUP(Christus_Emp_Table[[#This Row],[Analyst Name:]],[1]!Table1[Analyst Name],[1]!Table1[Deloitte Email ID])</f>
        <v>#REF!</v>
      </c>
      <c r="C232" s="20" t="e">
        <f>_xlfn.XLOOKUP(Christus_Emp_Table[[#This Row],[Analyst Name:]],[1]!Table1[Analyst Name],[1]!Table1[Module])</f>
        <v>#REF!</v>
      </c>
      <c r="D232" s="20" t="e">
        <f>_xlfn.XLOOKUP(Christus_Emp_Table[[#This Row],[Analyst Name:]],[1]!Table1[Analyst Name],[1]!Table1[Location])</f>
        <v>#REF!</v>
      </c>
      <c r="E232" s="22" t="s">
        <v>19</v>
      </c>
      <c r="F232" s="21">
        <v>45901</v>
      </c>
      <c r="G232" s="21">
        <v>45909</v>
      </c>
      <c r="H232" s="20" t="s">
        <v>20</v>
      </c>
      <c r="I232" s="20" t="s">
        <v>16</v>
      </c>
      <c r="J232" s="20">
        <f>NETWORKDAYS(Christus_Emp_Table[[#This Row],[From Date:]],Christus_Emp_Table[[#This Row],[To Date:]])</f>
        <v>7</v>
      </c>
      <c r="K232" s="20"/>
      <c r="L232" s="20" t="e">
        <f>_xlfn.XLOOKUP(Christus_Emp_Table[[#This Row],[Analyst Name:]],[1]!Table1[Analyst Name],[1]!Table1[Lead])</f>
        <v>#REF!</v>
      </c>
      <c r="M232" s="20" t="e">
        <f>_xlfn.XLOOKUP(Christus_Emp_Table[[#This Row],[Analyst Name:]],[1]!Table1[Analyst Name],[1]!Table1[Active/Inactive])</f>
        <v>#REF!</v>
      </c>
    </row>
    <row r="233" spans="1:13" x14ac:dyDescent="0.35">
      <c r="A233" s="19" t="s">
        <v>25</v>
      </c>
      <c r="B233" s="20" t="e">
        <f>_xlfn.XLOOKUP(Christus_Emp_Table[[#This Row],[Analyst Name:]],[1]!Table1[Analyst Name],[1]!Table1[Deloitte Email ID])</f>
        <v>#REF!</v>
      </c>
      <c r="C233" s="20" t="e">
        <f>_xlfn.XLOOKUP(Christus_Emp_Table[[#This Row],[Analyst Name:]],[1]!Table1[Analyst Name],[1]!Table1[Module])</f>
        <v>#REF!</v>
      </c>
      <c r="D233" s="20" t="e">
        <f>_xlfn.XLOOKUP(Christus_Emp_Table[[#This Row],[Analyst Name:]],[1]!Table1[Analyst Name],[1]!Table1[Location])</f>
        <v>#REF!</v>
      </c>
      <c r="E233" s="20" t="s">
        <v>15</v>
      </c>
      <c r="F233" s="21">
        <v>45904</v>
      </c>
      <c r="G233" s="21">
        <v>45905</v>
      </c>
      <c r="H233" s="20" t="s">
        <v>15</v>
      </c>
      <c r="I233" s="20" t="s">
        <v>16</v>
      </c>
      <c r="J233" s="20">
        <f>NETWORKDAYS(Christus_Emp_Table[[#This Row],[From Date:]],Christus_Emp_Table[[#This Row],[To Date:]])</f>
        <v>2</v>
      </c>
      <c r="K233" s="20"/>
      <c r="L233" s="20" t="e">
        <f>_xlfn.XLOOKUP(Christus_Emp_Table[[#This Row],[Analyst Name:]],[1]!Table1[Analyst Name],[1]!Table1[Lead])</f>
        <v>#REF!</v>
      </c>
      <c r="M233" s="20" t="e">
        <f>_xlfn.XLOOKUP(Christus_Emp_Table[[#This Row],[Analyst Name:]],[1]!Table1[Analyst Name],[1]!Table1[Active/Inactive])</f>
        <v>#REF!</v>
      </c>
    </row>
    <row r="234" spans="1:13" x14ac:dyDescent="0.35">
      <c r="A234" s="19" t="s">
        <v>25</v>
      </c>
      <c r="B234" s="20" t="e">
        <f>_xlfn.XLOOKUP(Christus_Emp_Table[[#This Row],[Analyst Name:]],[1]!Table1[Analyst Name],[1]!Table1[Deloitte Email ID])</f>
        <v>#REF!</v>
      </c>
      <c r="C234" s="20" t="e">
        <f>_xlfn.XLOOKUP(Christus_Emp_Table[[#This Row],[Analyst Name:]],[1]!Table1[Analyst Name],[1]!Table1[Module])</f>
        <v>#REF!</v>
      </c>
      <c r="D234" s="20" t="e">
        <f>_xlfn.XLOOKUP(Christus_Emp_Table[[#This Row],[Analyst Name:]],[1]!Table1[Analyst Name],[1]!Table1[Location])</f>
        <v>#REF!</v>
      </c>
      <c r="E234" s="22" t="s">
        <v>19</v>
      </c>
      <c r="F234" s="21">
        <v>45917</v>
      </c>
      <c r="G234" s="21">
        <v>45917</v>
      </c>
      <c r="H234" s="20" t="s">
        <v>20</v>
      </c>
      <c r="I234" s="20" t="s">
        <v>16</v>
      </c>
      <c r="J234" s="20">
        <f>NETWORKDAYS(Christus_Emp_Table[[#This Row],[From Date:]],Christus_Emp_Table[[#This Row],[To Date:]])</f>
        <v>1</v>
      </c>
      <c r="K234" s="20"/>
      <c r="L234" s="20" t="e">
        <f>_xlfn.XLOOKUP(Christus_Emp_Table[[#This Row],[Analyst Name:]],[1]!Table1[Analyst Name],[1]!Table1[Lead])</f>
        <v>#REF!</v>
      </c>
      <c r="M234" s="20" t="e">
        <f>_xlfn.XLOOKUP(Christus_Emp_Table[[#This Row],[Analyst Name:]],[1]!Table1[Analyst Name],[1]!Table1[Active/Inactive])</f>
        <v>#REF!</v>
      </c>
    </row>
    <row r="235" spans="1:13" x14ac:dyDescent="0.35">
      <c r="A235" s="19" t="s">
        <v>25</v>
      </c>
      <c r="B235" s="20" t="e">
        <f>_xlfn.XLOOKUP(Christus_Emp_Table[[#This Row],[Analyst Name:]],[1]!Table1[Analyst Name],[1]!Table1[Deloitte Email ID])</f>
        <v>#REF!</v>
      </c>
      <c r="C235" s="20" t="e">
        <f>_xlfn.XLOOKUP(Christus_Emp_Table[[#This Row],[Analyst Name:]],[1]!Table1[Analyst Name],[1]!Table1[Module])</f>
        <v>#REF!</v>
      </c>
      <c r="D235" s="20" t="e">
        <f>_xlfn.XLOOKUP(Christus_Emp_Table[[#This Row],[Analyst Name:]],[1]!Table1[Analyst Name],[1]!Table1[Location])</f>
        <v>#REF!</v>
      </c>
      <c r="E235" s="20" t="s">
        <v>23</v>
      </c>
      <c r="F235" s="21">
        <v>45925</v>
      </c>
      <c r="G235" s="21">
        <v>45925</v>
      </c>
      <c r="H235" s="20" t="s">
        <v>23</v>
      </c>
      <c r="I235" s="20" t="s">
        <v>16</v>
      </c>
      <c r="J235" s="20">
        <f>NETWORKDAYS(Christus_Emp_Table[[#This Row],[From Date:]],Christus_Emp_Table[[#This Row],[To Date:]])</f>
        <v>1</v>
      </c>
      <c r="K235" s="20"/>
      <c r="L235" s="20" t="e">
        <f>_xlfn.XLOOKUP(Christus_Emp_Table[[#This Row],[Analyst Name:]],[1]!Table1[Analyst Name],[1]!Table1[Lead])</f>
        <v>#REF!</v>
      </c>
      <c r="M235" s="20" t="e">
        <f>_xlfn.XLOOKUP(Christus_Emp_Table[[#This Row],[Analyst Name:]],[1]!Table1[Analyst Name],[1]!Table1[Active/Inactive])</f>
        <v>#REF!</v>
      </c>
    </row>
    <row r="236" spans="1:13" x14ac:dyDescent="0.35">
      <c r="A236" s="19" t="s">
        <v>25</v>
      </c>
      <c r="B236" s="20" t="e">
        <f>_xlfn.XLOOKUP(Christus_Emp_Table[[#This Row],[Analyst Name:]],[1]!Table1[Analyst Name],[1]!Table1[Deloitte Email ID])</f>
        <v>#REF!</v>
      </c>
      <c r="C236" s="20" t="e">
        <f>_xlfn.XLOOKUP(Christus_Emp_Table[[#This Row],[Analyst Name:]],[1]!Table1[Analyst Name],[1]!Table1[Module])</f>
        <v>#REF!</v>
      </c>
      <c r="D236" s="20" t="e">
        <f>_xlfn.XLOOKUP(Christus_Emp_Table[[#This Row],[Analyst Name:]],[1]!Table1[Analyst Name],[1]!Table1[Location])</f>
        <v>#REF!</v>
      </c>
      <c r="E236" s="20" t="s">
        <v>15</v>
      </c>
      <c r="F236" s="21">
        <v>45929</v>
      </c>
      <c r="G236" s="21">
        <v>45930</v>
      </c>
      <c r="H236" s="20" t="s">
        <v>15</v>
      </c>
      <c r="I236" s="20" t="s">
        <v>16</v>
      </c>
      <c r="J236" s="20">
        <f>NETWORKDAYS(Christus_Emp_Table[[#This Row],[From Date:]],Christus_Emp_Table[[#This Row],[To Date:]])</f>
        <v>2</v>
      </c>
      <c r="K236" s="20"/>
      <c r="L236" s="20" t="e">
        <f>_xlfn.XLOOKUP(Christus_Emp_Table[[#This Row],[Analyst Name:]],[1]!Table1[Analyst Name],[1]!Table1[Lead])</f>
        <v>#REF!</v>
      </c>
      <c r="M236" s="20" t="e">
        <f>_xlfn.XLOOKUP(Christus_Emp_Table[[#This Row],[Analyst Name:]],[1]!Table1[Analyst Name],[1]!Table1[Active/Inactive])</f>
        <v>#REF!</v>
      </c>
    </row>
    <row r="237" spans="1:13" x14ac:dyDescent="0.35">
      <c r="A237" s="19" t="s">
        <v>38</v>
      </c>
      <c r="B237" s="20" t="e">
        <f>_xlfn.XLOOKUP(Christus_Emp_Table[[#This Row],[Analyst Name:]],[1]!Table1[Analyst Name],[1]!Table1[Deloitte Email ID])</f>
        <v>#REF!</v>
      </c>
      <c r="C237" s="20" t="e">
        <f>_xlfn.XLOOKUP(Christus_Emp_Table[[#This Row],[Analyst Name:]],[1]!Table1[Analyst Name],[1]!Table1[Module])</f>
        <v>#REF!</v>
      </c>
      <c r="D237" s="20" t="e">
        <f>_xlfn.XLOOKUP(Christus_Emp_Table[[#This Row],[Analyst Name:]],[1]!Table1[Analyst Name],[1]!Table1[Location])</f>
        <v>#REF!</v>
      </c>
      <c r="E237" s="20" t="s">
        <v>23</v>
      </c>
      <c r="F237" s="21">
        <v>45917</v>
      </c>
      <c r="G237" s="21">
        <v>45917</v>
      </c>
      <c r="H237" s="20" t="s">
        <v>23</v>
      </c>
      <c r="I237" s="20" t="s">
        <v>16</v>
      </c>
      <c r="J237" s="20">
        <f>NETWORKDAYS(Christus_Emp_Table[[#This Row],[From Date:]],Christus_Emp_Table[[#This Row],[To Date:]])</f>
        <v>1</v>
      </c>
      <c r="K237" s="20"/>
      <c r="L237" s="20" t="e">
        <f>_xlfn.XLOOKUP(Christus_Emp_Table[[#This Row],[Analyst Name:]],[1]!Table1[Analyst Name],[1]!Table1[Lead])</f>
        <v>#REF!</v>
      </c>
      <c r="M237" s="20" t="e">
        <f>_xlfn.XLOOKUP(Christus_Emp_Table[[#This Row],[Analyst Name:]],[1]!Table1[Analyst Name],[1]!Table1[Active/Inactive])</f>
        <v>#REF!</v>
      </c>
    </row>
    <row r="238" spans="1:13" x14ac:dyDescent="0.35">
      <c r="A238" s="19" t="s">
        <v>38</v>
      </c>
      <c r="B238" s="20" t="e">
        <f>_xlfn.XLOOKUP(Christus_Emp_Table[[#This Row],[Analyst Name:]],[1]!Table1[Analyst Name],[1]!Table1[Deloitte Email ID])</f>
        <v>#REF!</v>
      </c>
      <c r="C238" s="20" t="e">
        <f>_xlfn.XLOOKUP(Christus_Emp_Table[[#This Row],[Analyst Name:]],[1]!Table1[Analyst Name],[1]!Table1[Module])</f>
        <v>#REF!</v>
      </c>
      <c r="D238" s="20" t="e">
        <f>_xlfn.XLOOKUP(Christus_Emp_Table[[#This Row],[Analyst Name:]],[1]!Table1[Analyst Name],[1]!Table1[Location])</f>
        <v>#REF!</v>
      </c>
      <c r="E238" s="20" t="s">
        <v>15</v>
      </c>
      <c r="F238" s="21">
        <v>45922</v>
      </c>
      <c r="G238" s="21">
        <v>45930</v>
      </c>
      <c r="H238" s="20" t="s">
        <v>15</v>
      </c>
      <c r="I238" s="20" t="s">
        <v>16</v>
      </c>
      <c r="J238" s="20">
        <f>NETWORKDAYS(Christus_Emp_Table[[#This Row],[From Date:]],Christus_Emp_Table[[#This Row],[To Date:]])</f>
        <v>7</v>
      </c>
      <c r="K238" s="20"/>
      <c r="L238" s="20" t="e">
        <f>_xlfn.XLOOKUP(Christus_Emp_Table[[#This Row],[Analyst Name:]],[1]!Table1[Analyst Name],[1]!Table1[Lead])</f>
        <v>#REF!</v>
      </c>
      <c r="M238" s="20" t="e">
        <f>_xlfn.XLOOKUP(Christus_Emp_Table[[#This Row],[Analyst Name:]],[1]!Table1[Analyst Name],[1]!Table1[Active/Inactive])</f>
        <v>#REF!</v>
      </c>
    </row>
    <row r="239" spans="1:13" x14ac:dyDescent="0.35">
      <c r="A239" s="19" t="s">
        <v>42</v>
      </c>
      <c r="B239" s="20" t="e">
        <f>_xlfn.XLOOKUP(Christus_Emp_Table[[#This Row],[Analyst Name:]],[1]!Table1[Analyst Name],[1]!Table1[Deloitte Email ID])</f>
        <v>#REF!</v>
      </c>
      <c r="C239" s="20" t="e">
        <f>_xlfn.XLOOKUP(Christus_Emp_Table[[#This Row],[Analyst Name:]],[1]!Table1[Analyst Name],[1]!Table1[Module])</f>
        <v>#REF!</v>
      </c>
      <c r="D239" s="20" t="e">
        <f>_xlfn.XLOOKUP(Christus_Emp_Table[[#This Row],[Analyst Name:]],[1]!Table1[Analyst Name],[1]!Table1[Location])</f>
        <v>#REF!</v>
      </c>
      <c r="E239" s="20" t="s">
        <v>15</v>
      </c>
      <c r="F239" s="21">
        <v>45901</v>
      </c>
      <c r="G239" s="21">
        <v>45905</v>
      </c>
      <c r="H239" s="20" t="s">
        <v>15</v>
      </c>
      <c r="I239" s="20" t="s">
        <v>16</v>
      </c>
      <c r="J239" s="20">
        <f>NETWORKDAYS(Christus_Emp_Table[[#This Row],[From Date:]],Christus_Emp_Table[[#This Row],[To Date:]])</f>
        <v>5</v>
      </c>
      <c r="K239" s="20"/>
      <c r="L239" s="20" t="e">
        <f>_xlfn.XLOOKUP(Christus_Emp_Table[[#This Row],[Analyst Name:]],[1]!Table1[Analyst Name],[1]!Table1[Lead])</f>
        <v>#REF!</v>
      </c>
      <c r="M239" s="20" t="e">
        <f>_xlfn.XLOOKUP(Christus_Emp_Table[[#This Row],[Analyst Name:]],[1]!Table1[Analyst Name],[1]!Table1[Active/Inactive])</f>
        <v>#REF!</v>
      </c>
    </row>
    <row r="240" spans="1:13" x14ac:dyDescent="0.35">
      <c r="A240" s="19" t="s">
        <v>27</v>
      </c>
      <c r="B240" s="20" t="e">
        <f>_xlfn.XLOOKUP(Christus_Emp_Table[[#This Row],[Analyst Name:]],[1]!Table1[Analyst Name],[1]!Table1[Deloitte Email ID])</f>
        <v>#REF!</v>
      </c>
      <c r="C240" s="20" t="e">
        <f>_xlfn.XLOOKUP(Christus_Emp_Table[[#This Row],[Analyst Name:]],[1]!Table1[Analyst Name],[1]!Table1[Module])</f>
        <v>#REF!</v>
      </c>
      <c r="D240" s="20" t="e">
        <f>_xlfn.XLOOKUP(Christus_Emp_Table[[#This Row],[Analyst Name:]],[1]!Table1[Analyst Name],[1]!Table1[Location])</f>
        <v>#REF!</v>
      </c>
      <c r="E240" s="20" t="s">
        <v>15</v>
      </c>
      <c r="F240" s="21">
        <v>45908</v>
      </c>
      <c r="G240" s="21">
        <v>45915</v>
      </c>
      <c r="H240" s="20" t="s">
        <v>15</v>
      </c>
      <c r="I240" s="20" t="s">
        <v>16</v>
      </c>
      <c r="J240" s="20">
        <f>NETWORKDAYS(Christus_Emp_Table[[#This Row],[From Date:]],Christus_Emp_Table[[#This Row],[To Date:]])</f>
        <v>6</v>
      </c>
      <c r="K240" s="20"/>
      <c r="L240" s="20" t="e">
        <f>_xlfn.XLOOKUP(Christus_Emp_Table[[#This Row],[Analyst Name:]],[1]!Table1[Analyst Name],[1]!Table1[Lead])</f>
        <v>#REF!</v>
      </c>
      <c r="M240" s="20" t="e">
        <f>_xlfn.XLOOKUP(Christus_Emp_Table[[#This Row],[Analyst Name:]],[1]!Table1[Analyst Name],[1]!Table1[Active/Inactive])</f>
        <v>#REF!</v>
      </c>
    </row>
    <row r="241" spans="1:13" x14ac:dyDescent="0.35">
      <c r="A241" s="19" t="s">
        <v>39</v>
      </c>
      <c r="B241" s="20" t="e">
        <f>_xlfn.XLOOKUP(Christus_Emp_Table[[#This Row],[Analyst Name:]],[1]!Table1[Analyst Name],[1]!Table1[Deloitte Email ID])</f>
        <v>#REF!</v>
      </c>
      <c r="C241" s="20" t="e">
        <f>_xlfn.XLOOKUP(Christus_Emp_Table[[#This Row],[Analyst Name:]],[1]!Table1[Analyst Name],[1]!Table1[Module])</f>
        <v>#REF!</v>
      </c>
      <c r="D241" s="20" t="e">
        <f>_xlfn.XLOOKUP(Christus_Emp_Table[[#This Row],[Analyst Name:]],[1]!Table1[Analyst Name],[1]!Table1[Location])</f>
        <v>#REF!</v>
      </c>
      <c r="E241" s="22" t="s">
        <v>19</v>
      </c>
      <c r="F241" s="21">
        <v>45901</v>
      </c>
      <c r="G241" s="21">
        <v>45901</v>
      </c>
      <c r="H241" s="20" t="s">
        <v>20</v>
      </c>
      <c r="I241" s="20" t="s">
        <v>16</v>
      </c>
      <c r="J241" s="20">
        <f>NETWORKDAYS(Christus_Emp_Table[[#This Row],[From Date:]],Christus_Emp_Table[[#This Row],[To Date:]])</f>
        <v>1</v>
      </c>
      <c r="K241" s="20"/>
      <c r="L241" s="20" t="e">
        <f>_xlfn.XLOOKUP(Christus_Emp_Table[[#This Row],[Analyst Name:]],[1]!Table1[Analyst Name],[1]!Table1[Lead])</f>
        <v>#REF!</v>
      </c>
      <c r="M241" s="20" t="e">
        <f>_xlfn.XLOOKUP(Christus_Emp_Table[[#This Row],[Analyst Name:]],[1]!Table1[Analyst Name],[1]!Table1[Active/Inactive])</f>
        <v>#REF!</v>
      </c>
    </row>
    <row r="242" spans="1:13" x14ac:dyDescent="0.35">
      <c r="A242" s="19" t="s">
        <v>29</v>
      </c>
      <c r="B242" s="20" t="e">
        <f>_xlfn.XLOOKUP(Christus_Emp_Table[[#This Row],[Analyst Name:]],[1]!Table1[Analyst Name],[1]!Table1[Deloitte Email ID])</f>
        <v>#REF!</v>
      </c>
      <c r="C242" s="20" t="e">
        <f>_xlfn.XLOOKUP(Christus_Emp_Table[[#This Row],[Analyst Name:]],[1]!Table1[Analyst Name],[1]!Table1[Module])</f>
        <v>#REF!</v>
      </c>
      <c r="D242" s="20" t="e">
        <f>_xlfn.XLOOKUP(Christus_Emp_Table[[#This Row],[Analyst Name:]],[1]!Table1[Analyst Name],[1]!Table1[Location])</f>
        <v>#REF!</v>
      </c>
      <c r="E242" s="20" t="s">
        <v>23</v>
      </c>
      <c r="F242" s="21">
        <v>45917</v>
      </c>
      <c r="G242" s="21">
        <v>45917</v>
      </c>
      <c r="H242" s="20" t="s">
        <v>23</v>
      </c>
      <c r="I242" s="20" t="s">
        <v>16</v>
      </c>
      <c r="J242" s="20">
        <f>NETWORKDAYS(Christus_Emp_Table[[#This Row],[From Date:]],Christus_Emp_Table[[#This Row],[To Date:]])</f>
        <v>1</v>
      </c>
      <c r="K242" s="20"/>
      <c r="L242" s="20" t="e">
        <f>_xlfn.XLOOKUP(Christus_Emp_Table[[#This Row],[Analyst Name:]],[1]!Table1[Analyst Name],[1]!Table1[Lead])</f>
        <v>#REF!</v>
      </c>
      <c r="M242" s="20" t="e">
        <f>_xlfn.XLOOKUP(Christus_Emp_Table[[#This Row],[Analyst Name:]],[1]!Table1[Analyst Name],[1]!Table1[Active/Inactive])</f>
        <v>#REF!</v>
      </c>
    </row>
    <row r="243" spans="1:13" x14ac:dyDescent="0.35">
      <c r="A243" s="19" t="s">
        <v>29</v>
      </c>
      <c r="B243" s="20" t="e">
        <f>_xlfn.XLOOKUP(Christus_Emp_Table[[#This Row],[Analyst Name:]],[1]!Table1[Analyst Name],[1]!Table1[Deloitte Email ID])</f>
        <v>#REF!</v>
      </c>
      <c r="C243" s="20" t="e">
        <f>_xlfn.XLOOKUP(Christus_Emp_Table[[#This Row],[Analyst Name:]],[1]!Table1[Analyst Name],[1]!Table1[Module])</f>
        <v>#REF!</v>
      </c>
      <c r="D243" s="20" t="e">
        <f>_xlfn.XLOOKUP(Christus_Emp_Table[[#This Row],[Analyst Name:]],[1]!Table1[Analyst Name],[1]!Table1[Location])</f>
        <v>#REF!</v>
      </c>
      <c r="E243" s="22" t="s">
        <v>19</v>
      </c>
      <c r="F243" s="21">
        <v>45926</v>
      </c>
      <c r="G243" s="21">
        <v>45926</v>
      </c>
      <c r="H243" s="20" t="s">
        <v>20</v>
      </c>
      <c r="I243" s="20" t="s">
        <v>16</v>
      </c>
      <c r="J243" s="20">
        <f>NETWORKDAYS(Christus_Emp_Table[[#This Row],[From Date:]],Christus_Emp_Table[[#This Row],[To Date:]])</f>
        <v>1</v>
      </c>
      <c r="K243" s="20"/>
      <c r="L243" s="20" t="e">
        <f>_xlfn.XLOOKUP(Christus_Emp_Table[[#This Row],[Analyst Name:]],[1]!Table1[Analyst Name],[1]!Table1[Lead])</f>
        <v>#REF!</v>
      </c>
      <c r="M243" s="20" t="e">
        <f>_xlfn.XLOOKUP(Christus_Emp_Table[[#This Row],[Analyst Name:]],[1]!Table1[Analyst Name],[1]!Table1[Active/Inactive])</f>
        <v>#REF!</v>
      </c>
    </row>
    <row r="244" spans="1:13" x14ac:dyDescent="0.35">
      <c r="A244" s="19" t="s">
        <v>30</v>
      </c>
      <c r="B244" s="20" t="e">
        <f>_xlfn.XLOOKUP(Christus_Emp_Table[[#This Row],[Analyst Name:]],[1]!Table1[Analyst Name],[1]!Table1[Deloitte Email ID])</f>
        <v>#REF!</v>
      </c>
      <c r="C244" s="20" t="e">
        <f>_xlfn.XLOOKUP(Christus_Emp_Table[[#This Row],[Analyst Name:]],[1]!Table1[Analyst Name],[1]!Table1[Module])</f>
        <v>#REF!</v>
      </c>
      <c r="D244" s="20" t="e">
        <f>_xlfn.XLOOKUP(Christus_Emp_Table[[#This Row],[Analyst Name:]],[1]!Table1[Analyst Name],[1]!Table1[Location])</f>
        <v>#REF!</v>
      </c>
      <c r="E244" s="20" t="s">
        <v>15</v>
      </c>
      <c r="F244" s="21">
        <v>45901</v>
      </c>
      <c r="G244" s="21">
        <v>45903</v>
      </c>
      <c r="H244" s="20" t="s">
        <v>15</v>
      </c>
      <c r="I244" s="20" t="s">
        <v>16</v>
      </c>
      <c r="J244" s="20">
        <f>NETWORKDAYS(Christus_Emp_Table[[#This Row],[From Date:]],Christus_Emp_Table[[#This Row],[To Date:]])</f>
        <v>3</v>
      </c>
      <c r="K244" s="20"/>
      <c r="L244" s="20" t="e">
        <f>_xlfn.XLOOKUP(Christus_Emp_Table[[#This Row],[Analyst Name:]],[1]!Table1[Analyst Name],[1]!Table1[Lead])</f>
        <v>#REF!</v>
      </c>
      <c r="M244" s="20" t="e">
        <f>_xlfn.XLOOKUP(Christus_Emp_Table[[#This Row],[Analyst Name:]],[1]!Table1[Analyst Name],[1]!Table1[Active/Inactive])</f>
        <v>#REF!</v>
      </c>
    </row>
    <row r="245" spans="1:13" x14ac:dyDescent="0.35">
      <c r="A245" s="19" t="s">
        <v>31</v>
      </c>
      <c r="B245" s="20" t="e">
        <f>_xlfn.XLOOKUP(Christus_Emp_Table[[#This Row],[Analyst Name:]],[1]!Table1[Analyst Name],[1]!Table1[Deloitte Email ID])</f>
        <v>#REF!</v>
      </c>
      <c r="C245" s="20" t="e">
        <f>_xlfn.XLOOKUP(Christus_Emp_Table[[#This Row],[Analyst Name:]],[1]!Table1[Analyst Name],[1]!Table1[Module])</f>
        <v>#REF!</v>
      </c>
      <c r="D245" s="20" t="e">
        <f>_xlfn.XLOOKUP(Christus_Emp_Table[[#This Row],[Analyst Name:]],[1]!Table1[Analyst Name],[1]!Table1[Location])</f>
        <v>#REF!</v>
      </c>
      <c r="E245" s="20" t="s">
        <v>15</v>
      </c>
      <c r="F245" s="21">
        <v>45929</v>
      </c>
      <c r="G245" s="21">
        <v>45930</v>
      </c>
      <c r="H245" s="20" t="s">
        <v>15</v>
      </c>
      <c r="I245" s="20" t="s">
        <v>16</v>
      </c>
      <c r="J245" s="20">
        <f>NETWORKDAYS(Christus_Emp_Table[[#This Row],[From Date:]],Christus_Emp_Table[[#This Row],[To Date:]])</f>
        <v>2</v>
      </c>
      <c r="K245" s="20"/>
      <c r="L245" s="20" t="e">
        <f>_xlfn.XLOOKUP(Christus_Emp_Table[[#This Row],[Analyst Name:]],[1]!Table1[Analyst Name],[1]!Table1[Lead])</f>
        <v>#REF!</v>
      </c>
      <c r="M245" s="20" t="e">
        <f>_xlfn.XLOOKUP(Christus_Emp_Table[[#This Row],[Analyst Name:]],[1]!Table1[Analyst Name],[1]!Table1[Active/Inactive])</f>
        <v>#REF!</v>
      </c>
    </row>
    <row r="246" spans="1:13" x14ac:dyDescent="0.35">
      <c r="A246" s="19" t="s">
        <v>32</v>
      </c>
      <c r="B246" s="20" t="e">
        <f>_xlfn.XLOOKUP(Christus_Emp_Table[[#This Row],[Analyst Name:]],[1]!Table1[Analyst Name],[1]!Table1[Deloitte Email ID])</f>
        <v>#REF!</v>
      </c>
      <c r="C246" s="20" t="e">
        <f>_xlfn.XLOOKUP(Christus_Emp_Table[[#This Row],[Analyst Name:]],[1]!Table1[Analyst Name],[1]!Table1[Module])</f>
        <v>#REF!</v>
      </c>
      <c r="D246" s="20" t="e">
        <f>_xlfn.XLOOKUP(Christus_Emp_Table[[#This Row],[Analyst Name:]],[1]!Table1[Analyst Name],[1]!Table1[Location])</f>
        <v>#REF!</v>
      </c>
      <c r="E246" s="22" t="s">
        <v>19</v>
      </c>
      <c r="F246" s="21">
        <v>45901</v>
      </c>
      <c r="G246" s="21">
        <v>45903</v>
      </c>
      <c r="H246" s="20" t="s">
        <v>20</v>
      </c>
      <c r="I246" s="20" t="s">
        <v>16</v>
      </c>
      <c r="J246" s="20">
        <f>NETWORKDAYS(Christus_Emp_Table[[#This Row],[From Date:]],Christus_Emp_Table[[#This Row],[To Date:]])</f>
        <v>3</v>
      </c>
      <c r="K246" s="20"/>
      <c r="L246" s="20" t="e">
        <f>_xlfn.XLOOKUP(Christus_Emp_Table[[#This Row],[Analyst Name:]],[1]!Table1[Analyst Name],[1]!Table1[Lead])</f>
        <v>#REF!</v>
      </c>
      <c r="M246" s="20" t="e">
        <f>_xlfn.XLOOKUP(Christus_Emp_Table[[#This Row],[Analyst Name:]],[1]!Table1[Analyst Name],[1]!Table1[Active/Inactive])</f>
        <v>#REF!</v>
      </c>
    </row>
    <row r="247" spans="1:13" x14ac:dyDescent="0.35">
      <c r="A247" s="19" t="s">
        <v>32</v>
      </c>
      <c r="B247" s="20" t="e">
        <f>_xlfn.XLOOKUP(Christus_Emp_Table[[#This Row],[Analyst Name:]],[1]!Table1[Analyst Name],[1]!Table1[Deloitte Email ID])</f>
        <v>#REF!</v>
      </c>
      <c r="C247" s="20" t="e">
        <f>_xlfn.XLOOKUP(Christus_Emp_Table[[#This Row],[Analyst Name:]],[1]!Table1[Analyst Name],[1]!Table1[Module])</f>
        <v>#REF!</v>
      </c>
      <c r="D247" s="20" t="e">
        <f>_xlfn.XLOOKUP(Christus_Emp_Table[[#This Row],[Analyst Name:]],[1]!Table1[Analyst Name],[1]!Table1[Location])</f>
        <v>#REF!</v>
      </c>
      <c r="E247" s="20" t="s">
        <v>23</v>
      </c>
      <c r="F247" s="21">
        <v>45919</v>
      </c>
      <c r="G247" s="21">
        <v>45919</v>
      </c>
      <c r="H247" s="20" t="s">
        <v>23</v>
      </c>
      <c r="I247" s="20" t="s">
        <v>16</v>
      </c>
      <c r="J247" s="20">
        <f>NETWORKDAYS(Christus_Emp_Table[[#This Row],[From Date:]],Christus_Emp_Table[[#This Row],[To Date:]])</f>
        <v>1</v>
      </c>
      <c r="K247" s="20"/>
      <c r="L247" s="20" t="e">
        <f>_xlfn.XLOOKUP(Christus_Emp_Table[[#This Row],[Analyst Name:]],[1]!Table1[Analyst Name],[1]!Table1[Lead])</f>
        <v>#REF!</v>
      </c>
      <c r="M247" s="20" t="e">
        <f>_xlfn.XLOOKUP(Christus_Emp_Table[[#This Row],[Analyst Name:]],[1]!Table1[Analyst Name],[1]!Table1[Active/Inactive])</f>
        <v>#REF!</v>
      </c>
    </row>
    <row r="248" spans="1:13" x14ac:dyDescent="0.35">
      <c r="A248" s="19" t="s">
        <v>34</v>
      </c>
      <c r="B248" s="20" t="e">
        <f>_xlfn.XLOOKUP(Christus_Emp_Table[[#This Row],[Analyst Name:]],[1]!Table1[Analyst Name],[1]!Table1[Deloitte Email ID])</f>
        <v>#REF!</v>
      </c>
      <c r="C248" s="20" t="e">
        <f>_xlfn.XLOOKUP(Christus_Emp_Table[[#This Row],[Analyst Name:]],[1]!Table1[Analyst Name],[1]!Table1[Module])</f>
        <v>#REF!</v>
      </c>
      <c r="D248" s="20" t="e">
        <f>_xlfn.XLOOKUP(Christus_Emp_Table[[#This Row],[Analyst Name:]],[1]!Table1[Analyst Name],[1]!Table1[Location])</f>
        <v>#REF!</v>
      </c>
      <c r="E248" s="22" t="s">
        <v>19</v>
      </c>
      <c r="F248" s="21">
        <v>45910</v>
      </c>
      <c r="G248" s="21">
        <v>45910</v>
      </c>
      <c r="H248" s="20" t="s">
        <v>20</v>
      </c>
      <c r="I248" s="20" t="s">
        <v>16</v>
      </c>
      <c r="J248" s="20">
        <f>NETWORKDAYS(Christus_Emp_Table[[#This Row],[From Date:]],Christus_Emp_Table[[#This Row],[To Date:]])</f>
        <v>1</v>
      </c>
      <c r="K248" s="20"/>
      <c r="L248" s="20" t="e">
        <f>_xlfn.XLOOKUP(Christus_Emp_Table[[#This Row],[Analyst Name:]],[1]!Table1[Analyst Name],[1]!Table1[Lead])</f>
        <v>#REF!</v>
      </c>
      <c r="M248" s="20" t="e">
        <f>_xlfn.XLOOKUP(Christus_Emp_Table[[#This Row],[Analyst Name:]],[1]!Table1[Analyst Name],[1]!Table1[Active/Inactive])</f>
        <v>#REF!</v>
      </c>
    </row>
    <row r="249" spans="1:13" x14ac:dyDescent="0.35">
      <c r="A249" s="19" t="s">
        <v>14</v>
      </c>
      <c r="B249" s="20" t="e">
        <f>_xlfn.XLOOKUP(Christus_Emp_Table[[#This Row],[Analyst Name:]],[1]!Table1[Analyst Name],[1]!Table1[Deloitte Email ID])</f>
        <v>#REF!</v>
      </c>
      <c r="C249" s="20" t="e">
        <f>_xlfn.XLOOKUP(Christus_Emp_Table[[#This Row],[Analyst Name:]],[1]!Table1[Analyst Name],[1]!Table1[Module])</f>
        <v>#REF!</v>
      </c>
      <c r="D249" s="20" t="e">
        <f>_xlfn.XLOOKUP(Christus_Emp_Table[[#This Row],[Analyst Name:]],[1]!Table1[Analyst Name],[1]!Table1[Location])</f>
        <v>#REF!</v>
      </c>
      <c r="E249" s="20" t="s">
        <v>15</v>
      </c>
      <c r="F249" s="21">
        <v>45905</v>
      </c>
      <c r="G249" s="21">
        <v>45905</v>
      </c>
      <c r="H249" s="20" t="s">
        <v>15</v>
      </c>
      <c r="I249" s="20" t="s">
        <v>16</v>
      </c>
      <c r="J249" s="20">
        <f>NETWORKDAYS(Christus_Emp_Table[[#This Row],[From Date:]],Christus_Emp_Table[[#This Row],[To Date:]])</f>
        <v>1</v>
      </c>
      <c r="K249" s="20"/>
      <c r="L249" s="20" t="e">
        <f>_xlfn.XLOOKUP(Christus_Emp_Table[[#This Row],[Analyst Name:]],[1]!Table1[Analyst Name],[1]!Table1[Lead])</f>
        <v>#REF!</v>
      </c>
      <c r="M249" s="20" t="e">
        <f>_xlfn.XLOOKUP(Christus_Emp_Table[[#This Row],[Analyst Name:]],[1]!Table1[Analyst Name],[1]!Table1[Active/Inactive])</f>
        <v>#REF!</v>
      </c>
    </row>
    <row r="250" spans="1:13" x14ac:dyDescent="0.35">
      <c r="A250" s="19" t="s">
        <v>14</v>
      </c>
      <c r="B250" s="20" t="e">
        <f>_xlfn.XLOOKUP(Christus_Emp_Table[[#This Row],[Analyst Name:]],[1]!Table1[Analyst Name],[1]!Table1[Deloitte Email ID])</f>
        <v>#REF!</v>
      </c>
      <c r="C250" s="20" t="e">
        <f>_xlfn.XLOOKUP(Christus_Emp_Table[[#This Row],[Analyst Name:]],[1]!Table1[Analyst Name],[1]!Table1[Module])</f>
        <v>#REF!</v>
      </c>
      <c r="D250" s="20" t="e">
        <f>_xlfn.XLOOKUP(Christus_Emp_Table[[#This Row],[Analyst Name:]],[1]!Table1[Analyst Name],[1]!Table1[Location])</f>
        <v>#REF!</v>
      </c>
      <c r="E250" s="20" t="s">
        <v>23</v>
      </c>
      <c r="F250" s="21">
        <v>45915</v>
      </c>
      <c r="G250" s="21">
        <v>45915</v>
      </c>
      <c r="H250" s="20" t="s">
        <v>23</v>
      </c>
      <c r="I250" s="20" t="s">
        <v>16</v>
      </c>
      <c r="J250" s="20">
        <f>NETWORKDAYS(Christus_Emp_Table[[#This Row],[From Date:]],Christus_Emp_Table[[#This Row],[To Date:]])</f>
        <v>1</v>
      </c>
      <c r="K250" s="20"/>
      <c r="L250" s="20" t="e">
        <f>_xlfn.XLOOKUP(Christus_Emp_Table[[#This Row],[Analyst Name:]],[1]!Table1[Analyst Name],[1]!Table1[Lead])</f>
        <v>#REF!</v>
      </c>
      <c r="M250" s="20" t="e">
        <f>_xlfn.XLOOKUP(Christus_Emp_Table[[#This Row],[Analyst Name:]],[1]!Table1[Analyst Name],[1]!Table1[Active/Inactive])</f>
        <v>#REF!</v>
      </c>
    </row>
    <row r="251" spans="1:13" x14ac:dyDescent="0.35">
      <c r="A251" s="19" t="s">
        <v>14</v>
      </c>
      <c r="B251" s="20" t="e">
        <f>_xlfn.XLOOKUP(Christus_Emp_Table[[#This Row],[Analyst Name:]],[1]!Table1[Analyst Name],[1]!Table1[Deloitte Email ID])</f>
        <v>#REF!</v>
      </c>
      <c r="C251" s="20" t="e">
        <f>_xlfn.XLOOKUP(Christus_Emp_Table[[#This Row],[Analyst Name:]],[1]!Table1[Analyst Name],[1]!Table1[Module])</f>
        <v>#REF!</v>
      </c>
      <c r="D251" s="20" t="e">
        <f>_xlfn.XLOOKUP(Christus_Emp_Table[[#This Row],[Analyst Name:]],[1]!Table1[Analyst Name],[1]!Table1[Location])</f>
        <v>#REF!</v>
      </c>
      <c r="E251" s="20" t="s">
        <v>15</v>
      </c>
      <c r="F251" s="21">
        <v>45926</v>
      </c>
      <c r="G251" s="21">
        <v>45930</v>
      </c>
      <c r="H251" s="20" t="s">
        <v>15</v>
      </c>
      <c r="I251" s="20" t="s">
        <v>16</v>
      </c>
      <c r="J251" s="20">
        <f>NETWORKDAYS(Christus_Emp_Table[[#This Row],[From Date:]],Christus_Emp_Table[[#This Row],[To Date:]])</f>
        <v>3</v>
      </c>
      <c r="K251" s="20"/>
      <c r="L251" s="20" t="e">
        <f>_xlfn.XLOOKUP(Christus_Emp_Table[[#This Row],[Analyst Name:]],[1]!Table1[Analyst Name],[1]!Table1[Lead])</f>
        <v>#REF!</v>
      </c>
      <c r="M251" s="20" t="e">
        <f>_xlfn.XLOOKUP(Christus_Emp_Table[[#This Row],[Analyst Name:]],[1]!Table1[Analyst Name],[1]!Table1[Active/Inactive])</f>
        <v>#REF!</v>
      </c>
    </row>
    <row r="252" spans="1:13" x14ac:dyDescent="0.35">
      <c r="A252" s="19" t="s">
        <v>43</v>
      </c>
      <c r="B252" s="20" t="e">
        <f>_xlfn.XLOOKUP(Christus_Emp_Table[[#This Row],[Analyst Name:]],[1]!Table1[Analyst Name],[1]!Table1[Deloitte Email ID])</f>
        <v>#REF!</v>
      </c>
      <c r="C252" s="20" t="e">
        <f>_xlfn.XLOOKUP(Christus_Emp_Table[[#This Row],[Analyst Name:]],[1]!Table1[Analyst Name],[1]!Table1[Module])</f>
        <v>#REF!</v>
      </c>
      <c r="D252" s="20" t="e">
        <f>_xlfn.XLOOKUP(Christus_Emp_Table[[#This Row],[Analyst Name:]],[1]!Table1[Analyst Name],[1]!Table1[Location])</f>
        <v>#REF!</v>
      </c>
      <c r="E252" s="20" t="s">
        <v>15</v>
      </c>
      <c r="F252" s="21">
        <v>45933</v>
      </c>
      <c r="G252" s="21">
        <v>45933</v>
      </c>
      <c r="H252" s="20" t="s">
        <v>15</v>
      </c>
      <c r="I252" s="20" t="s">
        <v>16</v>
      </c>
      <c r="J252" s="20">
        <f>NETWORKDAYS(Christus_Emp_Table[[#This Row],[From Date:]],Christus_Emp_Table[[#This Row],[To Date:]])</f>
        <v>1</v>
      </c>
      <c r="K252" s="20"/>
      <c r="L252" s="20" t="e">
        <f>_xlfn.XLOOKUP(Christus_Emp_Table[[#This Row],[Analyst Name:]],[1]!Table1[Analyst Name],[1]!Table1[Lead])</f>
        <v>#REF!</v>
      </c>
      <c r="M252" s="20" t="e">
        <f>_xlfn.XLOOKUP(Christus_Emp_Table[[#This Row],[Analyst Name:]],[1]!Table1[Analyst Name],[1]!Table1[Active/Inactive])</f>
        <v>#REF!</v>
      </c>
    </row>
    <row r="253" spans="1:13" x14ac:dyDescent="0.35">
      <c r="A253" s="19" t="s">
        <v>43</v>
      </c>
      <c r="B253" s="20" t="e">
        <f>_xlfn.XLOOKUP(Christus_Emp_Table[[#This Row],[Analyst Name:]],[1]!Table1[Analyst Name],[1]!Table1[Deloitte Email ID])</f>
        <v>#REF!</v>
      </c>
      <c r="C253" s="20" t="e">
        <f>_xlfn.XLOOKUP(Christus_Emp_Table[[#This Row],[Analyst Name:]],[1]!Table1[Analyst Name],[1]!Table1[Module])</f>
        <v>#REF!</v>
      </c>
      <c r="D253" s="20" t="e">
        <f>_xlfn.XLOOKUP(Christus_Emp_Table[[#This Row],[Analyst Name:]],[1]!Table1[Analyst Name],[1]!Table1[Location])</f>
        <v>#REF!</v>
      </c>
      <c r="E253" s="22" t="s">
        <v>19</v>
      </c>
      <c r="F253" s="21">
        <v>45954</v>
      </c>
      <c r="G253" s="21">
        <v>45961</v>
      </c>
      <c r="H253" s="20" t="s">
        <v>20</v>
      </c>
      <c r="I253" s="20" t="s">
        <v>16</v>
      </c>
      <c r="J253" s="20">
        <f>NETWORKDAYS(Christus_Emp_Table[[#This Row],[From Date:]],Christus_Emp_Table[[#This Row],[To Date:]])</f>
        <v>6</v>
      </c>
      <c r="K253" s="20"/>
      <c r="L253" s="20" t="e">
        <f>_xlfn.XLOOKUP(Christus_Emp_Table[[#This Row],[Analyst Name:]],[1]!Table1[Analyst Name],[1]!Table1[Lead])</f>
        <v>#REF!</v>
      </c>
      <c r="M253" s="20" t="e">
        <f>_xlfn.XLOOKUP(Christus_Emp_Table[[#This Row],[Analyst Name:]],[1]!Table1[Analyst Name],[1]!Table1[Active/Inactive])</f>
        <v>#REF!</v>
      </c>
    </row>
    <row r="254" spans="1:13" x14ac:dyDescent="0.35">
      <c r="A254" s="19" t="s">
        <v>46</v>
      </c>
      <c r="B254" s="20" t="e">
        <f>_xlfn.XLOOKUP(Christus_Emp_Table[[#This Row],[Analyst Name:]],[1]!Table1[Analyst Name],[1]!Table1[Deloitte Email ID])</f>
        <v>#REF!</v>
      </c>
      <c r="C254" s="20" t="e">
        <f>_xlfn.XLOOKUP(Christus_Emp_Table[[#This Row],[Analyst Name:]],[1]!Table1[Analyst Name],[1]!Table1[Module])</f>
        <v>#REF!</v>
      </c>
      <c r="D254" s="20" t="e">
        <f>_xlfn.XLOOKUP(Christus_Emp_Table[[#This Row],[Analyst Name:]],[1]!Table1[Analyst Name],[1]!Table1[Location])</f>
        <v>#REF!</v>
      </c>
      <c r="E254" s="20" t="s">
        <v>15</v>
      </c>
      <c r="F254" s="21">
        <v>45953</v>
      </c>
      <c r="G254" s="21">
        <v>45953</v>
      </c>
      <c r="H254" s="20" t="s">
        <v>15</v>
      </c>
      <c r="I254" s="20" t="s">
        <v>16</v>
      </c>
      <c r="J254" s="20">
        <f>NETWORKDAYS(Christus_Emp_Table[[#This Row],[From Date:]],Christus_Emp_Table[[#This Row],[To Date:]])</f>
        <v>1</v>
      </c>
      <c r="K254" s="20"/>
      <c r="L254" s="20" t="e">
        <f>_xlfn.XLOOKUP(Christus_Emp_Table[[#This Row],[Analyst Name:]],[1]!Table1[Analyst Name],[1]!Table1[Lead])</f>
        <v>#REF!</v>
      </c>
      <c r="M254" s="20" t="e">
        <f>_xlfn.XLOOKUP(Christus_Emp_Table[[#This Row],[Analyst Name:]],[1]!Table1[Analyst Name],[1]!Table1[Active/Inactive])</f>
        <v>#REF!</v>
      </c>
    </row>
    <row r="255" spans="1:13" x14ac:dyDescent="0.35">
      <c r="A255" s="19" t="s">
        <v>46</v>
      </c>
      <c r="B255" s="20" t="e">
        <f>_xlfn.XLOOKUP(Christus_Emp_Table[[#This Row],[Analyst Name:]],[1]!Table1[Analyst Name],[1]!Table1[Deloitte Email ID])</f>
        <v>#REF!</v>
      </c>
      <c r="C255" s="20" t="e">
        <f>_xlfn.XLOOKUP(Christus_Emp_Table[[#This Row],[Analyst Name:]],[1]!Table1[Analyst Name],[1]!Table1[Module])</f>
        <v>#REF!</v>
      </c>
      <c r="D255" s="20" t="e">
        <f>_xlfn.XLOOKUP(Christus_Emp_Table[[#This Row],[Analyst Name:]],[1]!Table1[Analyst Name],[1]!Table1[Location])</f>
        <v>#REF!</v>
      </c>
      <c r="E255" s="22" t="s">
        <v>19</v>
      </c>
      <c r="F255" s="21">
        <v>45959</v>
      </c>
      <c r="G255" s="21">
        <v>45959</v>
      </c>
      <c r="H255" s="20" t="s">
        <v>20</v>
      </c>
      <c r="I255" s="20" t="s">
        <v>16</v>
      </c>
      <c r="J255" s="20">
        <f>NETWORKDAYS(Christus_Emp_Table[[#This Row],[From Date:]],Christus_Emp_Table[[#This Row],[To Date:]])</f>
        <v>1</v>
      </c>
      <c r="K255" s="20"/>
      <c r="L255" s="20" t="e">
        <f>_xlfn.XLOOKUP(Christus_Emp_Table[[#This Row],[Analyst Name:]],[1]!Table1[Analyst Name],[1]!Table1[Lead])</f>
        <v>#REF!</v>
      </c>
      <c r="M255" s="20" t="e">
        <f>_xlfn.XLOOKUP(Christus_Emp_Table[[#This Row],[Analyst Name:]],[1]!Table1[Analyst Name],[1]!Table1[Active/Inactive])</f>
        <v>#REF!</v>
      </c>
    </row>
    <row r="256" spans="1:13" x14ac:dyDescent="0.35">
      <c r="A256" s="19" t="s">
        <v>45</v>
      </c>
      <c r="B256" s="20" t="e">
        <f>_xlfn.XLOOKUP(Christus_Emp_Table[[#This Row],[Analyst Name:]],[1]!Table1[Analyst Name],[1]!Table1[Deloitte Email ID])</f>
        <v>#REF!</v>
      </c>
      <c r="C256" s="20" t="e">
        <f>_xlfn.XLOOKUP(Christus_Emp_Table[[#This Row],[Analyst Name:]],[1]!Table1[Analyst Name],[1]!Table1[Module])</f>
        <v>#REF!</v>
      </c>
      <c r="D256" s="20" t="e">
        <f>_xlfn.XLOOKUP(Christus_Emp_Table[[#This Row],[Analyst Name:]],[1]!Table1[Analyst Name],[1]!Table1[Location])</f>
        <v>#REF!</v>
      </c>
      <c r="E256" s="22" t="s">
        <v>19</v>
      </c>
      <c r="F256" s="21">
        <v>45953</v>
      </c>
      <c r="G256" s="21">
        <v>45953</v>
      </c>
      <c r="H256" s="20" t="s">
        <v>20</v>
      </c>
      <c r="I256" s="20" t="s">
        <v>16</v>
      </c>
      <c r="J256" s="20">
        <f>NETWORKDAYS(Christus_Emp_Table[[#This Row],[From Date:]],Christus_Emp_Table[[#This Row],[To Date:]])</f>
        <v>1</v>
      </c>
      <c r="K256" s="20"/>
      <c r="L256" s="20" t="e">
        <f>_xlfn.XLOOKUP(Christus_Emp_Table[[#This Row],[Analyst Name:]],[1]!Table1[Analyst Name],[1]!Table1[Lead])</f>
        <v>#REF!</v>
      </c>
      <c r="M256" s="20" t="e">
        <f>_xlfn.XLOOKUP(Christus_Emp_Table[[#This Row],[Analyst Name:]],[1]!Table1[Analyst Name],[1]!Table1[Active/Inactive])</f>
        <v>#REF!</v>
      </c>
    </row>
    <row r="257" spans="1:13" x14ac:dyDescent="0.35">
      <c r="A257" s="19" t="s">
        <v>45</v>
      </c>
      <c r="B257" s="20" t="e">
        <f>_xlfn.XLOOKUP(Christus_Emp_Table[[#This Row],[Analyst Name:]],[1]!Table1[Analyst Name],[1]!Table1[Deloitte Email ID])</f>
        <v>#REF!</v>
      </c>
      <c r="C257" s="20" t="e">
        <f>_xlfn.XLOOKUP(Christus_Emp_Table[[#This Row],[Analyst Name:]],[1]!Table1[Analyst Name],[1]!Table1[Module])</f>
        <v>#REF!</v>
      </c>
      <c r="D257" s="20" t="e">
        <f>_xlfn.XLOOKUP(Christus_Emp_Table[[#This Row],[Analyst Name:]],[1]!Table1[Analyst Name],[1]!Table1[Location])</f>
        <v>#REF!</v>
      </c>
      <c r="E257" s="20" t="s">
        <v>15</v>
      </c>
      <c r="F257" s="21">
        <v>45933</v>
      </c>
      <c r="G257" s="21">
        <v>45933</v>
      </c>
      <c r="H257" s="20" t="s">
        <v>15</v>
      </c>
      <c r="I257" s="20" t="s">
        <v>16</v>
      </c>
      <c r="J257" s="20">
        <f>NETWORKDAYS(Christus_Emp_Table[[#This Row],[From Date:]],Christus_Emp_Table[[#This Row],[To Date:]])</f>
        <v>1</v>
      </c>
      <c r="K257" s="20"/>
      <c r="L257" s="20" t="e">
        <f>_xlfn.XLOOKUP(Christus_Emp_Table[[#This Row],[Analyst Name:]],[1]!Table1[Analyst Name],[1]!Table1[Lead])</f>
        <v>#REF!</v>
      </c>
      <c r="M257" s="20" t="e">
        <f>_xlfn.XLOOKUP(Christus_Emp_Table[[#This Row],[Analyst Name:]],[1]!Table1[Analyst Name],[1]!Table1[Active/Inactive])</f>
        <v>#REF!</v>
      </c>
    </row>
    <row r="258" spans="1:13" x14ac:dyDescent="0.35">
      <c r="A258" s="19" t="s">
        <v>45</v>
      </c>
      <c r="B258" s="20" t="e">
        <f>_xlfn.XLOOKUP(Christus_Emp_Table[[#This Row],[Analyst Name:]],[1]!Table1[Analyst Name],[1]!Table1[Deloitte Email ID])</f>
        <v>#REF!</v>
      </c>
      <c r="C258" s="20" t="e">
        <f>_xlfn.XLOOKUP(Christus_Emp_Table[[#This Row],[Analyst Name:]],[1]!Table1[Analyst Name],[1]!Table1[Module])</f>
        <v>#REF!</v>
      </c>
      <c r="D258" s="20" t="e">
        <f>_xlfn.XLOOKUP(Christus_Emp_Table[[#This Row],[Analyst Name:]],[1]!Table1[Analyst Name],[1]!Table1[Location])</f>
        <v>#REF!</v>
      </c>
      <c r="E258" s="20" t="s">
        <v>15</v>
      </c>
      <c r="F258" s="21">
        <v>45938</v>
      </c>
      <c r="G258" s="21">
        <v>45938</v>
      </c>
      <c r="H258" s="20" t="s">
        <v>15</v>
      </c>
      <c r="I258" s="20" t="s">
        <v>16</v>
      </c>
      <c r="J258" s="20">
        <f>NETWORKDAYS(Christus_Emp_Table[[#This Row],[From Date:]],Christus_Emp_Table[[#This Row],[To Date:]])</f>
        <v>1</v>
      </c>
      <c r="K258" s="20"/>
      <c r="L258" s="20" t="e">
        <f>_xlfn.XLOOKUP(Christus_Emp_Table[[#This Row],[Analyst Name:]],[1]!Table1[Analyst Name],[1]!Table1[Lead])</f>
        <v>#REF!</v>
      </c>
      <c r="M258" s="20" t="e">
        <f>_xlfn.XLOOKUP(Christus_Emp_Table[[#This Row],[Analyst Name:]],[1]!Table1[Analyst Name],[1]!Table1[Active/Inactive])</f>
        <v>#REF!</v>
      </c>
    </row>
    <row r="259" spans="1:13" x14ac:dyDescent="0.35">
      <c r="A259" s="19" t="s">
        <v>41</v>
      </c>
      <c r="B259" s="20" t="e">
        <f>_xlfn.XLOOKUP(Christus_Emp_Table[[#This Row],[Analyst Name:]],[1]!Table1[Analyst Name],[1]!Table1[Deloitte Email ID])</f>
        <v>#REF!</v>
      </c>
      <c r="C259" s="20" t="e">
        <f>_xlfn.XLOOKUP(Christus_Emp_Table[[#This Row],[Analyst Name:]],[1]!Table1[Analyst Name],[1]!Table1[Module])</f>
        <v>#REF!</v>
      </c>
      <c r="D259" s="20" t="e">
        <f>_xlfn.XLOOKUP(Christus_Emp_Table[[#This Row],[Analyst Name:]],[1]!Table1[Analyst Name],[1]!Table1[Location])</f>
        <v>#REF!</v>
      </c>
      <c r="E259" s="20" t="s">
        <v>15</v>
      </c>
      <c r="F259" s="21">
        <v>45952</v>
      </c>
      <c r="G259" s="21">
        <v>45952</v>
      </c>
      <c r="H259" s="20" t="s">
        <v>15</v>
      </c>
      <c r="I259" s="20" t="s">
        <v>16</v>
      </c>
      <c r="J259" s="20">
        <f>NETWORKDAYS(Christus_Emp_Table[[#This Row],[From Date:]],Christus_Emp_Table[[#This Row],[To Date:]])</f>
        <v>1</v>
      </c>
      <c r="K259" s="20"/>
      <c r="L259" s="20" t="e">
        <f>_xlfn.XLOOKUP(Christus_Emp_Table[[#This Row],[Analyst Name:]],[1]!Table1[Analyst Name],[1]!Table1[Lead])</f>
        <v>#REF!</v>
      </c>
      <c r="M259" s="20" t="e">
        <f>_xlfn.XLOOKUP(Christus_Emp_Table[[#This Row],[Analyst Name:]],[1]!Table1[Analyst Name],[1]!Table1[Active/Inactive])</f>
        <v>#REF!</v>
      </c>
    </row>
    <row r="260" spans="1:13" x14ac:dyDescent="0.35">
      <c r="A260" s="19" t="s">
        <v>41</v>
      </c>
      <c r="B260" s="20" t="e">
        <f>_xlfn.XLOOKUP(Christus_Emp_Table[[#This Row],[Analyst Name:]],[1]!Table1[Analyst Name],[1]!Table1[Deloitte Email ID])</f>
        <v>#REF!</v>
      </c>
      <c r="C260" s="20" t="e">
        <f>_xlfn.XLOOKUP(Christus_Emp_Table[[#This Row],[Analyst Name:]],[1]!Table1[Analyst Name],[1]!Table1[Module])</f>
        <v>#REF!</v>
      </c>
      <c r="D260" s="20" t="e">
        <f>_xlfn.XLOOKUP(Christus_Emp_Table[[#This Row],[Analyst Name:]],[1]!Table1[Analyst Name],[1]!Table1[Location])</f>
        <v>#REF!</v>
      </c>
      <c r="E260" s="22" t="s">
        <v>19</v>
      </c>
      <c r="F260" s="21">
        <v>45957</v>
      </c>
      <c r="G260" s="21">
        <v>45957</v>
      </c>
      <c r="H260" s="20" t="s">
        <v>20</v>
      </c>
      <c r="I260" s="20" t="s">
        <v>16</v>
      </c>
      <c r="J260" s="20">
        <f>NETWORKDAYS(Christus_Emp_Table[[#This Row],[From Date:]],Christus_Emp_Table[[#This Row],[To Date:]])</f>
        <v>1</v>
      </c>
      <c r="K260" s="20"/>
      <c r="L260" s="20" t="e">
        <f>_xlfn.XLOOKUP(Christus_Emp_Table[[#This Row],[Analyst Name:]],[1]!Table1[Analyst Name],[1]!Table1[Lead])</f>
        <v>#REF!</v>
      </c>
      <c r="M260" s="20" t="e">
        <f>_xlfn.XLOOKUP(Christus_Emp_Table[[#This Row],[Analyst Name:]],[1]!Table1[Analyst Name],[1]!Table1[Active/Inactive])</f>
        <v>#REF!</v>
      </c>
    </row>
    <row r="261" spans="1:13" x14ac:dyDescent="0.35">
      <c r="A261" s="19" t="s">
        <v>17</v>
      </c>
      <c r="B261" s="20" t="e">
        <f>_xlfn.XLOOKUP(Christus_Emp_Table[[#This Row],[Analyst Name:]],[1]!Table1[Analyst Name],[1]!Table1[Deloitte Email ID])</f>
        <v>#REF!</v>
      </c>
      <c r="C261" s="20" t="e">
        <f>_xlfn.XLOOKUP(Christus_Emp_Table[[#This Row],[Analyst Name:]],[1]!Table1[Analyst Name],[1]!Table1[Module])</f>
        <v>#REF!</v>
      </c>
      <c r="D261" s="20" t="e">
        <f>_xlfn.XLOOKUP(Christus_Emp_Table[[#This Row],[Analyst Name:]],[1]!Table1[Analyst Name],[1]!Table1[Location])</f>
        <v>#REF!</v>
      </c>
      <c r="E261" s="22" t="s">
        <v>19</v>
      </c>
      <c r="F261" s="21">
        <v>45954</v>
      </c>
      <c r="G261" s="21">
        <v>45954</v>
      </c>
      <c r="H261" s="20" t="s">
        <v>20</v>
      </c>
      <c r="I261" s="20" t="s">
        <v>16</v>
      </c>
      <c r="J261" s="20">
        <f>NETWORKDAYS(Christus_Emp_Table[[#This Row],[From Date:]],Christus_Emp_Table[[#This Row],[To Date:]])</f>
        <v>1</v>
      </c>
      <c r="K261" s="20"/>
      <c r="L261" s="20" t="e">
        <f>_xlfn.XLOOKUP(Christus_Emp_Table[[#This Row],[Analyst Name:]],[1]!Table1[Analyst Name],[1]!Table1[Lead])</f>
        <v>#REF!</v>
      </c>
      <c r="M261" s="20" t="e">
        <f>_xlfn.XLOOKUP(Christus_Emp_Table[[#This Row],[Analyst Name:]],[1]!Table1[Analyst Name],[1]!Table1[Active/Inactive])</f>
        <v>#REF!</v>
      </c>
    </row>
    <row r="262" spans="1:13" x14ac:dyDescent="0.35">
      <c r="A262" s="19" t="s">
        <v>17</v>
      </c>
      <c r="B262" s="20" t="e">
        <f>_xlfn.XLOOKUP(Christus_Emp_Table[[#This Row],[Analyst Name:]],[1]!Table1[Analyst Name],[1]!Table1[Deloitte Email ID])</f>
        <v>#REF!</v>
      </c>
      <c r="C262" s="20" t="e">
        <f>_xlfn.XLOOKUP(Christus_Emp_Table[[#This Row],[Analyst Name:]],[1]!Table1[Analyst Name],[1]!Table1[Module])</f>
        <v>#REF!</v>
      </c>
      <c r="D262" s="20" t="e">
        <f>_xlfn.XLOOKUP(Christus_Emp_Table[[#This Row],[Analyst Name:]],[1]!Table1[Analyst Name],[1]!Table1[Location])</f>
        <v>#REF!</v>
      </c>
      <c r="E262" s="20" t="s">
        <v>23</v>
      </c>
      <c r="F262" s="21">
        <v>45953</v>
      </c>
      <c r="G262" s="21">
        <v>45953</v>
      </c>
      <c r="H262" s="20" t="s">
        <v>23</v>
      </c>
      <c r="I262" s="20" t="s">
        <v>16</v>
      </c>
      <c r="J262" s="20">
        <f>NETWORKDAYS(Christus_Emp_Table[[#This Row],[From Date:]],Christus_Emp_Table[[#This Row],[To Date:]])</f>
        <v>1</v>
      </c>
      <c r="K262" s="20"/>
      <c r="L262" s="20" t="e">
        <f>_xlfn.XLOOKUP(Christus_Emp_Table[[#This Row],[Analyst Name:]],[1]!Table1[Analyst Name],[1]!Table1[Lead])</f>
        <v>#REF!</v>
      </c>
      <c r="M262" s="20" t="e">
        <f>_xlfn.XLOOKUP(Christus_Emp_Table[[#This Row],[Analyst Name:]],[1]!Table1[Analyst Name],[1]!Table1[Active/Inactive])</f>
        <v>#REF!</v>
      </c>
    </row>
    <row r="263" spans="1:13" x14ac:dyDescent="0.35">
      <c r="A263" s="19" t="s">
        <v>18</v>
      </c>
      <c r="B263" s="20" t="e">
        <f>_xlfn.XLOOKUP(Christus_Emp_Table[[#This Row],[Analyst Name:]],[1]!Table1[Analyst Name],[1]!Table1[Deloitte Email ID])</f>
        <v>#REF!</v>
      </c>
      <c r="C263" s="20" t="e">
        <f>_xlfn.XLOOKUP(Christus_Emp_Table[[#This Row],[Analyst Name:]],[1]!Table1[Analyst Name],[1]!Table1[Module])</f>
        <v>#REF!</v>
      </c>
      <c r="D263" s="20" t="e">
        <f>_xlfn.XLOOKUP(Christus_Emp_Table[[#This Row],[Analyst Name:]],[1]!Table1[Analyst Name],[1]!Table1[Location])</f>
        <v>#REF!</v>
      </c>
      <c r="E263" s="20" t="s">
        <v>15</v>
      </c>
      <c r="F263" s="21">
        <v>45931</v>
      </c>
      <c r="G263" s="21">
        <v>45933</v>
      </c>
      <c r="H263" s="20" t="s">
        <v>15</v>
      </c>
      <c r="I263" s="20" t="s">
        <v>16</v>
      </c>
      <c r="J263" s="20">
        <f>NETWORKDAYS(Christus_Emp_Table[[#This Row],[From Date:]],Christus_Emp_Table[[#This Row],[To Date:]])</f>
        <v>3</v>
      </c>
      <c r="K263" s="20"/>
      <c r="L263" s="20" t="e">
        <f>_xlfn.XLOOKUP(Christus_Emp_Table[[#This Row],[Analyst Name:]],[1]!Table1[Analyst Name],[1]!Table1[Lead])</f>
        <v>#REF!</v>
      </c>
      <c r="M263" s="20" t="e">
        <f>_xlfn.XLOOKUP(Christus_Emp_Table[[#This Row],[Analyst Name:]],[1]!Table1[Analyst Name],[1]!Table1[Active/Inactive])</f>
        <v>#REF!</v>
      </c>
    </row>
    <row r="264" spans="1:13" x14ac:dyDescent="0.35">
      <c r="A264" s="19" t="s">
        <v>21</v>
      </c>
      <c r="B264" s="20" t="e">
        <f>_xlfn.XLOOKUP(Christus_Emp_Table[[#This Row],[Analyst Name:]],[1]!Table1[Analyst Name],[1]!Table1[Deloitte Email ID])</f>
        <v>#REF!</v>
      </c>
      <c r="C264" s="20" t="e">
        <f>_xlfn.XLOOKUP(Christus_Emp_Table[[#This Row],[Analyst Name:]],[1]!Table1[Analyst Name],[1]!Table1[Module])</f>
        <v>#REF!</v>
      </c>
      <c r="D264" s="20" t="e">
        <f>_xlfn.XLOOKUP(Christus_Emp_Table[[#This Row],[Analyst Name:]],[1]!Table1[Analyst Name],[1]!Table1[Location])</f>
        <v>#REF!</v>
      </c>
      <c r="E264" s="20" t="s">
        <v>15</v>
      </c>
      <c r="F264" s="21">
        <v>45933</v>
      </c>
      <c r="G264" s="21">
        <v>45936</v>
      </c>
      <c r="H264" s="20" t="s">
        <v>15</v>
      </c>
      <c r="I264" s="20" t="s">
        <v>16</v>
      </c>
      <c r="J264" s="20">
        <f>NETWORKDAYS(Christus_Emp_Table[[#This Row],[From Date:]],Christus_Emp_Table[[#This Row],[To Date:]])</f>
        <v>2</v>
      </c>
      <c r="K264" s="20"/>
      <c r="L264" s="20" t="e">
        <f>_xlfn.XLOOKUP(Christus_Emp_Table[[#This Row],[Analyst Name:]],[1]!Table1[Analyst Name],[1]!Table1[Lead])</f>
        <v>#REF!</v>
      </c>
      <c r="M264" s="20" t="e">
        <f>_xlfn.XLOOKUP(Christus_Emp_Table[[#This Row],[Analyst Name:]],[1]!Table1[Analyst Name],[1]!Table1[Active/Inactive])</f>
        <v>#REF!</v>
      </c>
    </row>
    <row r="265" spans="1:13" x14ac:dyDescent="0.35">
      <c r="A265" s="19" t="s">
        <v>22</v>
      </c>
      <c r="B265" s="20" t="e">
        <f>_xlfn.XLOOKUP(Christus_Emp_Table[[#This Row],[Analyst Name:]],[1]!Table1[Analyst Name],[1]!Table1[Deloitte Email ID])</f>
        <v>#REF!</v>
      </c>
      <c r="C265" s="20" t="e">
        <f>_xlfn.XLOOKUP(Christus_Emp_Table[[#This Row],[Analyst Name:]],[1]!Table1[Analyst Name],[1]!Table1[Module])</f>
        <v>#REF!</v>
      </c>
      <c r="D265" s="20" t="e">
        <f>_xlfn.XLOOKUP(Christus_Emp_Table[[#This Row],[Analyst Name:]],[1]!Table1[Analyst Name],[1]!Table1[Location])</f>
        <v>#REF!</v>
      </c>
      <c r="E265" s="20" t="s">
        <v>15</v>
      </c>
      <c r="F265" s="21">
        <v>45933</v>
      </c>
      <c r="G265" s="21">
        <v>45933</v>
      </c>
      <c r="H265" s="20" t="s">
        <v>15</v>
      </c>
      <c r="I265" s="20" t="s">
        <v>16</v>
      </c>
      <c r="J265" s="20">
        <f>NETWORKDAYS(Christus_Emp_Table[[#This Row],[From Date:]],Christus_Emp_Table[[#This Row],[To Date:]])</f>
        <v>1</v>
      </c>
      <c r="K265" s="20"/>
      <c r="L265" s="20" t="e">
        <f>_xlfn.XLOOKUP(Christus_Emp_Table[[#This Row],[Analyst Name:]],[1]!Table1[Analyst Name],[1]!Table1[Lead])</f>
        <v>#REF!</v>
      </c>
      <c r="M265" s="20" t="e">
        <f>_xlfn.XLOOKUP(Christus_Emp_Table[[#This Row],[Analyst Name:]],[1]!Table1[Analyst Name],[1]!Table1[Active/Inactive])</f>
        <v>#REF!</v>
      </c>
    </row>
    <row r="266" spans="1:13" x14ac:dyDescent="0.35">
      <c r="A266" s="19" t="s">
        <v>22</v>
      </c>
      <c r="B266" s="20" t="e">
        <f>_xlfn.XLOOKUP(Christus_Emp_Table[[#This Row],[Analyst Name:]],[1]!Table1[Analyst Name],[1]!Table1[Deloitte Email ID])</f>
        <v>#REF!</v>
      </c>
      <c r="C266" s="20" t="e">
        <f>_xlfn.XLOOKUP(Christus_Emp_Table[[#This Row],[Analyst Name:]],[1]!Table1[Analyst Name],[1]!Table1[Module])</f>
        <v>#REF!</v>
      </c>
      <c r="D266" s="20" t="e">
        <f>_xlfn.XLOOKUP(Christus_Emp_Table[[#This Row],[Analyst Name:]],[1]!Table1[Analyst Name],[1]!Table1[Location])</f>
        <v>#REF!</v>
      </c>
      <c r="E266" s="20" t="s">
        <v>15</v>
      </c>
      <c r="F266" s="21">
        <v>45952</v>
      </c>
      <c r="G266" s="21">
        <v>45953</v>
      </c>
      <c r="H266" s="20" t="s">
        <v>15</v>
      </c>
      <c r="I266" s="20" t="s">
        <v>16</v>
      </c>
      <c r="J266" s="20">
        <f>NETWORKDAYS(Christus_Emp_Table[[#This Row],[From Date:]],Christus_Emp_Table[[#This Row],[To Date:]])</f>
        <v>2</v>
      </c>
      <c r="K266" s="20"/>
      <c r="L266" s="20" t="e">
        <f>_xlfn.XLOOKUP(Christus_Emp_Table[[#This Row],[Analyst Name:]],[1]!Table1[Analyst Name],[1]!Table1[Lead])</f>
        <v>#REF!</v>
      </c>
      <c r="M266" s="20" t="e">
        <f>_xlfn.XLOOKUP(Christus_Emp_Table[[#This Row],[Analyst Name:]],[1]!Table1[Analyst Name],[1]!Table1[Active/Inactive])</f>
        <v>#REF!</v>
      </c>
    </row>
    <row r="267" spans="1:13" x14ac:dyDescent="0.35">
      <c r="A267" s="19" t="s">
        <v>24</v>
      </c>
      <c r="B267" s="20" t="e">
        <f>_xlfn.XLOOKUP(Christus_Emp_Table[[#This Row],[Analyst Name:]],[1]!Table1[Analyst Name],[1]!Table1[Deloitte Email ID])</f>
        <v>#REF!</v>
      </c>
      <c r="C267" s="20" t="e">
        <f>_xlfn.XLOOKUP(Christus_Emp_Table[[#This Row],[Analyst Name:]],[1]!Table1[Analyst Name],[1]!Table1[Module])</f>
        <v>#REF!</v>
      </c>
      <c r="D267" s="20" t="e">
        <f>_xlfn.XLOOKUP(Christus_Emp_Table[[#This Row],[Analyst Name:]],[1]!Table1[Analyst Name],[1]!Table1[Location])</f>
        <v>#REF!</v>
      </c>
      <c r="E267" s="20" t="s">
        <v>15</v>
      </c>
      <c r="F267" s="21">
        <v>45933</v>
      </c>
      <c r="G267" s="21">
        <v>45933</v>
      </c>
      <c r="H267" s="20" t="s">
        <v>15</v>
      </c>
      <c r="I267" s="20" t="s">
        <v>16</v>
      </c>
      <c r="J267" s="20">
        <f>NETWORKDAYS(Christus_Emp_Table[[#This Row],[From Date:]],Christus_Emp_Table[[#This Row],[To Date:]])</f>
        <v>1</v>
      </c>
      <c r="K267" s="20"/>
      <c r="L267" s="20" t="e">
        <f>_xlfn.XLOOKUP(Christus_Emp_Table[[#This Row],[Analyst Name:]],[1]!Table1[Analyst Name],[1]!Table1[Lead])</f>
        <v>#REF!</v>
      </c>
      <c r="M267" s="20" t="e">
        <f>_xlfn.XLOOKUP(Christus_Emp_Table[[#This Row],[Analyst Name:]],[1]!Table1[Analyst Name],[1]!Table1[Active/Inactive])</f>
        <v>#REF!</v>
      </c>
    </row>
    <row r="268" spans="1:13" x14ac:dyDescent="0.35">
      <c r="A268" s="19" t="s">
        <v>25</v>
      </c>
      <c r="B268" s="20" t="e">
        <f>_xlfn.XLOOKUP(Christus_Emp_Table[[#This Row],[Analyst Name:]],[1]!Table1[Analyst Name],[1]!Table1[Deloitte Email ID])</f>
        <v>#REF!</v>
      </c>
      <c r="C268" s="20" t="e">
        <f>_xlfn.XLOOKUP(Christus_Emp_Table[[#This Row],[Analyst Name:]],[1]!Table1[Analyst Name],[1]!Table1[Module])</f>
        <v>#REF!</v>
      </c>
      <c r="D268" s="20" t="e">
        <f>_xlfn.XLOOKUP(Christus_Emp_Table[[#This Row],[Analyst Name:]],[1]!Table1[Analyst Name],[1]!Table1[Location])</f>
        <v>#REF!</v>
      </c>
      <c r="E268" s="20" t="s">
        <v>15</v>
      </c>
      <c r="F268" s="21">
        <v>45931</v>
      </c>
      <c r="G268" s="21">
        <v>45933</v>
      </c>
      <c r="H268" s="20" t="s">
        <v>15</v>
      </c>
      <c r="I268" s="20" t="s">
        <v>16</v>
      </c>
      <c r="J268" s="20">
        <f>NETWORKDAYS(Christus_Emp_Table[[#This Row],[From Date:]],Christus_Emp_Table[[#This Row],[To Date:]])</f>
        <v>3</v>
      </c>
      <c r="K268" s="20"/>
      <c r="L268" s="20" t="e">
        <f>_xlfn.XLOOKUP(Christus_Emp_Table[[#This Row],[Analyst Name:]],[1]!Table1[Analyst Name],[1]!Table1[Lead])</f>
        <v>#REF!</v>
      </c>
      <c r="M268" s="20" t="e">
        <f>_xlfn.XLOOKUP(Christus_Emp_Table[[#This Row],[Analyst Name:]],[1]!Table1[Analyst Name],[1]!Table1[Active/Inactive])</f>
        <v>#REF!</v>
      </c>
    </row>
    <row r="269" spans="1:13" x14ac:dyDescent="0.35">
      <c r="A269" s="19" t="s">
        <v>38</v>
      </c>
      <c r="B269" s="20" t="e">
        <f>_xlfn.XLOOKUP(Christus_Emp_Table[[#This Row],[Analyst Name:]],[1]!Table1[Analyst Name],[1]!Table1[Deloitte Email ID])</f>
        <v>#REF!</v>
      </c>
      <c r="C269" s="20" t="e">
        <f>_xlfn.XLOOKUP(Christus_Emp_Table[[#This Row],[Analyst Name:]],[1]!Table1[Analyst Name],[1]!Table1[Module])</f>
        <v>#REF!</v>
      </c>
      <c r="D269" s="20" t="e">
        <f>_xlfn.XLOOKUP(Christus_Emp_Table[[#This Row],[Analyst Name:]],[1]!Table1[Analyst Name],[1]!Table1[Location])</f>
        <v>#REF!</v>
      </c>
      <c r="E269" s="20" t="s">
        <v>15</v>
      </c>
      <c r="F269" s="21">
        <v>45931</v>
      </c>
      <c r="G269" s="21">
        <v>45940</v>
      </c>
      <c r="H269" s="20" t="s">
        <v>15</v>
      </c>
      <c r="I269" s="20" t="s">
        <v>16</v>
      </c>
      <c r="J269" s="20">
        <f>NETWORKDAYS(Christus_Emp_Table[[#This Row],[From Date:]],Christus_Emp_Table[[#This Row],[To Date:]])</f>
        <v>8</v>
      </c>
      <c r="K269" s="20"/>
      <c r="L269" s="20" t="e">
        <f>_xlfn.XLOOKUP(Christus_Emp_Table[[#This Row],[Analyst Name:]],[1]!Table1[Analyst Name],[1]!Table1[Lead])</f>
        <v>#REF!</v>
      </c>
      <c r="M269" s="20" t="e">
        <f>_xlfn.XLOOKUP(Christus_Emp_Table[[#This Row],[Analyst Name:]],[1]!Table1[Analyst Name],[1]!Table1[Active/Inactive])</f>
        <v>#REF!</v>
      </c>
    </row>
    <row r="270" spans="1:13" x14ac:dyDescent="0.35">
      <c r="A270" s="19" t="s">
        <v>38</v>
      </c>
      <c r="B270" s="20" t="e">
        <f>_xlfn.XLOOKUP(Christus_Emp_Table[[#This Row],[Analyst Name:]],[1]!Table1[Analyst Name],[1]!Table1[Deloitte Email ID])</f>
        <v>#REF!</v>
      </c>
      <c r="C270" s="20" t="e">
        <f>_xlfn.XLOOKUP(Christus_Emp_Table[[#This Row],[Analyst Name:]],[1]!Table1[Analyst Name],[1]!Table1[Module])</f>
        <v>#REF!</v>
      </c>
      <c r="D270" s="20" t="e">
        <f>_xlfn.XLOOKUP(Christus_Emp_Table[[#This Row],[Analyst Name:]],[1]!Table1[Analyst Name],[1]!Table1[Location])</f>
        <v>#REF!</v>
      </c>
      <c r="E270" s="20" t="s">
        <v>15</v>
      </c>
      <c r="F270" s="21">
        <v>45952</v>
      </c>
      <c r="G270" s="21">
        <v>45961</v>
      </c>
      <c r="H270" s="20" t="s">
        <v>15</v>
      </c>
      <c r="I270" s="20" t="s">
        <v>16</v>
      </c>
      <c r="J270" s="20">
        <f>NETWORKDAYS(Christus_Emp_Table[[#This Row],[From Date:]],Christus_Emp_Table[[#This Row],[To Date:]])</f>
        <v>8</v>
      </c>
      <c r="K270" s="20"/>
      <c r="L270" s="20" t="e">
        <f>_xlfn.XLOOKUP(Christus_Emp_Table[[#This Row],[Analyst Name:]],[1]!Table1[Analyst Name],[1]!Table1[Lead])</f>
        <v>#REF!</v>
      </c>
      <c r="M270" s="20" t="e">
        <f>_xlfn.XLOOKUP(Christus_Emp_Table[[#This Row],[Analyst Name:]],[1]!Table1[Analyst Name],[1]!Table1[Active/Inactive])</f>
        <v>#REF!</v>
      </c>
    </row>
    <row r="271" spans="1:13" x14ac:dyDescent="0.35">
      <c r="A271" s="19" t="s">
        <v>26</v>
      </c>
      <c r="B271" s="20" t="e">
        <f>_xlfn.XLOOKUP(Christus_Emp_Table[[#This Row],[Analyst Name:]],[1]!Table1[Analyst Name],[1]!Table1[Deloitte Email ID])</f>
        <v>#REF!</v>
      </c>
      <c r="C271" s="20" t="e">
        <f>_xlfn.XLOOKUP(Christus_Emp_Table[[#This Row],[Analyst Name:]],[1]!Table1[Analyst Name],[1]!Table1[Module])</f>
        <v>#REF!</v>
      </c>
      <c r="D271" s="20" t="e">
        <f>_xlfn.XLOOKUP(Christus_Emp_Table[[#This Row],[Analyst Name:]],[1]!Table1[Analyst Name],[1]!Table1[Location])</f>
        <v>#REF!</v>
      </c>
      <c r="E271" s="20" t="s">
        <v>15</v>
      </c>
      <c r="F271" s="21">
        <v>45939</v>
      </c>
      <c r="G271" s="21">
        <v>45939</v>
      </c>
      <c r="H271" s="20" t="s">
        <v>15</v>
      </c>
      <c r="I271" s="20" t="s">
        <v>16</v>
      </c>
      <c r="J271" s="20">
        <f>NETWORKDAYS(Christus_Emp_Table[[#This Row],[From Date:]],Christus_Emp_Table[[#This Row],[To Date:]])</f>
        <v>1</v>
      </c>
      <c r="K271" s="20"/>
      <c r="L271" s="20" t="e">
        <f>_xlfn.XLOOKUP(Christus_Emp_Table[[#This Row],[Analyst Name:]],[1]!Table1[Analyst Name],[1]!Table1[Lead])</f>
        <v>#REF!</v>
      </c>
      <c r="M271" s="20" t="e">
        <f>_xlfn.XLOOKUP(Christus_Emp_Table[[#This Row],[Analyst Name:]],[1]!Table1[Analyst Name],[1]!Table1[Active/Inactive])</f>
        <v>#REF!</v>
      </c>
    </row>
    <row r="272" spans="1:13" x14ac:dyDescent="0.35">
      <c r="A272" s="19" t="s">
        <v>26</v>
      </c>
      <c r="B272" s="20" t="e">
        <f>_xlfn.XLOOKUP(Christus_Emp_Table[[#This Row],[Analyst Name:]],[1]!Table1[Analyst Name],[1]!Table1[Deloitte Email ID])</f>
        <v>#REF!</v>
      </c>
      <c r="C272" s="20" t="e">
        <f>_xlfn.XLOOKUP(Christus_Emp_Table[[#This Row],[Analyst Name:]],[1]!Table1[Analyst Name],[1]!Table1[Module])</f>
        <v>#REF!</v>
      </c>
      <c r="D272" s="20" t="e">
        <f>_xlfn.XLOOKUP(Christus_Emp_Table[[#This Row],[Analyst Name:]],[1]!Table1[Analyst Name],[1]!Table1[Location])</f>
        <v>#REF!</v>
      </c>
      <c r="E272" s="20" t="s">
        <v>15</v>
      </c>
      <c r="F272" s="21">
        <v>45947</v>
      </c>
      <c r="G272" s="21">
        <v>45947</v>
      </c>
      <c r="H272" s="20" t="s">
        <v>15</v>
      </c>
      <c r="I272" s="20" t="s">
        <v>16</v>
      </c>
      <c r="J272" s="20">
        <f>NETWORKDAYS(Christus_Emp_Table[[#This Row],[From Date:]],Christus_Emp_Table[[#This Row],[To Date:]])</f>
        <v>1</v>
      </c>
      <c r="K272" s="20"/>
      <c r="L272" s="20" t="e">
        <f>_xlfn.XLOOKUP(Christus_Emp_Table[[#This Row],[Analyst Name:]],[1]!Table1[Analyst Name],[1]!Table1[Lead])</f>
        <v>#REF!</v>
      </c>
      <c r="M272" s="20" t="e">
        <f>_xlfn.XLOOKUP(Christus_Emp_Table[[#This Row],[Analyst Name:]],[1]!Table1[Analyst Name],[1]!Table1[Active/Inactive])</f>
        <v>#REF!</v>
      </c>
    </row>
    <row r="273" spans="1:13" x14ac:dyDescent="0.35">
      <c r="A273" s="19" t="s">
        <v>42</v>
      </c>
      <c r="B273" s="20" t="e">
        <f>_xlfn.XLOOKUP(Christus_Emp_Table[[#This Row],[Analyst Name:]],[1]!Table1[Analyst Name],[1]!Table1[Deloitte Email ID])</f>
        <v>#REF!</v>
      </c>
      <c r="C273" s="20" t="e">
        <f>_xlfn.XLOOKUP(Christus_Emp_Table[[#This Row],[Analyst Name:]],[1]!Table1[Analyst Name],[1]!Table1[Module])</f>
        <v>#REF!</v>
      </c>
      <c r="D273" s="20" t="e">
        <f>_xlfn.XLOOKUP(Christus_Emp_Table[[#This Row],[Analyst Name:]],[1]!Table1[Analyst Name],[1]!Table1[Location])</f>
        <v>#REF!</v>
      </c>
      <c r="E273" s="20" t="s">
        <v>15</v>
      </c>
      <c r="F273" s="21">
        <v>45952</v>
      </c>
      <c r="G273" s="21">
        <v>45952</v>
      </c>
      <c r="H273" s="20" t="s">
        <v>15</v>
      </c>
      <c r="I273" s="20" t="s">
        <v>16</v>
      </c>
      <c r="J273" s="20">
        <f>NETWORKDAYS(Christus_Emp_Table[[#This Row],[From Date:]],Christus_Emp_Table[[#This Row],[To Date:]])</f>
        <v>1</v>
      </c>
      <c r="K273" s="20"/>
      <c r="L273" s="20" t="e">
        <f>_xlfn.XLOOKUP(Christus_Emp_Table[[#This Row],[Analyst Name:]],[1]!Table1[Analyst Name],[1]!Table1[Lead])</f>
        <v>#REF!</v>
      </c>
      <c r="M273" s="20" t="e">
        <f>_xlfn.XLOOKUP(Christus_Emp_Table[[#This Row],[Analyst Name:]],[1]!Table1[Analyst Name],[1]!Table1[Active/Inactive])</f>
        <v>#REF!</v>
      </c>
    </row>
    <row r="274" spans="1:13" x14ac:dyDescent="0.35">
      <c r="A274" s="19" t="s">
        <v>27</v>
      </c>
      <c r="B274" s="20" t="e">
        <f>_xlfn.XLOOKUP(Christus_Emp_Table[[#This Row],[Analyst Name:]],[1]!Table1[Analyst Name],[1]!Table1[Deloitte Email ID])</f>
        <v>#REF!</v>
      </c>
      <c r="C274" s="20" t="e">
        <f>_xlfn.XLOOKUP(Christus_Emp_Table[[#This Row],[Analyst Name:]],[1]!Table1[Analyst Name],[1]!Table1[Module])</f>
        <v>#REF!</v>
      </c>
      <c r="D274" s="20" t="e">
        <f>_xlfn.XLOOKUP(Christus_Emp_Table[[#This Row],[Analyst Name:]],[1]!Table1[Analyst Name],[1]!Table1[Location])</f>
        <v>#REF!</v>
      </c>
      <c r="E274" s="22" t="s">
        <v>19</v>
      </c>
      <c r="F274" s="21">
        <v>45931</v>
      </c>
      <c r="G274" s="21">
        <v>45931</v>
      </c>
      <c r="H274" s="20" t="s">
        <v>20</v>
      </c>
      <c r="I274" s="20" t="s">
        <v>16</v>
      </c>
      <c r="J274" s="20">
        <f>NETWORKDAYS(Christus_Emp_Table[[#This Row],[From Date:]],Christus_Emp_Table[[#This Row],[To Date:]])</f>
        <v>1</v>
      </c>
      <c r="K274" s="20"/>
      <c r="L274" s="20" t="e">
        <f>_xlfn.XLOOKUP(Christus_Emp_Table[[#This Row],[Analyst Name:]],[1]!Table1[Analyst Name],[1]!Table1[Lead])</f>
        <v>#REF!</v>
      </c>
      <c r="M274" s="20" t="e">
        <f>_xlfn.XLOOKUP(Christus_Emp_Table[[#This Row],[Analyst Name:]],[1]!Table1[Analyst Name],[1]!Table1[Active/Inactive])</f>
        <v>#REF!</v>
      </c>
    </row>
    <row r="275" spans="1:13" x14ac:dyDescent="0.35">
      <c r="A275" s="19" t="s">
        <v>27</v>
      </c>
      <c r="B275" s="20" t="e">
        <f>_xlfn.XLOOKUP(Christus_Emp_Table[[#This Row],[Analyst Name:]],[1]!Table1[Analyst Name],[1]!Table1[Deloitte Email ID])</f>
        <v>#REF!</v>
      </c>
      <c r="C275" s="20" t="e">
        <f>_xlfn.XLOOKUP(Christus_Emp_Table[[#This Row],[Analyst Name:]],[1]!Table1[Analyst Name],[1]!Table1[Module])</f>
        <v>#REF!</v>
      </c>
      <c r="D275" s="20" t="e">
        <f>_xlfn.XLOOKUP(Christus_Emp_Table[[#This Row],[Analyst Name:]],[1]!Table1[Analyst Name],[1]!Table1[Location])</f>
        <v>#REF!</v>
      </c>
      <c r="E275" s="20" t="s">
        <v>15</v>
      </c>
      <c r="F275" s="21">
        <v>45939</v>
      </c>
      <c r="G275" s="21">
        <v>45939</v>
      </c>
      <c r="H275" s="20" t="s">
        <v>15</v>
      </c>
      <c r="I275" s="20" t="s">
        <v>16</v>
      </c>
      <c r="J275" s="20">
        <f>NETWORKDAYS(Christus_Emp_Table[[#This Row],[From Date:]],Christus_Emp_Table[[#This Row],[To Date:]])</f>
        <v>1</v>
      </c>
      <c r="K275" s="20"/>
      <c r="L275" s="20" t="e">
        <f>_xlfn.XLOOKUP(Christus_Emp_Table[[#This Row],[Analyst Name:]],[1]!Table1[Analyst Name],[1]!Table1[Lead])</f>
        <v>#REF!</v>
      </c>
      <c r="M275" s="20" t="e">
        <f>_xlfn.XLOOKUP(Christus_Emp_Table[[#This Row],[Analyst Name:]],[1]!Table1[Analyst Name],[1]!Table1[Active/Inactive])</f>
        <v>#REF!</v>
      </c>
    </row>
    <row r="276" spans="1:13" x14ac:dyDescent="0.35">
      <c r="A276" s="19" t="s">
        <v>27</v>
      </c>
      <c r="B276" s="20" t="e">
        <f>_xlfn.XLOOKUP(Christus_Emp_Table[[#This Row],[Analyst Name:]],[1]!Table1[Analyst Name],[1]!Table1[Deloitte Email ID])</f>
        <v>#REF!</v>
      </c>
      <c r="C276" s="20" t="e">
        <f>_xlfn.XLOOKUP(Christus_Emp_Table[[#This Row],[Analyst Name:]],[1]!Table1[Analyst Name],[1]!Table1[Module])</f>
        <v>#REF!</v>
      </c>
      <c r="D276" s="20" t="e">
        <f>_xlfn.XLOOKUP(Christus_Emp_Table[[#This Row],[Analyst Name:]],[1]!Table1[Analyst Name],[1]!Table1[Location])</f>
        <v>#REF!</v>
      </c>
      <c r="E276" s="20" t="s">
        <v>15</v>
      </c>
      <c r="F276" s="21">
        <v>45953</v>
      </c>
      <c r="G276" s="21">
        <v>45953</v>
      </c>
      <c r="H276" s="20" t="s">
        <v>15</v>
      </c>
      <c r="I276" s="20" t="s">
        <v>16</v>
      </c>
      <c r="J276" s="20">
        <f>NETWORKDAYS(Christus_Emp_Table[[#This Row],[From Date:]],Christus_Emp_Table[[#This Row],[To Date:]])</f>
        <v>1</v>
      </c>
      <c r="K276" s="20"/>
      <c r="L276" s="20" t="e">
        <f>_xlfn.XLOOKUP(Christus_Emp_Table[[#This Row],[Analyst Name:]],[1]!Table1[Analyst Name],[1]!Table1[Lead])</f>
        <v>#REF!</v>
      </c>
      <c r="M276" s="20" t="e">
        <f>_xlfn.XLOOKUP(Christus_Emp_Table[[#This Row],[Analyst Name:]],[1]!Table1[Analyst Name],[1]!Table1[Active/Inactive])</f>
        <v>#REF!</v>
      </c>
    </row>
    <row r="277" spans="1:13" x14ac:dyDescent="0.35">
      <c r="A277" s="19" t="s">
        <v>28</v>
      </c>
      <c r="B277" s="20" t="e">
        <f>_xlfn.XLOOKUP(Christus_Emp_Table[[#This Row],[Analyst Name:]],[1]!Table1[Analyst Name],[1]!Table1[Deloitte Email ID])</f>
        <v>#REF!</v>
      </c>
      <c r="C277" s="20" t="e">
        <f>_xlfn.XLOOKUP(Christus_Emp_Table[[#This Row],[Analyst Name:]],[1]!Table1[Analyst Name],[1]!Table1[Module])</f>
        <v>#REF!</v>
      </c>
      <c r="D277" s="20" t="e">
        <f>_xlfn.XLOOKUP(Christus_Emp_Table[[#This Row],[Analyst Name:]],[1]!Table1[Analyst Name],[1]!Table1[Location])</f>
        <v>#REF!</v>
      </c>
      <c r="E277" s="20" t="s">
        <v>15</v>
      </c>
      <c r="F277" s="21">
        <v>45944</v>
      </c>
      <c r="G277" s="21">
        <v>45944</v>
      </c>
      <c r="H277" s="20" t="s">
        <v>15</v>
      </c>
      <c r="I277" s="20" t="s">
        <v>16</v>
      </c>
      <c r="J277" s="20">
        <f>NETWORKDAYS(Christus_Emp_Table[[#This Row],[From Date:]],Christus_Emp_Table[[#This Row],[To Date:]])</f>
        <v>1</v>
      </c>
      <c r="K277" s="20"/>
      <c r="L277" s="20" t="e">
        <f>_xlfn.XLOOKUP(Christus_Emp_Table[[#This Row],[Analyst Name:]],[1]!Table1[Analyst Name],[1]!Table1[Lead])</f>
        <v>#REF!</v>
      </c>
      <c r="M277" s="20" t="e">
        <f>_xlfn.XLOOKUP(Christus_Emp_Table[[#This Row],[Analyst Name:]],[1]!Table1[Analyst Name],[1]!Table1[Active/Inactive])</f>
        <v>#REF!</v>
      </c>
    </row>
    <row r="278" spans="1:13" x14ac:dyDescent="0.35">
      <c r="A278" s="19" t="s">
        <v>39</v>
      </c>
      <c r="B278" s="20" t="e">
        <f>_xlfn.XLOOKUP(Christus_Emp_Table[[#This Row],[Analyst Name:]],[1]!Table1[Analyst Name],[1]!Table1[Deloitte Email ID])</f>
        <v>#REF!</v>
      </c>
      <c r="C278" s="20" t="e">
        <f>_xlfn.XLOOKUP(Christus_Emp_Table[[#This Row],[Analyst Name:]],[1]!Table1[Analyst Name],[1]!Table1[Module])</f>
        <v>#REF!</v>
      </c>
      <c r="D278" s="20" t="e">
        <f>_xlfn.XLOOKUP(Christus_Emp_Table[[#This Row],[Analyst Name:]],[1]!Table1[Analyst Name],[1]!Table1[Location])</f>
        <v>#REF!</v>
      </c>
      <c r="E278" s="20" t="s">
        <v>15</v>
      </c>
      <c r="F278" s="21">
        <v>45952</v>
      </c>
      <c r="G278" s="21">
        <v>45961</v>
      </c>
      <c r="H278" s="20" t="s">
        <v>15</v>
      </c>
      <c r="I278" s="20" t="s">
        <v>16</v>
      </c>
      <c r="J278" s="20">
        <f>NETWORKDAYS(Christus_Emp_Table[[#This Row],[From Date:]],Christus_Emp_Table[[#This Row],[To Date:]])</f>
        <v>8</v>
      </c>
      <c r="K278" s="20"/>
      <c r="L278" s="20" t="e">
        <f>_xlfn.XLOOKUP(Christus_Emp_Table[[#This Row],[Analyst Name:]],[1]!Table1[Analyst Name],[1]!Table1[Lead])</f>
        <v>#REF!</v>
      </c>
      <c r="M278" s="20" t="e">
        <f>_xlfn.XLOOKUP(Christus_Emp_Table[[#This Row],[Analyst Name:]],[1]!Table1[Analyst Name],[1]!Table1[Active/Inactive])</f>
        <v>#REF!</v>
      </c>
    </row>
    <row r="279" spans="1:13" x14ac:dyDescent="0.35">
      <c r="A279" s="19" t="s">
        <v>29</v>
      </c>
      <c r="B279" s="20" t="e">
        <f>_xlfn.XLOOKUP(Christus_Emp_Table[[#This Row],[Analyst Name:]],[1]!Table1[Analyst Name],[1]!Table1[Deloitte Email ID])</f>
        <v>#REF!</v>
      </c>
      <c r="C279" s="20" t="e">
        <f>_xlfn.XLOOKUP(Christus_Emp_Table[[#This Row],[Analyst Name:]],[1]!Table1[Analyst Name],[1]!Table1[Module])</f>
        <v>#REF!</v>
      </c>
      <c r="D279" s="20" t="e">
        <f>_xlfn.XLOOKUP(Christus_Emp_Table[[#This Row],[Analyst Name:]],[1]!Table1[Analyst Name],[1]!Table1[Location])</f>
        <v>#REF!</v>
      </c>
      <c r="E279" s="20" t="s">
        <v>15</v>
      </c>
      <c r="F279" s="21">
        <v>45952</v>
      </c>
      <c r="G279" s="21">
        <v>45953</v>
      </c>
      <c r="H279" s="20" t="s">
        <v>15</v>
      </c>
      <c r="I279" s="20" t="s">
        <v>16</v>
      </c>
      <c r="J279" s="20">
        <f>NETWORKDAYS(Christus_Emp_Table[[#This Row],[From Date:]],Christus_Emp_Table[[#This Row],[To Date:]])</f>
        <v>2</v>
      </c>
      <c r="K279" s="20"/>
      <c r="L279" s="20" t="e">
        <f>_xlfn.XLOOKUP(Christus_Emp_Table[[#This Row],[Analyst Name:]],[1]!Table1[Analyst Name],[1]!Table1[Lead])</f>
        <v>#REF!</v>
      </c>
      <c r="M279" s="20" t="e">
        <f>_xlfn.XLOOKUP(Christus_Emp_Table[[#This Row],[Analyst Name:]],[1]!Table1[Analyst Name],[1]!Table1[Active/Inactive])</f>
        <v>#REF!</v>
      </c>
    </row>
    <row r="280" spans="1:13" x14ac:dyDescent="0.35">
      <c r="A280" s="19" t="s">
        <v>30</v>
      </c>
      <c r="B280" s="20" t="e">
        <f>_xlfn.XLOOKUP(Christus_Emp_Table[[#This Row],[Analyst Name:]],[1]!Table1[Analyst Name],[1]!Table1[Deloitte Email ID])</f>
        <v>#REF!</v>
      </c>
      <c r="C280" s="20" t="e">
        <f>_xlfn.XLOOKUP(Christus_Emp_Table[[#This Row],[Analyst Name:]],[1]!Table1[Analyst Name],[1]!Table1[Module])</f>
        <v>#REF!</v>
      </c>
      <c r="D280" s="20" t="e">
        <f>_xlfn.XLOOKUP(Christus_Emp_Table[[#This Row],[Analyst Name:]],[1]!Table1[Analyst Name],[1]!Table1[Location])</f>
        <v>#REF!</v>
      </c>
      <c r="E280" s="20" t="s">
        <v>23</v>
      </c>
      <c r="F280" s="21">
        <v>45952</v>
      </c>
      <c r="G280" s="21">
        <v>45952</v>
      </c>
      <c r="H280" s="20" t="s">
        <v>23</v>
      </c>
      <c r="I280" s="20" t="s">
        <v>16</v>
      </c>
      <c r="J280" s="20">
        <f>NETWORKDAYS(Christus_Emp_Table[[#This Row],[From Date:]],Christus_Emp_Table[[#This Row],[To Date:]])</f>
        <v>1</v>
      </c>
      <c r="K280" s="20"/>
      <c r="L280" s="20" t="e">
        <f>_xlfn.XLOOKUP(Christus_Emp_Table[[#This Row],[Analyst Name:]],[1]!Table1[Analyst Name],[1]!Table1[Lead])</f>
        <v>#REF!</v>
      </c>
      <c r="M280" s="20" t="e">
        <f>_xlfn.XLOOKUP(Christus_Emp_Table[[#This Row],[Analyst Name:]],[1]!Table1[Analyst Name],[1]!Table1[Active/Inactive])</f>
        <v>#REF!</v>
      </c>
    </row>
    <row r="281" spans="1:13" x14ac:dyDescent="0.35">
      <c r="A281" s="19" t="s">
        <v>30</v>
      </c>
      <c r="B281" s="20" t="e">
        <f>_xlfn.XLOOKUP(Christus_Emp_Table[[#This Row],[Analyst Name:]],[1]!Table1[Analyst Name],[1]!Table1[Deloitte Email ID])</f>
        <v>#REF!</v>
      </c>
      <c r="C281" s="20" t="e">
        <f>_xlfn.XLOOKUP(Christus_Emp_Table[[#This Row],[Analyst Name:]],[1]!Table1[Analyst Name],[1]!Table1[Module])</f>
        <v>#REF!</v>
      </c>
      <c r="D281" s="20" t="e">
        <f>_xlfn.XLOOKUP(Christus_Emp_Table[[#This Row],[Analyst Name:]],[1]!Table1[Analyst Name],[1]!Table1[Location])</f>
        <v>#REF!</v>
      </c>
      <c r="E281" s="22" t="s">
        <v>19</v>
      </c>
      <c r="F281" s="21">
        <v>45957</v>
      </c>
      <c r="G281" s="21">
        <v>45959</v>
      </c>
      <c r="H281" s="20" t="s">
        <v>20</v>
      </c>
      <c r="I281" s="20" t="s">
        <v>16</v>
      </c>
      <c r="J281" s="20">
        <f>NETWORKDAYS(Christus_Emp_Table[[#This Row],[From Date:]],Christus_Emp_Table[[#This Row],[To Date:]])</f>
        <v>3</v>
      </c>
      <c r="K281" s="20"/>
      <c r="L281" s="20" t="e">
        <f>_xlfn.XLOOKUP(Christus_Emp_Table[[#This Row],[Analyst Name:]],[1]!Table1[Analyst Name],[1]!Table1[Lead])</f>
        <v>#REF!</v>
      </c>
      <c r="M281" s="20" t="e">
        <f>_xlfn.XLOOKUP(Christus_Emp_Table[[#This Row],[Analyst Name:]],[1]!Table1[Analyst Name],[1]!Table1[Active/Inactive])</f>
        <v>#REF!</v>
      </c>
    </row>
    <row r="282" spans="1:13" x14ac:dyDescent="0.35">
      <c r="A282" s="19" t="s">
        <v>31</v>
      </c>
      <c r="B282" s="20" t="e">
        <f>_xlfn.XLOOKUP(Christus_Emp_Table[[#This Row],[Analyst Name:]],[1]!Table1[Analyst Name],[1]!Table1[Deloitte Email ID])</f>
        <v>#REF!</v>
      </c>
      <c r="C282" s="20" t="e">
        <f>_xlfn.XLOOKUP(Christus_Emp_Table[[#This Row],[Analyst Name:]],[1]!Table1[Analyst Name],[1]!Table1[Module])</f>
        <v>#REF!</v>
      </c>
      <c r="D282" s="20" t="e">
        <f>_xlfn.XLOOKUP(Christus_Emp_Table[[#This Row],[Analyst Name:]],[1]!Table1[Analyst Name],[1]!Table1[Location])</f>
        <v>#REF!</v>
      </c>
      <c r="E282" s="20" t="s">
        <v>15</v>
      </c>
      <c r="F282" s="21">
        <v>45931</v>
      </c>
      <c r="G282" s="21">
        <v>45933</v>
      </c>
      <c r="H282" s="20" t="s">
        <v>15</v>
      </c>
      <c r="I282" s="20" t="s">
        <v>16</v>
      </c>
      <c r="J282" s="20">
        <f>NETWORKDAYS(Christus_Emp_Table[[#This Row],[From Date:]],Christus_Emp_Table[[#This Row],[To Date:]])</f>
        <v>3</v>
      </c>
      <c r="K282" s="20"/>
      <c r="L282" s="20" t="e">
        <f>_xlfn.XLOOKUP(Christus_Emp_Table[[#This Row],[Analyst Name:]],[1]!Table1[Analyst Name],[1]!Table1[Lead])</f>
        <v>#REF!</v>
      </c>
      <c r="M282" s="20" t="e">
        <f>_xlfn.XLOOKUP(Christus_Emp_Table[[#This Row],[Analyst Name:]],[1]!Table1[Analyst Name],[1]!Table1[Active/Inactive])</f>
        <v>#REF!</v>
      </c>
    </row>
    <row r="283" spans="1:13" x14ac:dyDescent="0.35">
      <c r="A283" s="19" t="s">
        <v>40</v>
      </c>
      <c r="B283" s="20" t="e">
        <f>_xlfn.XLOOKUP(Christus_Emp_Table[[#This Row],[Analyst Name:]],[1]!Table1[Analyst Name],[1]!Table1[Deloitte Email ID])</f>
        <v>#REF!</v>
      </c>
      <c r="C283" s="20" t="e">
        <f>_xlfn.XLOOKUP(Christus_Emp_Table[[#This Row],[Analyst Name:]],[1]!Table1[Analyst Name],[1]!Table1[Module])</f>
        <v>#REF!</v>
      </c>
      <c r="D283" s="20" t="e">
        <f>_xlfn.XLOOKUP(Christus_Emp_Table[[#This Row],[Analyst Name:]],[1]!Table1[Analyst Name],[1]!Table1[Location])</f>
        <v>#REF!</v>
      </c>
      <c r="E283" s="20" t="s">
        <v>15</v>
      </c>
      <c r="F283" s="21">
        <v>45947</v>
      </c>
      <c r="G283" s="21">
        <v>45954</v>
      </c>
      <c r="H283" s="20" t="s">
        <v>15</v>
      </c>
      <c r="I283" s="20" t="s">
        <v>16</v>
      </c>
      <c r="J283" s="20">
        <f>NETWORKDAYS(Christus_Emp_Table[[#This Row],[From Date:]],Christus_Emp_Table[[#This Row],[To Date:]])</f>
        <v>6</v>
      </c>
      <c r="K283" s="20"/>
      <c r="L283" s="20" t="e">
        <f>_xlfn.XLOOKUP(Christus_Emp_Table[[#This Row],[Analyst Name:]],[1]!Table1[Analyst Name],[1]!Table1[Lead])</f>
        <v>#REF!</v>
      </c>
      <c r="M283" s="20" t="e">
        <f>_xlfn.XLOOKUP(Christus_Emp_Table[[#This Row],[Analyst Name:]],[1]!Table1[Analyst Name],[1]!Table1[Active/Inactive])</f>
        <v>#REF!</v>
      </c>
    </row>
    <row r="284" spans="1:13" x14ac:dyDescent="0.35">
      <c r="A284" s="19" t="s">
        <v>35</v>
      </c>
      <c r="B284" s="20" t="e">
        <f>_xlfn.XLOOKUP(Christus_Emp_Table[[#This Row],[Analyst Name:]],[1]!Table1[Analyst Name],[1]!Table1[Deloitte Email ID])</f>
        <v>#REF!</v>
      </c>
      <c r="C284" s="20" t="e">
        <f>_xlfn.XLOOKUP(Christus_Emp_Table[[#This Row],[Analyst Name:]],[1]!Table1[Analyst Name],[1]!Table1[Module])</f>
        <v>#REF!</v>
      </c>
      <c r="D284" s="20" t="e">
        <f>_xlfn.XLOOKUP(Christus_Emp_Table[[#This Row],[Analyst Name:]],[1]!Table1[Analyst Name],[1]!Table1[Location])</f>
        <v>#REF!</v>
      </c>
      <c r="E284" s="20" t="s">
        <v>15</v>
      </c>
      <c r="F284" s="21">
        <v>45947</v>
      </c>
      <c r="G284" s="21">
        <v>45954</v>
      </c>
      <c r="H284" s="20" t="s">
        <v>15</v>
      </c>
      <c r="I284" s="20" t="s">
        <v>16</v>
      </c>
      <c r="J284" s="20">
        <f>NETWORKDAYS(Christus_Emp_Table[[#This Row],[From Date:]],Christus_Emp_Table[[#This Row],[To Date:]])</f>
        <v>6</v>
      </c>
      <c r="K284" s="20"/>
      <c r="L284" s="20" t="e">
        <f>_xlfn.XLOOKUP(Christus_Emp_Table[[#This Row],[Analyst Name:]],[1]!Table1[Analyst Name],[1]!Table1[Lead])</f>
        <v>#REF!</v>
      </c>
      <c r="M284" s="20" t="e">
        <f>_xlfn.XLOOKUP(Christus_Emp_Table[[#This Row],[Analyst Name:]],[1]!Table1[Analyst Name],[1]!Table1[Active/Inactive])</f>
        <v>#REF!</v>
      </c>
    </row>
    <row r="285" spans="1:13" x14ac:dyDescent="0.35">
      <c r="A285" s="19" t="s">
        <v>32</v>
      </c>
      <c r="B285" s="20" t="e">
        <f>_xlfn.XLOOKUP(Christus_Emp_Table[[#This Row],[Analyst Name:]],[1]!Table1[Analyst Name],[1]!Table1[Deloitte Email ID])</f>
        <v>#REF!</v>
      </c>
      <c r="C285" s="20" t="e">
        <f>_xlfn.XLOOKUP(Christus_Emp_Table[[#This Row],[Analyst Name:]],[1]!Table1[Analyst Name],[1]!Table1[Module])</f>
        <v>#REF!</v>
      </c>
      <c r="D285" s="20" t="e">
        <f>_xlfn.XLOOKUP(Christus_Emp_Table[[#This Row],[Analyst Name:]],[1]!Table1[Analyst Name],[1]!Table1[Location])</f>
        <v>#REF!</v>
      </c>
      <c r="E285" s="22" t="s">
        <v>19</v>
      </c>
      <c r="F285" s="21">
        <v>45952</v>
      </c>
      <c r="G285" s="21">
        <v>45952</v>
      </c>
      <c r="H285" s="20" t="s">
        <v>20</v>
      </c>
      <c r="I285" s="20" t="s">
        <v>16</v>
      </c>
      <c r="J285" s="20">
        <f>NETWORKDAYS(Christus_Emp_Table[[#This Row],[From Date:]],Christus_Emp_Table[[#This Row],[To Date:]])</f>
        <v>1</v>
      </c>
      <c r="K285" s="20"/>
      <c r="L285" s="20" t="e">
        <f>_xlfn.XLOOKUP(Christus_Emp_Table[[#This Row],[Analyst Name:]],[1]!Table1[Analyst Name],[1]!Table1[Lead])</f>
        <v>#REF!</v>
      </c>
      <c r="M285" s="20" t="e">
        <f>_xlfn.XLOOKUP(Christus_Emp_Table[[#This Row],[Analyst Name:]],[1]!Table1[Analyst Name],[1]!Table1[Active/Inactive])</f>
        <v>#REF!</v>
      </c>
    </row>
    <row r="286" spans="1:13" x14ac:dyDescent="0.35">
      <c r="A286" s="19" t="s">
        <v>32</v>
      </c>
      <c r="B286" s="20" t="e">
        <f>_xlfn.XLOOKUP(Christus_Emp_Table[[#This Row],[Analyst Name:]],[1]!Table1[Analyst Name],[1]!Table1[Deloitte Email ID])</f>
        <v>#REF!</v>
      </c>
      <c r="C286" s="20" t="e">
        <f>_xlfn.XLOOKUP(Christus_Emp_Table[[#This Row],[Analyst Name:]],[1]!Table1[Analyst Name],[1]!Table1[Module])</f>
        <v>#REF!</v>
      </c>
      <c r="D286" s="20" t="e">
        <f>_xlfn.XLOOKUP(Christus_Emp_Table[[#This Row],[Analyst Name:]],[1]!Table1[Analyst Name],[1]!Table1[Location])</f>
        <v>#REF!</v>
      </c>
      <c r="E286" s="22" t="s">
        <v>19</v>
      </c>
      <c r="F286" s="21">
        <v>45961</v>
      </c>
      <c r="G286" s="21">
        <v>45961</v>
      </c>
      <c r="H286" s="20" t="s">
        <v>20</v>
      </c>
      <c r="I286" s="20" t="s">
        <v>16</v>
      </c>
      <c r="J286" s="20">
        <f>NETWORKDAYS(Christus_Emp_Table[[#This Row],[From Date:]],Christus_Emp_Table[[#This Row],[To Date:]])</f>
        <v>1</v>
      </c>
      <c r="K286" s="20"/>
      <c r="L286" s="20" t="e">
        <f>_xlfn.XLOOKUP(Christus_Emp_Table[[#This Row],[Analyst Name:]],[1]!Table1[Analyst Name],[1]!Table1[Lead])</f>
        <v>#REF!</v>
      </c>
      <c r="M286" s="20" t="e">
        <f>_xlfn.XLOOKUP(Christus_Emp_Table[[#This Row],[Analyst Name:]],[1]!Table1[Analyst Name],[1]!Table1[Active/Inactive])</f>
        <v>#REF!</v>
      </c>
    </row>
    <row r="287" spans="1:13" x14ac:dyDescent="0.35">
      <c r="A287" s="19" t="s">
        <v>34</v>
      </c>
      <c r="B287" s="20" t="e">
        <f>_xlfn.XLOOKUP(Christus_Emp_Table[[#This Row],[Analyst Name:]],[1]!Table1[Analyst Name],[1]!Table1[Deloitte Email ID])</f>
        <v>#REF!</v>
      </c>
      <c r="C287" s="20" t="e">
        <f>_xlfn.XLOOKUP(Christus_Emp_Table[[#This Row],[Analyst Name:]],[1]!Table1[Analyst Name],[1]!Table1[Module])</f>
        <v>#REF!</v>
      </c>
      <c r="D287" s="20" t="e">
        <f>_xlfn.XLOOKUP(Christus_Emp_Table[[#This Row],[Analyst Name:]],[1]!Table1[Analyst Name],[1]!Table1[Location])</f>
        <v>#REF!</v>
      </c>
      <c r="E287" s="20" t="s">
        <v>15</v>
      </c>
      <c r="F287" s="21">
        <v>45943</v>
      </c>
      <c r="G287" s="21">
        <v>45947</v>
      </c>
      <c r="H287" s="20" t="s">
        <v>15</v>
      </c>
      <c r="I287" s="20" t="s">
        <v>16</v>
      </c>
      <c r="J287" s="20">
        <f>NETWORKDAYS(Christus_Emp_Table[[#This Row],[From Date:]],Christus_Emp_Table[[#This Row],[To Date:]])</f>
        <v>5</v>
      </c>
      <c r="K287" s="20"/>
      <c r="L287" s="20" t="e">
        <f>_xlfn.XLOOKUP(Christus_Emp_Table[[#This Row],[Analyst Name:]],[1]!Table1[Analyst Name],[1]!Table1[Lead])</f>
        <v>#REF!</v>
      </c>
      <c r="M287" s="20" t="e">
        <f>_xlfn.XLOOKUP(Christus_Emp_Table[[#This Row],[Analyst Name:]],[1]!Table1[Analyst Name],[1]!Table1[Active/Inactive])</f>
        <v>#REF!</v>
      </c>
    </row>
    <row r="288" spans="1:13" x14ac:dyDescent="0.35">
      <c r="A288" s="19" t="s">
        <v>34</v>
      </c>
      <c r="B288" s="20" t="e">
        <f>_xlfn.XLOOKUP(Christus_Emp_Table[[#This Row],[Analyst Name:]],[1]!Table1[Analyst Name],[1]!Table1[Deloitte Email ID])</f>
        <v>#REF!</v>
      </c>
      <c r="C288" s="20" t="e">
        <f>_xlfn.XLOOKUP(Christus_Emp_Table[[#This Row],[Analyst Name:]],[1]!Table1[Analyst Name],[1]!Table1[Module])</f>
        <v>#REF!</v>
      </c>
      <c r="D288" s="20" t="e">
        <f>_xlfn.XLOOKUP(Christus_Emp_Table[[#This Row],[Analyst Name:]],[1]!Table1[Analyst Name],[1]!Table1[Location])</f>
        <v>#REF!</v>
      </c>
      <c r="E288" s="22" t="s">
        <v>19</v>
      </c>
      <c r="F288" s="21">
        <v>45958</v>
      </c>
      <c r="G288" s="21">
        <v>45958</v>
      </c>
      <c r="H288" s="20" t="s">
        <v>20</v>
      </c>
      <c r="I288" s="20" t="s">
        <v>16</v>
      </c>
      <c r="J288" s="20">
        <f>NETWORKDAYS(Christus_Emp_Table[[#This Row],[From Date:]],Christus_Emp_Table[[#This Row],[To Date:]])</f>
        <v>1</v>
      </c>
      <c r="K288" s="20"/>
      <c r="L288" s="20" t="e">
        <f>_xlfn.XLOOKUP(Christus_Emp_Table[[#This Row],[Analyst Name:]],[1]!Table1[Analyst Name],[1]!Table1[Lead])</f>
        <v>#REF!</v>
      </c>
      <c r="M288" s="20" t="e">
        <f>_xlfn.XLOOKUP(Christus_Emp_Table[[#This Row],[Analyst Name:]],[1]!Table1[Analyst Name],[1]!Table1[Active/Inactive])</f>
        <v>#REF!</v>
      </c>
    </row>
    <row r="289" spans="1:13" x14ac:dyDescent="0.35">
      <c r="A289" s="19" t="s">
        <v>37</v>
      </c>
      <c r="B289" s="20" t="e">
        <f>_xlfn.XLOOKUP(Christus_Emp_Table[[#This Row],[Analyst Name:]],[1]!Table1[Analyst Name],[1]!Table1[Deloitte Email ID])</f>
        <v>#REF!</v>
      </c>
      <c r="C289" s="20" t="e">
        <f>_xlfn.XLOOKUP(Christus_Emp_Table[[#This Row],[Analyst Name:]],[1]!Table1[Analyst Name],[1]!Table1[Module])</f>
        <v>#REF!</v>
      </c>
      <c r="D289" s="20" t="e">
        <f>_xlfn.XLOOKUP(Christus_Emp_Table[[#This Row],[Analyst Name:]],[1]!Table1[Analyst Name],[1]!Table1[Location])</f>
        <v>#REF!</v>
      </c>
      <c r="E289" s="20" t="s">
        <v>15</v>
      </c>
      <c r="F289" s="21">
        <v>45931</v>
      </c>
      <c r="G289" s="21">
        <v>45944</v>
      </c>
      <c r="H289" s="20" t="s">
        <v>15</v>
      </c>
      <c r="I289" s="20" t="s">
        <v>16</v>
      </c>
      <c r="J289" s="20">
        <f>NETWORKDAYS(Christus_Emp_Table[[#This Row],[From Date:]],Christus_Emp_Table[[#This Row],[To Date:]])</f>
        <v>10</v>
      </c>
      <c r="K289" s="20"/>
      <c r="L289" s="20" t="e">
        <f>_xlfn.XLOOKUP(Christus_Emp_Table[[#This Row],[Analyst Name:]],[1]!Table1[Analyst Name],[1]!Table1[Lead])</f>
        <v>#REF!</v>
      </c>
      <c r="M289" s="20" t="e">
        <f>_xlfn.XLOOKUP(Christus_Emp_Table[[#This Row],[Analyst Name:]],[1]!Table1[Analyst Name],[1]!Table1[Active/Inactive])</f>
        <v>#REF!</v>
      </c>
    </row>
    <row r="290" spans="1:13" x14ac:dyDescent="0.35">
      <c r="A290" s="19" t="s">
        <v>36</v>
      </c>
      <c r="B290" s="20" t="e">
        <f>_xlfn.XLOOKUP(Christus_Emp_Table[[#This Row],[Analyst Name:]],[1]!Table1[Analyst Name],[1]!Table1[Deloitte Email ID])</f>
        <v>#REF!</v>
      </c>
      <c r="C290" s="20" t="e">
        <f>_xlfn.XLOOKUP(Christus_Emp_Table[[#This Row],[Analyst Name:]],[1]!Table1[Analyst Name],[1]!Table1[Module])</f>
        <v>#REF!</v>
      </c>
      <c r="D290" s="20" t="e">
        <f>_xlfn.XLOOKUP(Christus_Emp_Table[[#This Row],[Analyst Name:]],[1]!Table1[Analyst Name],[1]!Table1[Location])</f>
        <v>#REF!</v>
      </c>
      <c r="E290" s="20" t="s">
        <v>15</v>
      </c>
      <c r="F290" s="21">
        <v>45931</v>
      </c>
      <c r="G290" s="21">
        <v>45931</v>
      </c>
      <c r="H290" s="20" t="s">
        <v>15</v>
      </c>
      <c r="I290" s="20" t="s">
        <v>16</v>
      </c>
      <c r="J290" s="20">
        <f>NETWORKDAYS(Christus_Emp_Table[[#This Row],[From Date:]],Christus_Emp_Table[[#This Row],[To Date:]])</f>
        <v>1</v>
      </c>
      <c r="K290" s="20"/>
      <c r="L290" s="20" t="e">
        <f>_xlfn.XLOOKUP(Christus_Emp_Table[[#This Row],[Analyst Name:]],[1]!Table1[Analyst Name],[1]!Table1[Lead])</f>
        <v>#REF!</v>
      </c>
      <c r="M290" s="20" t="e">
        <f>_xlfn.XLOOKUP(Christus_Emp_Table[[#This Row],[Analyst Name:]],[1]!Table1[Analyst Name],[1]!Table1[Active/Inactive])</f>
        <v>#REF!</v>
      </c>
    </row>
    <row r="291" spans="1:13" x14ac:dyDescent="0.35">
      <c r="A291" s="19" t="s">
        <v>36</v>
      </c>
      <c r="B291" s="20" t="e">
        <f>_xlfn.XLOOKUP(Christus_Emp_Table[[#This Row],[Analyst Name:]],[1]!Table1[Analyst Name],[1]!Table1[Deloitte Email ID])</f>
        <v>#REF!</v>
      </c>
      <c r="C291" s="20" t="e">
        <f>_xlfn.XLOOKUP(Christus_Emp_Table[[#This Row],[Analyst Name:]],[1]!Table1[Analyst Name],[1]!Table1[Module])</f>
        <v>#REF!</v>
      </c>
      <c r="D291" s="20" t="e">
        <f>_xlfn.XLOOKUP(Christus_Emp_Table[[#This Row],[Analyst Name:]],[1]!Table1[Analyst Name],[1]!Table1[Location])</f>
        <v>#REF!</v>
      </c>
      <c r="E291" s="20" t="s">
        <v>15</v>
      </c>
      <c r="F291" s="21">
        <v>45957</v>
      </c>
      <c r="G291" s="21">
        <v>45960</v>
      </c>
      <c r="H291" s="20" t="s">
        <v>15</v>
      </c>
      <c r="I291" s="20" t="s">
        <v>16</v>
      </c>
      <c r="J291" s="20">
        <f>NETWORKDAYS(Christus_Emp_Table[[#This Row],[From Date:]],Christus_Emp_Table[[#This Row],[To Date:]])</f>
        <v>4</v>
      </c>
      <c r="K291" s="20"/>
      <c r="L291" s="20" t="e">
        <f>_xlfn.XLOOKUP(Christus_Emp_Table[[#This Row],[Analyst Name:]],[1]!Table1[Analyst Name],[1]!Table1[Lead])</f>
        <v>#REF!</v>
      </c>
      <c r="M291" s="20" t="e">
        <f>_xlfn.XLOOKUP(Christus_Emp_Table[[#This Row],[Analyst Name:]],[1]!Table1[Analyst Name],[1]!Table1[Active/Inactive])</f>
        <v>#REF!</v>
      </c>
    </row>
    <row r="292" spans="1:13" x14ac:dyDescent="0.35">
      <c r="A292" s="19" t="s">
        <v>46</v>
      </c>
      <c r="B292" s="20" t="e">
        <f>_xlfn.XLOOKUP(Christus_Emp_Table[[#This Row],[Analyst Name:]],[1]!Table1[Analyst Name],[1]!Table1[Deloitte Email ID])</f>
        <v>#REF!</v>
      </c>
      <c r="C292" s="20" t="e">
        <f>_xlfn.XLOOKUP(Christus_Emp_Table[[#This Row],[Analyst Name:]],[1]!Table1[Analyst Name],[1]!Table1[Module])</f>
        <v>#REF!</v>
      </c>
      <c r="D292" s="20" t="e">
        <f>_xlfn.XLOOKUP(Christus_Emp_Table[[#This Row],[Analyst Name:]],[1]!Table1[Analyst Name],[1]!Table1[Location])</f>
        <v>#REF!</v>
      </c>
      <c r="E292" s="20" t="s">
        <v>15</v>
      </c>
      <c r="F292" s="21">
        <v>45953</v>
      </c>
      <c r="G292" s="21">
        <v>45953</v>
      </c>
      <c r="H292" s="20" t="s">
        <v>15</v>
      </c>
      <c r="I292" s="20" t="s">
        <v>16</v>
      </c>
      <c r="J292" s="20">
        <f>NETWORKDAYS(Christus_Emp_Table[[#This Row],[From Date:]],Christus_Emp_Table[[#This Row],[To Date:]])</f>
        <v>1</v>
      </c>
      <c r="K292" s="20"/>
      <c r="L292" s="20" t="e">
        <f>_xlfn.XLOOKUP(Christus_Emp_Table[[#This Row],[Analyst Name:]],[1]!Table1[Analyst Name],[1]!Table1[Lead])</f>
        <v>#REF!</v>
      </c>
      <c r="M292" s="20" t="e">
        <f>_xlfn.XLOOKUP(Christus_Emp_Table[[#This Row],[Analyst Name:]],[1]!Table1[Analyst Name],[1]!Table1[Active/Inactive])</f>
        <v>#REF!</v>
      </c>
    </row>
    <row r="293" spans="1:13" x14ac:dyDescent="0.35">
      <c r="A293" s="19" t="s">
        <v>46</v>
      </c>
      <c r="B293" s="20" t="e">
        <f>_xlfn.XLOOKUP(Christus_Emp_Table[[#This Row],[Analyst Name:]],[1]!Table1[Analyst Name],[1]!Table1[Deloitte Email ID])</f>
        <v>#REF!</v>
      </c>
      <c r="C293" s="20" t="e">
        <f>_xlfn.XLOOKUP(Christus_Emp_Table[[#This Row],[Analyst Name:]],[1]!Table1[Analyst Name],[1]!Table1[Module])</f>
        <v>#REF!</v>
      </c>
      <c r="D293" s="20" t="e">
        <f>_xlfn.XLOOKUP(Christus_Emp_Table[[#This Row],[Analyst Name:]],[1]!Table1[Analyst Name],[1]!Table1[Location])</f>
        <v>#REF!</v>
      </c>
      <c r="E293" s="22" t="s">
        <v>19</v>
      </c>
      <c r="F293" s="21">
        <v>45959</v>
      </c>
      <c r="G293" s="21">
        <v>45959</v>
      </c>
      <c r="H293" s="20" t="s">
        <v>20</v>
      </c>
      <c r="I293" s="20" t="s">
        <v>16</v>
      </c>
      <c r="J293" s="20">
        <f>NETWORKDAYS(Christus_Emp_Table[[#This Row],[From Date:]],Christus_Emp_Table[[#This Row],[To Date:]])</f>
        <v>1</v>
      </c>
      <c r="K293" s="20"/>
      <c r="L293" s="20" t="e">
        <f>_xlfn.XLOOKUP(Christus_Emp_Table[[#This Row],[Analyst Name:]],[1]!Table1[Analyst Name],[1]!Table1[Lead])</f>
        <v>#REF!</v>
      </c>
      <c r="M293" s="20" t="e">
        <f>_xlfn.XLOOKUP(Christus_Emp_Table[[#This Row],[Analyst Name:]],[1]!Table1[Analyst Name],[1]!Table1[Active/Inactive])</f>
        <v>#REF!</v>
      </c>
    </row>
    <row r="294" spans="1:13" x14ac:dyDescent="0.35">
      <c r="A294" s="19" t="s">
        <v>47</v>
      </c>
      <c r="B294" s="20" t="e">
        <f>_xlfn.XLOOKUP(Christus_Emp_Table[[#This Row],[Analyst Name:]],[1]!Table1[Analyst Name],[1]!Table1[Deloitte Email ID])</f>
        <v>#REF!</v>
      </c>
      <c r="C294" s="20" t="e">
        <f>_xlfn.XLOOKUP(Christus_Emp_Table[[#This Row],[Analyst Name:]],[1]!Table1[Analyst Name],[1]!Table1[Module])</f>
        <v>#REF!</v>
      </c>
      <c r="D294" s="20" t="e">
        <f>_xlfn.XLOOKUP(Christus_Emp_Table[[#This Row],[Analyst Name:]],[1]!Table1[Analyst Name],[1]!Table1[Location])</f>
        <v>#REF!</v>
      </c>
      <c r="E294" s="20" t="s">
        <v>15</v>
      </c>
      <c r="F294" s="21">
        <v>45659</v>
      </c>
      <c r="G294" s="21">
        <v>45660</v>
      </c>
      <c r="H294" s="20" t="s">
        <v>15</v>
      </c>
      <c r="I294" s="20" t="s">
        <v>16</v>
      </c>
      <c r="J294" s="20">
        <f>NETWORKDAYS(Christus_Emp_Table[[#This Row],[From Date:]],Christus_Emp_Table[[#This Row],[To Date:]])</f>
        <v>2</v>
      </c>
      <c r="K294" s="20"/>
      <c r="L294" s="20" t="e">
        <f>_xlfn.XLOOKUP(Christus_Emp_Table[[#This Row],[Analyst Name:]],[1]!Table1[Analyst Name],[1]!Table1[Lead])</f>
        <v>#REF!</v>
      </c>
      <c r="M294" s="20" t="e">
        <f>_xlfn.XLOOKUP(Christus_Emp_Table[[#This Row],[Analyst Name:]],[1]!Table1[Analyst Name],[1]!Table1[Active/Inactive])</f>
        <v>#REF!</v>
      </c>
    </row>
    <row r="295" spans="1:13" x14ac:dyDescent="0.35">
      <c r="A295" s="19" t="s">
        <v>47</v>
      </c>
      <c r="B295" s="20" t="e">
        <f>_xlfn.XLOOKUP(Christus_Emp_Table[[#This Row],[Analyst Name:]],[1]!Table1[Analyst Name],[1]!Table1[Deloitte Email ID])</f>
        <v>#REF!</v>
      </c>
      <c r="C295" s="20" t="e">
        <f>_xlfn.XLOOKUP(Christus_Emp_Table[[#This Row],[Analyst Name:]],[1]!Table1[Analyst Name],[1]!Table1[Module])</f>
        <v>#REF!</v>
      </c>
      <c r="D295" s="20" t="e">
        <f>_xlfn.XLOOKUP(Christus_Emp_Table[[#This Row],[Analyst Name:]],[1]!Table1[Analyst Name],[1]!Table1[Location])</f>
        <v>#REF!</v>
      </c>
      <c r="E295" s="22" t="s">
        <v>19</v>
      </c>
      <c r="F295" s="21">
        <v>45693</v>
      </c>
      <c r="G295" s="21">
        <v>45693</v>
      </c>
      <c r="H295" s="20" t="s">
        <v>20</v>
      </c>
      <c r="I295" s="20" t="s">
        <v>16</v>
      </c>
      <c r="J295" s="20">
        <f>NETWORKDAYS(Christus_Emp_Table[[#This Row],[From Date:]],Christus_Emp_Table[[#This Row],[To Date:]])</f>
        <v>1</v>
      </c>
      <c r="K295" s="20"/>
      <c r="L295" s="20" t="e">
        <f>_xlfn.XLOOKUP(Christus_Emp_Table[[#This Row],[Analyst Name:]],[1]!Table1[Analyst Name],[1]!Table1[Lead])</f>
        <v>#REF!</v>
      </c>
      <c r="M295" s="20" t="e">
        <f>_xlfn.XLOOKUP(Christus_Emp_Table[[#This Row],[Analyst Name:]],[1]!Table1[Analyst Name],[1]!Table1[Active/Inactive])</f>
        <v>#REF!</v>
      </c>
    </row>
    <row r="296" spans="1:13" x14ac:dyDescent="0.35">
      <c r="A296" s="19" t="s">
        <v>47</v>
      </c>
      <c r="B296" s="20" t="e">
        <f>_xlfn.XLOOKUP(Christus_Emp_Table[[#This Row],[Analyst Name:]],[1]!Table1[Analyst Name],[1]!Table1[Deloitte Email ID])</f>
        <v>#REF!</v>
      </c>
      <c r="C296" s="20" t="e">
        <f>_xlfn.XLOOKUP(Christus_Emp_Table[[#This Row],[Analyst Name:]],[1]!Table1[Analyst Name],[1]!Table1[Module])</f>
        <v>#REF!</v>
      </c>
      <c r="D296" s="20" t="e">
        <f>_xlfn.XLOOKUP(Christus_Emp_Table[[#This Row],[Analyst Name:]],[1]!Table1[Analyst Name],[1]!Table1[Location])</f>
        <v>#REF!</v>
      </c>
      <c r="E296" s="22" t="s">
        <v>19</v>
      </c>
      <c r="F296" s="21">
        <v>45705</v>
      </c>
      <c r="G296" s="21">
        <v>45705</v>
      </c>
      <c r="H296" s="20" t="s">
        <v>20</v>
      </c>
      <c r="I296" s="20" t="s">
        <v>16</v>
      </c>
      <c r="J296" s="20">
        <f>NETWORKDAYS(Christus_Emp_Table[[#This Row],[From Date:]],Christus_Emp_Table[[#This Row],[To Date:]])</f>
        <v>1</v>
      </c>
      <c r="K296" s="20"/>
      <c r="L296" s="20" t="e">
        <f>_xlfn.XLOOKUP(Christus_Emp_Table[[#This Row],[Analyst Name:]],[1]!Table1[Analyst Name],[1]!Table1[Lead])</f>
        <v>#REF!</v>
      </c>
      <c r="M296" s="20" t="e">
        <f>_xlfn.XLOOKUP(Christus_Emp_Table[[#This Row],[Analyst Name:]],[1]!Table1[Analyst Name],[1]!Table1[Active/Inactive])</f>
        <v>#REF!</v>
      </c>
    </row>
    <row r="297" spans="1:13" x14ac:dyDescent="0.35">
      <c r="A297" s="19" t="s">
        <v>47</v>
      </c>
      <c r="B297" s="20" t="e">
        <f>_xlfn.XLOOKUP(Christus_Emp_Table[[#This Row],[Analyst Name:]],[1]!Table1[Analyst Name],[1]!Table1[Deloitte Email ID])</f>
        <v>#REF!</v>
      </c>
      <c r="C297" s="20" t="e">
        <f>_xlfn.XLOOKUP(Christus_Emp_Table[[#This Row],[Analyst Name:]],[1]!Table1[Analyst Name],[1]!Table1[Module])</f>
        <v>#REF!</v>
      </c>
      <c r="D297" s="20" t="e">
        <f>_xlfn.XLOOKUP(Christus_Emp_Table[[#This Row],[Analyst Name:]],[1]!Table1[Analyst Name],[1]!Table1[Location])</f>
        <v>#REF!</v>
      </c>
      <c r="E297" s="22" t="s">
        <v>19</v>
      </c>
      <c r="F297" s="21">
        <v>45707</v>
      </c>
      <c r="G297" s="21">
        <v>45707</v>
      </c>
      <c r="H297" s="20" t="s">
        <v>20</v>
      </c>
      <c r="I297" s="20" t="s">
        <v>16</v>
      </c>
      <c r="J297" s="20">
        <f>NETWORKDAYS(Christus_Emp_Table[[#This Row],[From Date:]],Christus_Emp_Table[[#This Row],[To Date:]])</f>
        <v>1</v>
      </c>
      <c r="K297" s="20"/>
      <c r="L297" s="20" t="e">
        <f>_xlfn.XLOOKUP(Christus_Emp_Table[[#This Row],[Analyst Name:]],[1]!Table1[Analyst Name],[1]!Table1[Lead])</f>
        <v>#REF!</v>
      </c>
      <c r="M297" s="20" t="e">
        <f>_xlfn.XLOOKUP(Christus_Emp_Table[[#This Row],[Analyst Name:]],[1]!Table1[Analyst Name],[1]!Table1[Active/Inactive])</f>
        <v>#REF!</v>
      </c>
    </row>
    <row r="298" spans="1:13" x14ac:dyDescent="0.35">
      <c r="A298" s="19" t="s">
        <v>47</v>
      </c>
      <c r="B298" s="20" t="e">
        <f>_xlfn.XLOOKUP(Christus_Emp_Table[[#This Row],[Analyst Name:]],[1]!Table1[Analyst Name],[1]!Table1[Deloitte Email ID])</f>
        <v>#REF!</v>
      </c>
      <c r="C298" s="20" t="e">
        <f>_xlfn.XLOOKUP(Christus_Emp_Table[[#This Row],[Analyst Name:]],[1]!Table1[Analyst Name],[1]!Table1[Module])</f>
        <v>#REF!</v>
      </c>
      <c r="D298" s="20" t="e">
        <f>_xlfn.XLOOKUP(Christus_Emp_Table[[#This Row],[Analyst Name:]],[1]!Table1[Analyst Name],[1]!Table1[Location])</f>
        <v>#REF!</v>
      </c>
      <c r="E298" s="20" t="s">
        <v>15</v>
      </c>
      <c r="F298" s="21">
        <v>45708</v>
      </c>
      <c r="G298" s="21">
        <v>45712</v>
      </c>
      <c r="H298" s="20" t="s">
        <v>15</v>
      </c>
      <c r="I298" s="20" t="s">
        <v>16</v>
      </c>
      <c r="J298" s="20">
        <f>NETWORKDAYS(Christus_Emp_Table[[#This Row],[From Date:]],Christus_Emp_Table[[#This Row],[To Date:]])</f>
        <v>3</v>
      </c>
      <c r="K298" s="20"/>
      <c r="L298" s="20" t="e">
        <f>_xlfn.XLOOKUP(Christus_Emp_Table[[#This Row],[Analyst Name:]],[1]!Table1[Analyst Name],[1]!Table1[Lead])</f>
        <v>#REF!</v>
      </c>
      <c r="M298" s="20" t="e">
        <f>_xlfn.XLOOKUP(Christus_Emp_Table[[#This Row],[Analyst Name:]],[1]!Table1[Analyst Name],[1]!Table1[Active/Inactive])</f>
        <v>#REF!</v>
      </c>
    </row>
    <row r="299" spans="1:13" x14ac:dyDescent="0.35">
      <c r="A299" s="19" t="s">
        <v>47</v>
      </c>
      <c r="B299" s="20" t="e">
        <f>_xlfn.XLOOKUP(Christus_Emp_Table[[#This Row],[Analyst Name:]],[1]!Table1[Analyst Name],[1]!Table1[Deloitte Email ID])</f>
        <v>#REF!</v>
      </c>
      <c r="C299" s="20" t="e">
        <f>_xlfn.XLOOKUP(Christus_Emp_Table[[#This Row],[Analyst Name:]],[1]!Table1[Analyst Name],[1]!Table1[Module])</f>
        <v>#REF!</v>
      </c>
      <c r="D299" s="20" t="e">
        <f>_xlfn.XLOOKUP(Christus_Emp_Table[[#This Row],[Analyst Name:]],[1]!Table1[Analyst Name],[1]!Table1[Location])</f>
        <v>#REF!</v>
      </c>
      <c r="E299" s="22" t="s">
        <v>19</v>
      </c>
      <c r="F299" s="21">
        <v>45715</v>
      </c>
      <c r="G299" s="21">
        <v>45715</v>
      </c>
      <c r="H299" s="20" t="s">
        <v>20</v>
      </c>
      <c r="I299" s="20" t="s">
        <v>16</v>
      </c>
      <c r="J299" s="20">
        <f>NETWORKDAYS(Christus_Emp_Table[[#This Row],[From Date:]],Christus_Emp_Table[[#This Row],[To Date:]])</f>
        <v>1</v>
      </c>
      <c r="K299" s="20"/>
      <c r="L299" s="20" t="e">
        <f>_xlfn.XLOOKUP(Christus_Emp_Table[[#This Row],[Analyst Name:]],[1]!Table1[Analyst Name],[1]!Table1[Lead])</f>
        <v>#REF!</v>
      </c>
      <c r="M299" s="20" t="e">
        <f>_xlfn.XLOOKUP(Christus_Emp_Table[[#This Row],[Analyst Name:]],[1]!Table1[Analyst Name],[1]!Table1[Active/Inactive])</f>
        <v>#REF!</v>
      </c>
    </row>
    <row r="300" spans="1:13" x14ac:dyDescent="0.35">
      <c r="A300" s="23" t="s">
        <v>47</v>
      </c>
      <c r="B300" s="20" t="e">
        <f>_xlfn.XLOOKUP(Christus_Emp_Table[[#This Row],[Analyst Name:]],[1]!Table1[Analyst Name],[1]!Table1[Deloitte Email ID])</f>
        <v>#REF!</v>
      </c>
      <c r="C300" s="20" t="e">
        <f>_xlfn.XLOOKUP(Christus_Emp_Table[[#This Row],[Analyst Name:]],[1]!Table1[Analyst Name],[1]!Table1[Module])</f>
        <v>#REF!</v>
      </c>
      <c r="D300" s="20" t="e">
        <f>_xlfn.XLOOKUP(Christus_Emp_Table[[#This Row],[Analyst Name:]],[1]!Table1[Analyst Name],[1]!Table1[Location])</f>
        <v>#REF!</v>
      </c>
      <c r="E300" s="22" t="s">
        <v>48</v>
      </c>
      <c r="F300" s="24">
        <v>45717</v>
      </c>
      <c r="G300" s="24">
        <v>45945</v>
      </c>
      <c r="H300" s="22" t="s">
        <v>49</v>
      </c>
      <c r="I300" s="22" t="s">
        <v>16</v>
      </c>
      <c r="J300" s="20">
        <f>NETWORKDAYS(Christus_Emp_Table[[#This Row],[From Date:]],Christus_Emp_Table[[#This Row],[To Date:]])</f>
        <v>163</v>
      </c>
      <c r="K300" s="20"/>
      <c r="L300" s="20" t="e">
        <f>_xlfn.XLOOKUP(Christus_Emp_Table[[#This Row],[Analyst Name:]],[1]!Table1[Analyst Name],[1]!Table1[Lead])</f>
        <v>#REF!</v>
      </c>
      <c r="M300" s="20" t="e">
        <f>_xlfn.XLOOKUP(Christus_Emp_Table[[#This Row],[Analyst Name:]],[1]!Table1[Analyst Name],[1]!Table1[Active/Inactive])</f>
        <v>#REF!</v>
      </c>
    </row>
    <row r="301" spans="1:13" x14ac:dyDescent="0.35">
      <c r="A301" s="23" t="s">
        <v>47</v>
      </c>
      <c r="B301" s="20" t="e">
        <f>_xlfn.XLOOKUP(Christus_Emp_Table[[#This Row],[Analyst Name:]],[1]!Table1[Analyst Name],[1]!Table1[Deloitte Email ID])</f>
        <v>#REF!</v>
      </c>
      <c r="C301" s="22" t="e">
        <f>_xlfn.XLOOKUP(Christus_Emp_Table[[#This Row],[Analyst Name:]],[1]!Table1[Analyst Name],[1]!Table1[Module])</f>
        <v>#REF!</v>
      </c>
      <c r="D301" s="22" t="e">
        <f>_xlfn.XLOOKUP(Christus_Emp_Table[[#This Row],[Analyst Name:]],[1]!Table1[Analyst Name],[1]!Table1[Location])</f>
        <v>#REF!</v>
      </c>
      <c r="E301" s="22" t="s">
        <v>19</v>
      </c>
      <c r="F301" s="24">
        <v>45972</v>
      </c>
      <c r="G301" s="24">
        <v>45972</v>
      </c>
      <c r="H301" s="20" t="s">
        <v>20</v>
      </c>
      <c r="I301" s="22" t="s">
        <v>16</v>
      </c>
      <c r="J301" s="20">
        <f>NETWORKDAYS(Christus_Emp_Table[[#This Row],[From Date:]],Christus_Emp_Table[[#This Row],[To Date:]])</f>
        <v>1</v>
      </c>
      <c r="K301" s="20"/>
      <c r="L301" s="20" t="e">
        <f>_xlfn.XLOOKUP(Christus_Emp_Table[[#This Row],[Analyst Name:]],[1]!Table1[Analyst Name],[1]!Table1[Lead])</f>
        <v>#REF!</v>
      </c>
      <c r="M301" s="20" t="e">
        <f>_xlfn.XLOOKUP(Christus_Emp_Table[[#This Row],[Analyst Name:]],[1]!Table1[Analyst Name],[1]!Table1[Active/Inactive])</f>
        <v>#REF!</v>
      </c>
    </row>
    <row r="302" spans="1:13" x14ac:dyDescent="0.35">
      <c r="A302" s="23" t="s">
        <v>37</v>
      </c>
      <c r="B302" s="20" t="e">
        <f>_xlfn.XLOOKUP(Christus_Emp_Table[[#This Row],[Analyst Name:]],[1]!Table1[Analyst Name],[1]!Table1[Deloitte Email ID])</f>
        <v>#REF!</v>
      </c>
      <c r="C302" s="22" t="e">
        <f>_xlfn.XLOOKUP(Christus_Emp_Table[[#This Row],[Analyst Name:]],[1]!Table1[Analyst Name],[1]!Table1[Module])</f>
        <v>#REF!</v>
      </c>
      <c r="D302" s="22" t="e">
        <f>_xlfn.XLOOKUP(Christus_Emp_Table[[#This Row],[Analyst Name:]],[1]!Table1[Analyst Name],[1]!Table1[Location])</f>
        <v>#REF!</v>
      </c>
      <c r="E302" s="22" t="s">
        <v>19</v>
      </c>
      <c r="F302" s="24">
        <v>45966</v>
      </c>
      <c r="G302" s="24">
        <v>45966</v>
      </c>
      <c r="H302" s="20" t="s">
        <v>20</v>
      </c>
      <c r="I302" s="22" t="s">
        <v>16</v>
      </c>
      <c r="J302" s="20">
        <f>NETWORKDAYS(Christus_Emp_Table[[#This Row],[From Date:]],Christus_Emp_Table[[#This Row],[To Date:]])</f>
        <v>1</v>
      </c>
      <c r="K302" s="20"/>
      <c r="L302" s="20" t="e">
        <f>_xlfn.XLOOKUP(Christus_Emp_Table[[#This Row],[Analyst Name:]],[1]!Table1[Analyst Name],[1]!Table1[Lead])</f>
        <v>#REF!</v>
      </c>
      <c r="M302" s="20" t="e">
        <f>_xlfn.XLOOKUP(Christus_Emp_Table[[#This Row],[Analyst Name:]],[1]!Table1[Analyst Name],[1]!Table1[Active/Inactive])</f>
        <v>#REF!</v>
      </c>
    </row>
    <row r="303" spans="1:13" x14ac:dyDescent="0.35">
      <c r="A303" s="23" t="s">
        <v>36</v>
      </c>
      <c r="B303" s="20" t="e">
        <f>_xlfn.XLOOKUP(Christus_Emp_Table[[#This Row],[Analyst Name:]],[1]!Table1[Analyst Name],[1]!Table1[Deloitte Email ID])</f>
        <v>#REF!</v>
      </c>
      <c r="C303" s="22" t="e">
        <f>_xlfn.XLOOKUP(Christus_Emp_Table[[#This Row],[Analyst Name:]],[1]!Table1[Analyst Name],[1]!Table1[Module])</f>
        <v>#REF!</v>
      </c>
      <c r="D303" s="22" t="e">
        <f>_xlfn.XLOOKUP(Christus_Emp_Table[[#This Row],[Analyst Name:]],[1]!Table1[Analyst Name],[1]!Table1[Location])</f>
        <v>#REF!</v>
      </c>
      <c r="E303" s="22" t="s">
        <v>15</v>
      </c>
      <c r="F303" s="24">
        <v>45967</v>
      </c>
      <c r="G303" s="24">
        <v>45968</v>
      </c>
      <c r="H303" s="22" t="s">
        <v>15</v>
      </c>
      <c r="I303" s="22" t="s">
        <v>16</v>
      </c>
      <c r="J303" s="20">
        <f>NETWORKDAYS(Christus_Emp_Table[[#This Row],[From Date:]],Christus_Emp_Table[[#This Row],[To Date:]])</f>
        <v>2</v>
      </c>
      <c r="K303" s="20"/>
      <c r="L303" s="20" t="e">
        <f>_xlfn.XLOOKUP(Christus_Emp_Table[[#This Row],[Analyst Name:]],[1]!Table1[Analyst Name],[1]!Table1[Lead])</f>
        <v>#REF!</v>
      </c>
      <c r="M303" s="20" t="e">
        <f>_xlfn.XLOOKUP(Christus_Emp_Table[[#This Row],[Analyst Name:]],[1]!Table1[Analyst Name],[1]!Table1[Active/Inactive])</f>
        <v>#REF!</v>
      </c>
    </row>
    <row r="304" spans="1:13" x14ac:dyDescent="0.35">
      <c r="A304" s="23" t="s">
        <v>35</v>
      </c>
      <c r="B304" s="20" t="e">
        <f>_xlfn.XLOOKUP(Christus_Emp_Table[[#This Row],[Analyst Name:]],[1]!Table1[Analyst Name],[1]!Table1[Deloitte Email ID])</f>
        <v>#REF!</v>
      </c>
      <c r="C304" s="22" t="e">
        <f>_xlfn.XLOOKUP(Christus_Emp_Table[[#This Row],[Analyst Name:]],[1]!Table1[Analyst Name],[1]!Table1[Module])</f>
        <v>#REF!</v>
      </c>
      <c r="D304" s="22" t="e">
        <f>_xlfn.XLOOKUP(Christus_Emp_Table[[#This Row],[Analyst Name:]],[1]!Table1[Analyst Name],[1]!Table1[Location])</f>
        <v>#REF!</v>
      </c>
      <c r="E304" s="22" t="s">
        <v>19</v>
      </c>
      <c r="F304" s="24">
        <v>45966</v>
      </c>
      <c r="G304" s="24">
        <v>45966</v>
      </c>
      <c r="H304" s="20" t="s">
        <v>20</v>
      </c>
      <c r="I304" s="22" t="s">
        <v>16</v>
      </c>
      <c r="J304" s="20">
        <f>NETWORKDAYS(Christus_Emp_Table[[#This Row],[From Date:]],Christus_Emp_Table[[#This Row],[To Date:]])</f>
        <v>1</v>
      </c>
      <c r="K304" s="20"/>
      <c r="L304" s="20" t="e">
        <f>_xlfn.XLOOKUP(Christus_Emp_Table[[#This Row],[Analyst Name:]],[1]!Table1[Analyst Name],[1]!Table1[Lead])</f>
        <v>#REF!</v>
      </c>
      <c r="M304" s="20" t="e">
        <f>_xlfn.XLOOKUP(Christus_Emp_Table[[#This Row],[Analyst Name:]],[1]!Table1[Analyst Name],[1]!Table1[Active/Inactive])</f>
        <v>#REF!</v>
      </c>
    </row>
    <row r="305" spans="1:13" x14ac:dyDescent="0.35">
      <c r="A305" s="23" t="s">
        <v>34</v>
      </c>
      <c r="B305" s="20" t="e">
        <f>_xlfn.XLOOKUP(Christus_Emp_Table[[#This Row],[Analyst Name:]],[1]!Table1[Analyst Name],[1]!Table1[Deloitte Email ID])</f>
        <v>#REF!</v>
      </c>
      <c r="C305" s="22" t="e">
        <f>_xlfn.XLOOKUP(Christus_Emp_Table[[#This Row],[Analyst Name:]],[1]!Table1[Analyst Name],[1]!Table1[Module])</f>
        <v>#REF!</v>
      </c>
      <c r="D305" s="22" t="e">
        <f>_xlfn.XLOOKUP(Christus_Emp_Table[[#This Row],[Analyst Name:]],[1]!Table1[Analyst Name],[1]!Table1[Location])</f>
        <v>#REF!</v>
      </c>
      <c r="E305" s="22" t="s">
        <v>19</v>
      </c>
      <c r="F305" s="24">
        <v>45975</v>
      </c>
      <c r="G305" s="24">
        <v>45975</v>
      </c>
      <c r="H305" s="20" t="s">
        <v>20</v>
      </c>
      <c r="I305" s="22" t="s">
        <v>16</v>
      </c>
      <c r="J305" s="20">
        <f>NETWORKDAYS(Christus_Emp_Table[[#This Row],[From Date:]],Christus_Emp_Table[[#This Row],[To Date:]])</f>
        <v>1</v>
      </c>
      <c r="K305" s="20"/>
      <c r="L305" s="20" t="e">
        <f>_xlfn.XLOOKUP(Christus_Emp_Table[[#This Row],[Analyst Name:]],[1]!Table1[Analyst Name],[1]!Table1[Lead])</f>
        <v>#REF!</v>
      </c>
      <c r="M305" s="20" t="e">
        <f>_xlfn.XLOOKUP(Christus_Emp_Table[[#This Row],[Analyst Name:]],[1]!Table1[Analyst Name],[1]!Table1[Active/Inactive])</f>
        <v>#REF!</v>
      </c>
    </row>
    <row r="306" spans="1:13" x14ac:dyDescent="0.35">
      <c r="A306" s="23" t="s">
        <v>33</v>
      </c>
      <c r="B306" s="20" t="e">
        <f>_xlfn.XLOOKUP(Christus_Emp_Table[[#This Row],[Analyst Name:]],[1]!Table1[Analyst Name],[1]!Table1[Deloitte Email ID])</f>
        <v>#REF!</v>
      </c>
      <c r="C306" s="22" t="e">
        <f>_xlfn.XLOOKUP(Christus_Emp_Table[[#This Row],[Analyst Name:]],[1]!Table1[Analyst Name],[1]!Table1[Module])</f>
        <v>#REF!</v>
      </c>
      <c r="D306" s="22" t="e">
        <f>_xlfn.XLOOKUP(Christus_Emp_Table[[#This Row],[Analyst Name:]],[1]!Table1[Analyst Name],[1]!Table1[Location])</f>
        <v>#REF!</v>
      </c>
      <c r="E306" s="22" t="s">
        <v>15</v>
      </c>
      <c r="F306" s="24">
        <v>45966</v>
      </c>
      <c r="G306" s="24">
        <v>45968</v>
      </c>
      <c r="H306" s="22" t="s">
        <v>15</v>
      </c>
      <c r="I306" s="22" t="s">
        <v>16</v>
      </c>
      <c r="J306" s="20">
        <f>NETWORKDAYS(Christus_Emp_Table[[#This Row],[From Date:]],Christus_Emp_Table[[#This Row],[To Date:]])</f>
        <v>3</v>
      </c>
      <c r="K306" s="20"/>
      <c r="L306" s="20" t="e">
        <f>_xlfn.XLOOKUP(Christus_Emp_Table[[#This Row],[Analyst Name:]],[1]!Table1[Analyst Name],[1]!Table1[Lead])</f>
        <v>#REF!</v>
      </c>
      <c r="M306" s="20" t="e">
        <f>_xlfn.XLOOKUP(Christus_Emp_Table[[#This Row],[Analyst Name:]],[1]!Table1[Analyst Name],[1]!Table1[Active/Inactive])</f>
        <v>#REF!</v>
      </c>
    </row>
    <row r="307" spans="1:13" x14ac:dyDescent="0.35">
      <c r="A307" s="23" t="s">
        <v>33</v>
      </c>
      <c r="B307" s="20" t="e">
        <f>_xlfn.XLOOKUP(Christus_Emp_Table[[#This Row],[Analyst Name:]],[1]!Table1[Analyst Name],[1]!Table1[Deloitte Email ID])</f>
        <v>#REF!</v>
      </c>
      <c r="C307" s="22" t="e">
        <f>_xlfn.XLOOKUP(Christus_Emp_Table[[#This Row],[Analyst Name:]],[1]!Table1[Analyst Name],[1]!Table1[Module])</f>
        <v>#REF!</v>
      </c>
      <c r="D307" s="22" t="e">
        <f>_xlfn.XLOOKUP(Christus_Emp_Table[[#This Row],[Analyst Name:]],[1]!Table1[Analyst Name],[1]!Table1[Location])</f>
        <v>#REF!</v>
      </c>
      <c r="E307" s="22" t="s">
        <v>15</v>
      </c>
      <c r="F307" s="24">
        <v>45982</v>
      </c>
      <c r="G307" s="24">
        <v>45988</v>
      </c>
      <c r="H307" s="22" t="s">
        <v>15</v>
      </c>
      <c r="I307" s="22" t="s">
        <v>16</v>
      </c>
      <c r="J307" s="20">
        <f>NETWORKDAYS(Christus_Emp_Table[[#This Row],[From Date:]],Christus_Emp_Table[[#This Row],[To Date:]])</f>
        <v>5</v>
      </c>
      <c r="K307" s="20"/>
      <c r="L307" s="20" t="e">
        <f>_xlfn.XLOOKUP(Christus_Emp_Table[[#This Row],[Analyst Name:]],[1]!Table1[Analyst Name],[1]!Table1[Lead])</f>
        <v>#REF!</v>
      </c>
      <c r="M307" s="20" t="e">
        <f>_xlfn.XLOOKUP(Christus_Emp_Table[[#This Row],[Analyst Name:]],[1]!Table1[Analyst Name],[1]!Table1[Active/Inactive])</f>
        <v>#REF!</v>
      </c>
    </row>
    <row r="308" spans="1:13" x14ac:dyDescent="0.35">
      <c r="A308" s="23" t="s">
        <v>32</v>
      </c>
      <c r="B308" s="20" t="e">
        <f>_xlfn.XLOOKUP(Christus_Emp_Table[[#This Row],[Analyst Name:]],[1]!Table1[Analyst Name],[1]!Table1[Deloitte Email ID])</f>
        <v>#REF!</v>
      </c>
      <c r="C308" s="22" t="e">
        <f>_xlfn.XLOOKUP(Christus_Emp_Table[[#This Row],[Analyst Name:]],[1]!Table1[Analyst Name],[1]!Table1[Module])</f>
        <v>#REF!</v>
      </c>
      <c r="D308" s="22" t="e">
        <f>_xlfn.XLOOKUP(Christus_Emp_Table[[#This Row],[Analyst Name:]],[1]!Table1[Analyst Name],[1]!Table1[Location])</f>
        <v>#REF!</v>
      </c>
      <c r="E308" s="22" t="s">
        <v>15</v>
      </c>
      <c r="F308" s="24">
        <v>45967</v>
      </c>
      <c r="G308" s="24">
        <v>45968</v>
      </c>
      <c r="H308" s="22" t="s">
        <v>15</v>
      </c>
      <c r="I308" s="22" t="s">
        <v>16</v>
      </c>
      <c r="J308" s="20">
        <f>NETWORKDAYS(Christus_Emp_Table[[#This Row],[From Date:]],Christus_Emp_Table[[#This Row],[To Date:]])</f>
        <v>2</v>
      </c>
      <c r="K308" s="20"/>
      <c r="L308" s="20" t="e">
        <f>_xlfn.XLOOKUP(Christus_Emp_Table[[#This Row],[Analyst Name:]],[1]!Table1[Analyst Name],[1]!Table1[Lead])</f>
        <v>#REF!</v>
      </c>
      <c r="M308" s="20" t="e">
        <f>_xlfn.XLOOKUP(Christus_Emp_Table[[#This Row],[Analyst Name:]],[1]!Table1[Analyst Name],[1]!Table1[Active/Inactive])</f>
        <v>#REF!</v>
      </c>
    </row>
    <row r="309" spans="1:13" x14ac:dyDescent="0.35">
      <c r="A309" s="23" t="s">
        <v>40</v>
      </c>
      <c r="B309" s="20" t="e">
        <f>_xlfn.XLOOKUP(Christus_Emp_Table[[#This Row],[Analyst Name:]],[1]!Table1[Analyst Name],[1]!Table1[Deloitte Email ID])</f>
        <v>#REF!</v>
      </c>
      <c r="C309" s="22" t="e">
        <f>_xlfn.XLOOKUP(Christus_Emp_Table[[#This Row],[Analyst Name:]],[1]!Table1[Analyst Name],[1]!Table1[Module])</f>
        <v>#REF!</v>
      </c>
      <c r="D309" s="22" t="e">
        <f>_xlfn.XLOOKUP(Christus_Emp_Table[[#This Row],[Analyst Name:]],[1]!Table1[Analyst Name],[1]!Table1[Location])</f>
        <v>#REF!</v>
      </c>
      <c r="E309" s="22" t="s">
        <v>15</v>
      </c>
      <c r="F309" s="24">
        <v>45964</v>
      </c>
      <c r="G309" s="24">
        <v>45964</v>
      </c>
      <c r="H309" s="22" t="s">
        <v>15</v>
      </c>
      <c r="I309" s="22" t="s">
        <v>16</v>
      </c>
      <c r="J309" s="20">
        <f>NETWORKDAYS(Christus_Emp_Table[[#This Row],[From Date:]],Christus_Emp_Table[[#This Row],[To Date:]])</f>
        <v>1</v>
      </c>
      <c r="K309" s="20"/>
      <c r="L309" s="20" t="e">
        <f>_xlfn.XLOOKUP(Christus_Emp_Table[[#This Row],[Analyst Name:]],[1]!Table1[Analyst Name],[1]!Table1[Lead])</f>
        <v>#REF!</v>
      </c>
      <c r="M309" s="20" t="e">
        <f>_xlfn.XLOOKUP(Christus_Emp_Table[[#This Row],[Analyst Name:]],[1]!Table1[Analyst Name],[1]!Table1[Active/Inactive])</f>
        <v>#REF!</v>
      </c>
    </row>
    <row r="310" spans="1:13" x14ac:dyDescent="0.35">
      <c r="A310" s="23" t="s">
        <v>31</v>
      </c>
      <c r="B310" s="20" t="e">
        <f>_xlfn.XLOOKUP(Christus_Emp_Table[[#This Row],[Analyst Name:]],[1]!Table1[Analyst Name],[1]!Table1[Deloitte Email ID])</f>
        <v>#REF!</v>
      </c>
      <c r="C310" s="22" t="e">
        <f>_xlfn.XLOOKUP(Christus_Emp_Table[[#This Row],[Analyst Name:]],[1]!Table1[Analyst Name],[1]!Table1[Module])</f>
        <v>#REF!</v>
      </c>
      <c r="D310" s="22" t="e">
        <f>_xlfn.XLOOKUP(Christus_Emp_Table[[#This Row],[Analyst Name:]],[1]!Table1[Analyst Name],[1]!Table1[Location])</f>
        <v>#REF!</v>
      </c>
      <c r="E310" s="22" t="s">
        <v>15</v>
      </c>
      <c r="F310" s="24">
        <v>45971</v>
      </c>
      <c r="G310" s="24">
        <v>45971</v>
      </c>
      <c r="H310" s="22" t="s">
        <v>15</v>
      </c>
      <c r="I310" s="22" t="s">
        <v>16</v>
      </c>
      <c r="J310" s="20">
        <f>NETWORKDAYS(Christus_Emp_Table[[#This Row],[From Date:]],Christus_Emp_Table[[#This Row],[To Date:]])</f>
        <v>1</v>
      </c>
      <c r="K310" s="20"/>
      <c r="L310" s="20" t="e">
        <f>_xlfn.XLOOKUP(Christus_Emp_Table[[#This Row],[Analyst Name:]],[1]!Table1[Analyst Name],[1]!Table1[Lead])</f>
        <v>#REF!</v>
      </c>
      <c r="M310" s="20" t="e">
        <f>_xlfn.XLOOKUP(Christus_Emp_Table[[#This Row],[Analyst Name:]],[1]!Table1[Analyst Name],[1]!Table1[Active/Inactive])</f>
        <v>#REF!</v>
      </c>
    </row>
    <row r="311" spans="1:13" x14ac:dyDescent="0.35">
      <c r="A311" s="23" t="s">
        <v>31</v>
      </c>
      <c r="B311" s="20" t="e">
        <f>_xlfn.XLOOKUP(Christus_Emp_Table[[#This Row],[Analyst Name:]],[1]!Table1[Analyst Name],[1]!Table1[Deloitte Email ID])</f>
        <v>#REF!</v>
      </c>
      <c r="C311" s="22" t="e">
        <f>_xlfn.XLOOKUP(Christus_Emp_Table[[#This Row],[Analyst Name:]],[1]!Table1[Analyst Name],[1]!Table1[Module])</f>
        <v>#REF!</v>
      </c>
      <c r="D311" s="22" t="e">
        <f>_xlfn.XLOOKUP(Christus_Emp_Table[[#This Row],[Analyst Name:]],[1]!Table1[Analyst Name],[1]!Table1[Location])</f>
        <v>#REF!</v>
      </c>
      <c r="E311" s="22" t="s">
        <v>15</v>
      </c>
      <c r="F311" s="24">
        <v>45982</v>
      </c>
      <c r="G311" s="24">
        <v>45982</v>
      </c>
      <c r="H311" s="22" t="s">
        <v>15</v>
      </c>
      <c r="I311" s="22" t="s">
        <v>16</v>
      </c>
      <c r="J311" s="20">
        <f>NETWORKDAYS(Christus_Emp_Table[[#This Row],[From Date:]],Christus_Emp_Table[[#This Row],[To Date:]])</f>
        <v>1</v>
      </c>
      <c r="K311" s="20"/>
      <c r="L311" s="20" t="e">
        <f>_xlfn.XLOOKUP(Christus_Emp_Table[[#This Row],[Analyst Name:]],[1]!Table1[Analyst Name],[1]!Table1[Lead])</f>
        <v>#REF!</v>
      </c>
      <c r="M311" s="20" t="e">
        <f>_xlfn.XLOOKUP(Christus_Emp_Table[[#This Row],[Analyst Name:]],[1]!Table1[Analyst Name],[1]!Table1[Active/Inactive])</f>
        <v>#REF!</v>
      </c>
    </row>
    <row r="312" spans="1:13" x14ac:dyDescent="0.35">
      <c r="A312" s="23" t="s">
        <v>29</v>
      </c>
      <c r="B312" s="20" t="e">
        <f>_xlfn.XLOOKUP(Christus_Emp_Table[[#This Row],[Analyst Name:]],[1]!Table1[Analyst Name],[1]!Table1[Deloitte Email ID])</f>
        <v>#REF!</v>
      </c>
      <c r="C312" s="22" t="e">
        <f>_xlfn.XLOOKUP(Christus_Emp_Table[[#This Row],[Analyst Name:]],[1]!Table1[Analyst Name],[1]!Table1[Module])</f>
        <v>#REF!</v>
      </c>
      <c r="D312" s="22" t="e">
        <f>_xlfn.XLOOKUP(Christus_Emp_Table[[#This Row],[Analyst Name:]],[1]!Table1[Analyst Name],[1]!Table1[Location])</f>
        <v>#REF!</v>
      </c>
      <c r="E312" s="22" t="s">
        <v>19</v>
      </c>
      <c r="F312" s="24">
        <v>45972</v>
      </c>
      <c r="G312" s="24">
        <v>45973</v>
      </c>
      <c r="H312" s="20" t="s">
        <v>20</v>
      </c>
      <c r="I312" s="22" t="s">
        <v>16</v>
      </c>
      <c r="J312" s="20">
        <f>NETWORKDAYS(Christus_Emp_Table[[#This Row],[From Date:]],Christus_Emp_Table[[#This Row],[To Date:]])</f>
        <v>2</v>
      </c>
      <c r="K312" s="20"/>
      <c r="L312" s="20" t="e">
        <f>_xlfn.XLOOKUP(Christus_Emp_Table[[#This Row],[Analyst Name:]],[1]!Table1[Analyst Name],[1]!Table1[Lead])</f>
        <v>#REF!</v>
      </c>
      <c r="M312" s="20" t="e">
        <f>_xlfn.XLOOKUP(Christus_Emp_Table[[#This Row],[Analyst Name:]],[1]!Table1[Analyst Name],[1]!Table1[Active/Inactive])</f>
        <v>#REF!</v>
      </c>
    </row>
    <row r="313" spans="1:13" x14ac:dyDescent="0.35">
      <c r="A313" s="23" t="s">
        <v>29</v>
      </c>
      <c r="B313" s="20" t="e">
        <f>_xlfn.XLOOKUP(Christus_Emp_Table[[#This Row],[Analyst Name:]],[1]!Table1[Analyst Name],[1]!Table1[Deloitte Email ID])</f>
        <v>#REF!</v>
      </c>
      <c r="C313" s="22" t="e">
        <f>_xlfn.XLOOKUP(Christus_Emp_Table[[#This Row],[Analyst Name:]],[1]!Table1[Analyst Name],[1]!Table1[Module])</f>
        <v>#REF!</v>
      </c>
      <c r="D313" s="22" t="e">
        <f>_xlfn.XLOOKUP(Christus_Emp_Table[[#This Row],[Analyst Name:]],[1]!Table1[Analyst Name],[1]!Table1[Location])</f>
        <v>#REF!</v>
      </c>
      <c r="E313" s="22" t="s">
        <v>15</v>
      </c>
      <c r="F313" s="24">
        <v>45979</v>
      </c>
      <c r="G313" s="24">
        <v>45979</v>
      </c>
      <c r="H313" s="22" t="s">
        <v>15</v>
      </c>
      <c r="I313" s="22" t="s">
        <v>16</v>
      </c>
      <c r="J313" s="20">
        <f>NETWORKDAYS(Christus_Emp_Table[[#This Row],[From Date:]],Christus_Emp_Table[[#This Row],[To Date:]])</f>
        <v>1</v>
      </c>
      <c r="K313" s="20"/>
      <c r="L313" s="20" t="e">
        <f>_xlfn.XLOOKUP(Christus_Emp_Table[[#This Row],[Analyst Name:]],[1]!Table1[Analyst Name],[1]!Table1[Lead])</f>
        <v>#REF!</v>
      </c>
      <c r="M313" s="20" t="e">
        <f>_xlfn.XLOOKUP(Christus_Emp_Table[[#This Row],[Analyst Name:]],[1]!Table1[Analyst Name],[1]!Table1[Active/Inactive])</f>
        <v>#REF!</v>
      </c>
    </row>
    <row r="314" spans="1:13" x14ac:dyDescent="0.35">
      <c r="A314" s="23" t="s">
        <v>39</v>
      </c>
      <c r="B314" s="20" t="e">
        <f>_xlfn.XLOOKUP(Christus_Emp_Table[[#This Row],[Analyst Name:]],[1]!Table1[Analyst Name],[1]!Table1[Deloitte Email ID])</f>
        <v>#REF!</v>
      </c>
      <c r="C314" s="22" t="e">
        <f>_xlfn.XLOOKUP(Christus_Emp_Table[[#This Row],[Analyst Name:]],[1]!Table1[Analyst Name],[1]!Table1[Module])</f>
        <v>#REF!</v>
      </c>
      <c r="D314" s="22" t="e">
        <f>_xlfn.XLOOKUP(Christus_Emp_Table[[#This Row],[Analyst Name:]],[1]!Table1[Analyst Name],[1]!Table1[Location])</f>
        <v>#REF!</v>
      </c>
      <c r="E314" s="22" t="s">
        <v>19</v>
      </c>
      <c r="F314" s="24">
        <v>45978</v>
      </c>
      <c r="G314" s="24">
        <v>45978</v>
      </c>
      <c r="H314" s="20" t="s">
        <v>20</v>
      </c>
      <c r="I314" s="22" t="s">
        <v>16</v>
      </c>
      <c r="J314" s="20">
        <f>NETWORKDAYS(Christus_Emp_Table[[#This Row],[From Date:]],Christus_Emp_Table[[#This Row],[To Date:]])</f>
        <v>1</v>
      </c>
      <c r="K314" s="20"/>
      <c r="L314" s="20" t="e">
        <f>_xlfn.XLOOKUP(Christus_Emp_Table[[#This Row],[Analyst Name:]],[1]!Table1[Analyst Name],[1]!Table1[Lead])</f>
        <v>#REF!</v>
      </c>
      <c r="M314" s="20" t="e">
        <f>_xlfn.XLOOKUP(Christus_Emp_Table[[#This Row],[Analyst Name:]],[1]!Table1[Analyst Name],[1]!Table1[Active/Inactive])</f>
        <v>#REF!</v>
      </c>
    </row>
    <row r="315" spans="1:13" x14ac:dyDescent="0.35">
      <c r="A315" s="23" t="s">
        <v>28</v>
      </c>
      <c r="B315" s="20" t="e">
        <f>_xlfn.XLOOKUP(Christus_Emp_Table[[#This Row],[Analyst Name:]],[1]!Table1[Analyst Name],[1]!Table1[Deloitte Email ID])</f>
        <v>#REF!</v>
      </c>
      <c r="C315" s="22" t="e">
        <f>_xlfn.XLOOKUP(Christus_Emp_Table[[#This Row],[Analyst Name:]],[1]!Table1[Analyst Name],[1]!Table1[Module])</f>
        <v>#REF!</v>
      </c>
      <c r="D315" s="22" t="e">
        <f>_xlfn.XLOOKUP(Christus_Emp_Table[[#This Row],[Analyst Name:]],[1]!Table1[Analyst Name],[1]!Table1[Location])</f>
        <v>#REF!</v>
      </c>
      <c r="E315" s="22" t="s">
        <v>19</v>
      </c>
      <c r="F315" s="24">
        <v>45974</v>
      </c>
      <c r="G315" s="24">
        <v>45974</v>
      </c>
      <c r="H315" s="20" t="s">
        <v>20</v>
      </c>
      <c r="I315" s="22" t="s">
        <v>16</v>
      </c>
      <c r="J315" s="20">
        <f>NETWORKDAYS(Christus_Emp_Table[[#This Row],[From Date:]],Christus_Emp_Table[[#This Row],[To Date:]])</f>
        <v>1</v>
      </c>
      <c r="K315" s="20"/>
      <c r="L315" s="20" t="e">
        <f>_xlfn.XLOOKUP(Christus_Emp_Table[[#This Row],[Analyst Name:]],[1]!Table1[Analyst Name],[1]!Table1[Lead])</f>
        <v>#REF!</v>
      </c>
      <c r="M315" s="20" t="e">
        <f>_xlfn.XLOOKUP(Christus_Emp_Table[[#This Row],[Analyst Name:]],[1]!Table1[Analyst Name],[1]!Table1[Active/Inactive])</f>
        <v>#REF!</v>
      </c>
    </row>
    <row r="316" spans="1:13" x14ac:dyDescent="0.35">
      <c r="A316" s="23" t="s">
        <v>22</v>
      </c>
      <c r="B316" s="20" t="e">
        <f>_xlfn.XLOOKUP(Christus_Emp_Table[[#This Row],[Analyst Name:]],[1]!Table1[Analyst Name],[1]!Table1[Deloitte Email ID])</f>
        <v>#REF!</v>
      </c>
      <c r="C316" s="22" t="e">
        <f>_xlfn.XLOOKUP(Christus_Emp_Table[[#This Row],[Analyst Name:]],[1]!Table1[Analyst Name],[1]!Table1[Module])</f>
        <v>#REF!</v>
      </c>
      <c r="D316" s="22" t="e">
        <f>_xlfn.XLOOKUP(Christus_Emp_Table[[#This Row],[Analyst Name:]],[1]!Table1[Analyst Name],[1]!Table1[Location])</f>
        <v>#REF!</v>
      </c>
      <c r="E316" s="22" t="s">
        <v>15</v>
      </c>
      <c r="F316" s="24">
        <v>45964</v>
      </c>
      <c r="G316" s="24">
        <v>45964</v>
      </c>
      <c r="H316" s="22" t="s">
        <v>15</v>
      </c>
      <c r="I316" s="22" t="s">
        <v>16</v>
      </c>
      <c r="J316" s="20">
        <f>NETWORKDAYS(Christus_Emp_Table[[#This Row],[From Date:]],Christus_Emp_Table[[#This Row],[To Date:]])</f>
        <v>1</v>
      </c>
      <c r="K316" s="20"/>
      <c r="L316" s="20" t="e">
        <f>_xlfn.XLOOKUP(Christus_Emp_Table[[#This Row],[Analyst Name:]],[1]!Table1[Analyst Name],[1]!Table1[Lead])</f>
        <v>#REF!</v>
      </c>
      <c r="M316" s="20" t="e">
        <f>_xlfn.XLOOKUP(Christus_Emp_Table[[#This Row],[Analyst Name:]],[1]!Table1[Analyst Name],[1]!Table1[Active/Inactive])</f>
        <v>#REF!</v>
      </c>
    </row>
    <row r="317" spans="1:13" x14ac:dyDescent="0.35">
      <c r="A317" s="23" t="s">
        <v>21</v>
      </c>
      <c r="B317" s="20" t="e">
        <f>_xlfn.XLOOKUP(Christus_Emp_Table[[#This Row],[Analyst Name:]],[1]!Table1[Analyst Name],[1]!Table1[Deloitte Email ID])</f>
        <v>#REF!</v>
      </c>
      <c r="C317" s="22" t="e">
        <f>_xlfn.XLOOKUP(Christus_Emp_Table[[#This Row],[Analyst Name:]],[1]!Table1[Analyst Name],[1]!Table1[Module])</f>
        <v>#REF!</v>
      </c>
      <c r="D317" s="22" t="e">
        <f>_xlfn.XLOOKUP(Christus_Emp_Table[[#This Row],[Analyst Name:]],[1]!Table1[Analyst Name],[1]!Table1[Location])</f>
        <v>#REF!</v>
      </c>
      <c r="E317" s="22" t="s">
        <v>19</v>
      </c>
      <c r="F317" s="24">
        <v>45966</v>
      </c>
      <c r="G317" s="24">
        <v>45966</v>
      </c>
      <c r="H317" s="20" t="s">
        <v>20</v>
      </c>
      <c r="I317" s="22" t="s">
        <v>16</v>
      </c>
      <c r="J317" s="20">
        <f>NETWORKDAYS(Christus_Emp_Table[[#This Row],[From Date:]],Christus_Emp_Table[[#This Row],[To Date:]])</f>
        <v>1</v>
      </c>
      <c r="K317" s="20"/>
      <c r="L317" s="20" t="e">
        <f>_xlfn.XLOOKUP(Christus_Emp_Table[[#This Row],[Analyst Name:]],[1]!Table1[Analyst Name],[1]!Table1[Lead])</f>
        <v>#REF!</v>
      </c>
      <c r="M317" s="20" t="e">
        <f>_xlfn.XLOOKUP(Christus_Emp_Table[[#This Row],[Analyst Name:]],[1]!Table1[Analyst Name],[1]!Table1[Active/Inactive])</f>
        <v>#REF!</v>
      </c>
    </row>
    <row r="318" spans="1:13" x14ac:dyDescent="0.35">
      <c r="A318" s="23" t="s">
        <v>41</v>
      </c>
      <c r="B318" s="20" t="e">
        <f>_xlfn.XLOOKUP(Christus_Emp_Table[[#This Row],[Analyst Name:]],[1]!Table1[Analyst Name],[1]!Table1[Deloitte Email ID])</f>
        <v>#REF!</v>
      </c>
      <c r="C318" s="22" t="e">
        <f>_xlfn.XLOOKUP(Christus_Emp_Table[[#This Row],[Analyst Name:]],[1]!Table1[Analyst Name],[1]!Table1[Module])</f>
        <v>#REF!</v>
      </c>
      <c r="D318" s="22" t="e">
        <f>_xlfn.XLOOKUP(Christus_Emp_Table[[#This Row],[Analyst Name:]],[1]!Table1[Analyst Name],[1]!Table1[Location])</f>
        <v>#REF!</v>
      </c>
      <c r="E318" s="22" t="s">
        <v>19</v>
      </c>
      <c r="F318" s="24">
        <v>45971</v>
      </c>
      <c r="G318" s="24">
        <v>45971</v>
      </c>
      <c r="H318" s="20" t="s">
        <v>20</v>
      </c>
      <c r="I318" s="22" t="s">
        <v>16</v>
      </c>
      <c r="J318" s="20">
        <f>NETWORKDAYS(Christus_Emp_Table[[#This Row],[From Date:]],Christus_Emp_Table[[#This Row],[To Date:]])</f>
        <v>1</v>
      </c>
      <c r="K318" s="20"/>
      <c r="L318" s="20" t="e">
        <f>_xlfn.XLOOKUP(Christus_Emp_Table[[#This Row],[Analyst Name:]],[1]!Table1[Analyst Name],[1]!Table1[Lead])</f>
        <v>#REF!</v>
      </c>
      <c r="M318" s="20" t="e">
        <f>_xlfn.XLOOKUP(Christus_Emp_Table[[#This Row],[Analyst Name:]],[1]!Table1[Analyst Name],[1]!Table1[Active/Inactive])</f>
        <v>#REF!</v>
      </c>
    </row>
    <row r="319" spans="1:13" x14ac:dyDescent="0.35">
      <c r="A319" s="23" t="s">
        <v>45</v>
      </c>
      <c r="B319" s="20" t="e">
        <f>_xlfn.XLOOKUP(Christus_Emp_Table[[#This Row],[Analyst Name:]],[1]!Table1[Analyst Name],[1]!Table1[Deloitte Email ID])</f>
        <v>#REF!</v>
      </c>
      <c r="C319" s="22" t="e">
        <f>_xlfn.XLOOKUP(Christus_Emp_Table[[#This Row],[Analyst Name:]],[1]!Table1[Analyst Name],[1]!Table1[Module])</f>
        <v>#REF!</v>
      </c>
      <c r="D319" s="22" t="e">
        <f>_xlfn.XLOOKUP(Christus_Emp_Table[[#This Row],[Analyst Name:]],[1]!Table1[Analyst Name],[1]!Table1[Location])</f>
        <v>#REF!</v>
      </c>
      <c r="E319" s="22" t="s">
        <v>15</v>
      </c>
      <c r="F319" s="24">
        <v>45965</v>
      </c>
      <c r="G319" s="24">
        <v>45965</v>
      </c>
      <c r="H319" s="22" t="s">
        <v>15</v>
      </c>
      <c r="I319" s="22" t="s">
        <v>16</v>
      </c>
      <c r="J319" s="20">
        <f>NETWORKDAYS(Christus_Emp_Table[[#This Row],[From Date:]],Christus_Emp_Table[[#This Row],[To Date:]])</f>
        <v>1</v>
      </c>
      <c r="K319" s="20"/>
      <c r="L319" s="20" t="e">
        <f>_xlfn.XLOOKUP(Christus_Emp_Table[[#This Row],[Analyst Name:]],[1]!Table1[Analyst Name],[1]!Table1[Lead])</f>
        <v>#REF!</v>
      </c>
      <c r="M319" s="20" t="e">
        <f>_xlfn.XLOOKUP(Christus_Emp_Table[[#This Row],[Analyst Name:]],[1]!Table1[Analyst Name],[1]!Table1[Active/Inactive])</f>
        <v>#REF!</v>
      </c>
    </row>
    <row r="320" spans="1:13" x14ac:dyDescent="0.35">
      <c r="A320" s="23" t="s">
        <v>50</v>
      </c>
      <c r="B320" s="20" t="e">
        <f>_xlfn.XLOOKUP(Christus_Emp_Table[[#This Row],[Analyst Name:]],[1]!Table1[Analyst Name],[1]!Table1[Deloitte Email ID])</f>
        <v>#REF!</v>
      </c>
      <c r="C320" s="22" t="e">
        <f>_xlfn.XLOOKUP(Christus_Emp_Table[[#This Row],[Analyst Name:]],[1]!Table1[Analyst Name],[1]!Table1[Module])</f>
        <v>#REF!</v>
      </c>
      <c r="D320" s="22" t="e">
        <f>_xlfn.XLOOKUP(Christus_Emp_Table[[#This Row],[Analyst Name:]],[1]!Table1[Analyst Name],[1]!Table1[Location])</f>
        <v>#REF!</v>
      </c>
      <c r="E320" s="22" t="s">
        <v>19</v>
      </c>
      <c r="F320" s="24">
        <v>45971</v>
      </c>
      <c r="G320" s="24">
        <v>45971</v>
      </c>
      <c r="H320" s="20" t="s">
        <v>20</v>
      </c>
      <c r="I320" s="22" t="s">
        <v>16</v>
      </c>
      <c r="J320" s="20">
        <f>NETWORKDAYS(Christus_Emp_Table[[#This Row],[From Date:]],Christus_Emp_Table[[#This Row],[To Date:]])</f>
        <v>1</v>
      </c>
      <c r="K320" s="20"/>
      <c r="L320" s="20" t="e">
        <f>_xlfn.XLOOKUP(Christus_Emp_Table[[#This Row],[Analyst Name:]],[1]!Table1[Analyst Name],[1]!Table1[Lead])</f>
        <v>#REF!</v>
      </c>
      <c r="M320" s="20" t="e">
        <f>_xlfn.XLOOKUP(Christus_Emp_Table[[#This Row],[Analyst Name:]],[1]!Table1[Analyst Name],[1]!Table1[Active/Inactive])</f>
        <v>#REF!</v>
      </c>
    </row>
    <row r="321" spans="1:13" x14ac:dyDescent="0.35">
      <c r="A321" s="23" t="s">
        <v>44</v>
      </c>
      <c r="B321" s="20" t="e">
        <f>_xlfn.XLOOKUP(Christus_Emp_Table[[#This Row],[Analyst Name:]],[1]!Table1[Analyst Name],[1]!Table1[Deloitte Email ID])</f>
        <v>#REF!</v>
      </c>
      <c r="C321" s="22" t="e">
        <f>_xlfn.XLOOKUP(Christus_Emp_Table[[#This Row],[Analyst Name:]],[1]!Table1[Analyst Name],[1]!Table1[Module])</f>
        <v>#REF!</v>
      </c>
      <c r="D321" s="22" t="e">
        <f>_xlfn.XLOOKUP(Christus_Emp_Table[[#This Row],[Analyst Name:]],[1]!Table1[Analyst Name],[1]!Table1[Location])</f>
        <v>#REF!</v>
      </c>
      <c r="E321" s="22" t="s">
        <v>19</v>
      </c>
      <c r="F321" s="24">
        <v>45972</v>
      </c>
      <c r="G321" s="24">
        <v>45972</v>
      </c>
      <c r="H321" s="20" t="s">
        <v>20</v>
      </c>
      <c r="I321" s="22" t="s">
        <v>16</v>
      </c>
      <c r="J321" s="20">
        <f>NETWORKDAYS(Christus_Emp_Table[[#This Row],[From Date:]],Christus_Emp_Table[[#This Row],[To Date:]])</f>
        <v>1</v>
      </c>
      <c r="K321" s="20"/>
      <c r="L321" s="20" t="e">
        <f>_xlfn.XLOOKUP(Christus_Emp_Table[[#This Row],[Analyst Name:]],[1]!Table1[Analyst Name],[1]!Table1[Lead])</f>
        <v>#REF!</v>
      </c>
      <c r="M321" s="20" t="e">
        <f>_xlfn.XLOOKUP(Christus_Emp_Table[[#This Row],[Analyst Name:]],[1]!Table1[Analyst Name],[1]!Table1[Active/Inactive])</f>
        <v>#REF!</v>
      </c>
    </row>
    <row r="322" spans="1:13" x14ac:dyDescent="0.35">
      <c r="A322" s="23" t="s">
        <v>43</v>
      </c>
      <c r="B322" s="20" t="e">
        <f>_xlfn.XLOOKUP(Christus_Emp_Table[[#This Row],[Analyst Name:]],[1]!Table1[Analyst Name],[1]!Table1[Deloitte Email ID])</f>
        <v>#REF!</v>
      </c>
      <c r="C322" s="22" t="e">
        <f>_xlfn.XLOOKUP(Christus_Emp_Table[[#This Row],[Analyst Name:]],[1]!Table1[Analyst Name],[1]!Table1[Module])</f>
        <v>#REF!</v>
      </c>
      <c r="D322" s="22" t="e">
        <f>_xlfn.XLOOKUP(Christus_Emp_Table[[#This Row],[Analyst Name:]],[1]!Table1[Analyst Name],[1]!Table1[Location])</f>
        <v>#REF!</v>
      </c>
      <c r="E322" s="22" t="s">
        <v>19</v>
      </c>
      <c r="F322" s="24">
        <v>45964</v>
      </c>
      <c r="G322" s="24">
        <v>45987</v>
      </c>
      <c r="H322" s="20" t="s">
        <v>20</v>
      </c>
      <c r="I322" s="22" t="s">
        <v>16</v>
      </c>
      <c r="J322" s="20">
        <f>NETWORKDAYS(Christus_Emp_Table[[#This Row],[From Date:]],Christus_Emp_Table[[#This Row],[To Date:]])</f>
        <v>18</v>
      </c>
      <c r="K322" s="20"/>
      <c r="L322" s="20" t="e">
        <f>_xlfn.XLOOKUP(Christus_Emp_Table[[#This Row],[Analyst Name:]],[1]!Table1[Analyst Name],[1]!Table1[Lead])</f>
        <v>#REF!</v>
      </c>
      <c r="M322" s="20" t="e">
        <f>_xlfn.XLOOKUP(Christus_Emp_Table[[#This Row],[Analyst Name:]],[1]!Table1[Analyst Name],[1]!Table1[Active/Inactive])</f>
        <v>#REF!</v>
      </c>
    </row>
    <row r="323" spans="1:13" x14ac:dyDescent="0.35">
      <c r="A323" s="23" t="s">
        <v>42</v>
      </c>
      <c r="B323" s="20" t="e">
        <f>_xlfn.XLOOKUP(Christus_Emp_Table[[#This Row],[Analyst Name:]],[1]!Table1[Analyst Name],[1]!Table1[Deloitte Email ID])</f>
        <v>#REF!</v>
      </c>
      <c r="C323" s="22" t="e">
        <f>_xlfn.XLOOKUP(Christus_Emp_Table[[#This Row],[Analyst Name:]],[1]!Table1[Analyst Name],[1]!Table1[Module])</f>
        <v>#REF!</v>
      </c>
      <c r="D323" s="22" t="e">
        <f>_xlfn.XLOOKUP(Christus_Emp_Table[[#This Row],[Analyst Name:]],[1]!Table1[Analyst Name],[1]!Table1[Location])</f>
        <v>#REF!</v>
      </c>
      <c r="E323" s="22" t="s">
        <v>15</v>
      </c>
      <c r="F323" s="24">
        <v>45996</v>
      </c>
      <c r="G323" s="24">
        <v>46000</v>
      </c>
      <c r="H323" s="22" t="s">
        <v>15</v>
      </c>
      <c r="I323" s="22" t="s">
        <v>16</v>
      </c>
      <c r="J323" s="20">
        <f>NETWORKDAYS(Christus_Emp_Table[[#This Row],[From Date:]],Christus_Emp_Table[[#This Row],[To Date:]])</f>
        <v>3</v>
      </c>
      <c r="K323" s="20"/>
      <c r="L323" s="20" t="e">
        <f>_xlfn.XLOOKUP(Christus_Emp_Table[[#This Row],[Analyst Name:]],[1]!Table1[Analyst Name],[1]!Table1[Lead])</f>
        <v>#REF!</v>
      </c>
      <c r="M323" s="20" t="e">
        <f>_xlfn.XLOOKUP(Christus_Emp_Table[[#This Row],[Analyst Name:]],[1]!Table1[Analyst Name],[1]!Table1[Active/Inactive])</f>
        <v>#REF!</v>
      </c>
    </row>
    <row r="324" spans="1:13" x14ac:dyDescent="0.35">
      <c r="A324" s="23" t="s">
        <v>47</v>
      </c>
      <c r="B324" s="20" t="e">
        <f>_xlfn.XLOOKUP(Christus_Emp_Table[[#This Row],[Analyst Name:]],[1]!Table1[Analyst Name],[1]!Table1[Deloitte Email ID])</f>
        <v>#REF!</v>
      </c>
      <c r="C324" s="22" t="e">
        <f>_xlfn.XLOOKUP(Christus_Emp_Table[[#This Row],[Analyst Name:]],[1]!Table1[Analyst Name],[1]!Table1[Module])</f>
        <v>#REF!</v>
      </c>
      <c r="D324" s="22" t="e">
        <f>_xlfn.XLOOKUP(Christus_Emp_Table[[#This Row],[Analyst Name:]],[1]!Table1[Analyst Name],[1]!Table1[Location])</f>
        <v>#REF!</v>
      </c>
      <c r="E324" s="22" t="s">
        <v>15</v>
      </c>
      <c r="F324" s="24">
        <v>46003</v>
      </c>
      <c r="G324" s="24">
        <v>46003</v>
      </c>
      <c r="H324" s="22" t="s">
        <v>15</v>
      </c>
      <c r="I324" s="22" t="s">
        <v>16</v>
      </c>
      <c r="J324" s="20">
        <f>NETWORKDAYS(Christus_Emp_Table[[#This Row],[From Date:]],Christus_Emp_Table[[#This Row],[To Date:]])</f>
        <v>1</v>
      </c>
      <c r="K324" s="20"/>
      <c r="L324" s="20" t="e">
        <f>_xlfn.XLOOKUP(Christus_Emp_Table[[#This Row],[Analyst Name:]],[1]!Table1[Analyst Name],[1]!Table1[Lead])</f>
        <v>#REF!</v>
      </c>
      <c r="M324" s="20" t="e">
        <f>_xlfn.XLOOKUP(Christus_Emp_Table[[#This Row],[Analyst Name:]],[1]!Table1[Analyst Name],[1]!Table1[Active/Inactive])</f>
        <v>#REF!</v>
      </c>
    </row>
    <row r="325" spans="1:13" x14ac:dyDescent="0.35">
      <c r="A325" s="23" t="s">
        <v>47</v>
      </c>
      <c r="B325" s="20" t="e">
        <f>_xlfn.XLOOKUP(Christus_Emp_Table[[#This Row],[Analyst Name:]],[1]!Table1[Analyst Name],[1]!Table1[Deloitte Email ID])</f>
        <v>#REF!</v>
      </c>
      <c r="C325" s="22" t="e">
        <f>_xlfn.XLOOKUP(Christus_Emp_Table[[#This Row],[Analyst Name:]],[1]!Table1[Analyst Name],[1]!Table1[Module])</f>
        <v>#REF!</v>
      </c>
      <c r="D325" s="22" t="e">
        <f>_xlfn.XLOOKUP(Christus_Emp_Table[[#This Row],[Analyst Name:]],[1]!Table1[Analyst Name],[1]!Table1[Location])</f>
        <v>#REF!</v>
      </c>
      <c r="E325" s="22" t="s">
        <v>23</v>
      </c>
      <c r="F325" s="24">
        <v>46002</v>
      </c>
      <c r="G325" s="24">
        <v>46002</v>
      </c>
      <c r="H325" s="22" t="s">
        <v>23</v>
      </c>
      <c r="I325" s="22" t="s">
        <v>16</v>
      </c>
      <c r="J325" s="20">
        <f>NETWORKDAYS(Christus_Emp_Table[[#This Row],[From Date:]],Christus_Emp_Table[[#This Row],[To Date:]])</f>
        <v>1</v>
      </c>
      <c r="K325" s="20"/>
      <c r="L325" s="20" t="e">
        <f>_xlfn.XLOOKUP(Christus_Emp_Table[[#This Row],[Analyst Name:]],[1]!Table1[Analyst Name],[1]!Table1[Lead])</f>
        <v>#REF!</v>
      </c>
      <c r="M325" s="20" t="e">
        <f>_xlfn.XLOOKUP(Christus_Emp_Table[[#This Row],[Analyst Name:]],[1]!Table1[Analyst Name],[1]!Table1[Active/Inactive])</f>
        <v>#REF!</v>
      </c>
    </row>
    <row r="326" spans="1:13" x14ac:dyDescent="0.35">
      <c r="A326" s="23" t="s">
        <v>47</v>
      </c>
      <c r="B326" s="20" t="e">
        <f>_xlfn.XLOOKUP(Christus_Emp_Table[[#This Row],[Analyst Name:]],[1]!Table1[Analyst Name],[1]!Table1[Deloitte Email ID])</f>
        <v>#REF!</v>
      </c>
      <c r="C326" s="22" t="e">
        <f>_xlfn.XLOOKUP(Christus_Emp_Table[[#This Row],[Analyst Name:]],[1]!Table1[Analyst Name],[1]!Table1[Module])</f>
        <v>#REF!</v>
      </c>
      <c r="D326" s="22" t="e">
        <f>_xlfn.XLOOKUP(Christus_Emp_Table[[#This Row],[Analyst Name:]],[1]!Table1[Analyst Name],[1]!Table1[Location])</f>
        <v>#REF!</v>
      </c>
      <c r="E326" s="22" t="s">
        <v>19</v>
      </c>
      <c r="F326" s="24">
        <v>46013</v>
      </c>
      <c r="G326" s="24">
        <v>46013</v>
      </c>
      <c r="H326" s="20" t="s">
        <v>20</v>
      </c>
      <c r="I326" s="22" t="s">
        <v>16</v>
      </c>
      <c r="J326" s="20">
        <f>NETWORKDAYS(Christus_Emp_Table[[#This Row],[From Date:]],Christus_Emp_Table[[#This Row],[To Date:]])</f>
        <v>1</v>
      </c>
      <c r="K326" s="20"/>
      <c r="L326" s="20" t="e">
        <f>_xlfn.XLOOKUP(Christus_Emp_Table[[#This Row],[Analyst Name:]],[1]!Table1[Analyst Name],[1]!Table1[Lead])</f>
        <v>#REF!</v>
      </c>
      <c r="M326" s="20" t="e">
        <f>_xlfn.XLOOKUP(Christus_Emp_Table[[#This Row],[Analyst Name:]],[1]!Table1[Analyst Name],[1]!Table1[Active/Inactive])</f>
        <v>#REF!</v>
      </c>
    </row>
    <row r="327" spans="1:13" x14ac:dyDescent="0.35">
      <c r="A327" s="23" t="s">
        <v>27</v>
      </c>
      <c r="B327" s="20" t="e">
        <f>_xlfn.XLOOKUP(Christus_Emp_Table[[#This Row],[Analyst Name:]],[1]!Table1[Analyst Name],[1]!Table1[Deloitte Email ID])</f>
        <v>#REF!</v>
      </c>
      <c r="C327" s="22" t="e">
        <f>_xlfn.XLOOKUP(Christus_Emp_Table[[#This Row],[Analyst Name:]],[1]!Table1[Analyst Name],[1]!Table1[Module])</f>
        <v>#REF!</v>
      </c>
      <c r="D327" s="22" t="e">
        <f>_xlfn.XLOOKUP(Christus_Emp_Table[[#This Row],[Analyst Name:]],[1]!Table1[Analyst Name],[1]!Table1[Location])</f>
        <v>#REF!</v>
      </c>
      <c r="E327" s="22" t="s">
        <v>51</v>
      </c>
      <c r="F327" s="24">
        <v>45989</v>
      </c>
      <c r="G327" s="24">
        <v>45996</v>
      </c>
      <c r="H327" s="22" t="s">
        <v>51</v>
      </c>
      <c r="I327" s="22" t="s">
        <v>16</v>
      </c>
      <c r="J327" s="20">
        <f>NETWORKDAYS(Christus_Emp_Table[[#This Row],[From Date:]],Christus_Emp_Table[[#This Row],[To Date:]])</f>
        <v>6</v>
      </c>
      <c r="K327" s="20"/>
      <c r="L327" s="20" t="e">
        <f>_xlfn.XLOOKUP(Christus_Emp_Table[[#This Row],[Analyst Name:]],[1]!Table1[Analyst Name],[1]!Table1[Lead])</f>
        <v>#REF!</v>
      </c>
      <c r="M327" s="20" t="e">
        <f>_xlfn.XLOOKUP(Christus_Emp_Table[[#This Row],[Analyst Name:]],[1]!Table1[Analyst Name],[1]!Table1[Active/Inactive])</f>
        <v>#REF!</v>
      </c>
    </row>
    <row r="328" spans="1:13" x14ac:dyDescent="0.35">
      <c r="A328" s="23" t="s">
        <v>14</v>
      </c>
      <c r="B328" s="20" t="e">
        <f>_xlfn.XLOOKUP(Christus_Emp_Table[[#This Row],[Analyst Name:]],[1]!Table1[Analyst Name],[1]!Table1[Deloitte Email ID])</f>
        <v>#REF!</v>
      </c>
      <c r="C328" s="22" t="e">
        <f>_xlfn.XLOOKUP(Christus_Emp_Table[[#This Row],[Analyst Name:]],[1]!Table1[Analyst Name],[1]!Table1[Module])</f>
        <v>#REF!</v>
      </c>
      <c r="D328" s="22" t="e">
        <f>_xlfn.XLOOKUP(Christus_Emp_Table[[#This Row],[Analyst Name:]],[1]!Table1[Analyst Name],[1]!Table1[Location])</f>
        <v>#REF!</v>
      </c>
      <c r="E328" s="22" t="s">
        <v>15</v>
      </c>
      <c r="F328" s="24">
        <v>46001</v>
      </c>
      <c r="G328" s="24">
        <v>46001</v>
      </c>
      <c r="H328" s="22" t="s">
        <v>15</v>
      </c>
      <c r="I328" s="22" t="s">
        <v>16</v>
      </c>
      <c r="J328" s="22">
        <f>NETWORKDAYS(Christus_Emp_Table[[#This Row],[From Date:]],Christus_Emp_Table[[#This Row],[To Date:]])</f>
        <v>1</v>
      </c>
      <c r="K328" s="22"/>
      <c r="L328" s="22" t="e">
        <f>_xlfn.XLOOKUP(Christus_Emp_Table[[#This Row],[Analyst Name:]],[1]!Table1[Analyst Name],[1]!Table1[Lead])</f>
        <v>#REF!</v>
      </c>
      <c r="M328" s="20" t="e">
        <f>_xlfn.XLOOKUP(Christus_Emp_Table[[#This Row],[Analyst Name:]],[1]!Table1[Analyst Name],[1]!Table1[Active/Inactive])</f>
        <v>#REF!</v>
      </c>
    </row>
    <row r="329" spans="1:13" x14ac:dyDescent="0.35">
      <c r="A329" s="23" t="s">
        <v>14</v>
      </c>
      <c r="B329" s="20" t="e">
        <f>_xlfn.XLOOKUP(Christus_Emp_Table[[#This Row],[Analyst Name:]],[1]!Table1[Analyst Name],[1]!Table1[Deloitte Email ID])</f>
        <v>#REF!</v>
      </c>
      <c r="C329" s="22" t="e">
        <f>_xlfn.XLOOKUP(Christus_Emp_Table[[#This Row],[Analyst Name:]],[1]!Table1[Analyst Name],[1]!Table1[Module])</f>
        <v>#REF!</v>
      </c>
      <c r="D329" s="22" t="e">
        <f>_xlfn.XLOOKUP(Christus_Emp_Table[[#This Row],[Analyst Name:]],[1]!Table1[Analyst Name],[1]!Table1[Location])</f>
        <v>#REF!</v>
      </c>
      <c r="E329" s="22" t="s">
        <v>15</v>
      </c>
      <c r="F329" s="24">
        <v>45954</v>
      </c>
      <c r="G329" s="24">
        <v>45954</v>
      </c>
      <c r="H329" s="22" t="s">
        <v>15</v>
      </c>
      <c r="I329" s="22" t="s">
        <v>16</v>
      </c>
      <c r="J329" s="22">
        <v>1</v>
      </c>
      <c r="K329" s="22"/>
      <c r="L329" s="22" t="e">
        <f>_xlfn.XLOOKUP(Christus_Emp_Table[[#This Row],[Analyst Name:]],[1]!Table1[Analyst Name],[1]!Table1[Lead])</f>
        <v>#REF!</v>
      </c>
      <c r="M329" s="20" t="e">
        <f>_xlfn.XLOOKUP(Christus_Emp_Table[[#This Row],[Analyst Name:]],[1]!Table1[Analyst Name],[1]!Table1[Active/Inactive])</f>
        <v>#REF!</v>
      </c>
    </row>
    <row r="330" spans="1:13" x14ac:dyDescent="0.35">
      <c r="A330" s="23" t="s">
        <v>14</v>
      </c>
      <c r="B330" s="20" t="e">
        <f>_xlfn.XLOOKUP(Christus_Emp_Table[[#This Row],[Analyst Name:]],[1]!Table1[Analyst Name],[1]!Table1[Deloitte Email ID])</f>
        <v>#REF!</v>
      </c>
      <c r="C330" s="22" t="e">
        <f>_xlfn.XLOOKUP(Christus_Emp_Table[[#This Row],[Analyst Name:]],[1]!Table1[Analyst Name],[1]!Table1[Module])</f>
        <v>#REF!</v>
      </c>
      <c r="D330" s="22" t="e">
        <f>_xlfn.XLOOKUP(Christus_Emp_Table[[#This Row],[Analyst Name:]],[1]!Table1[Analyst Name],[1]!Table1[Location])</f>
        <v>#REF!</v>
      </c>
      <c r="E330" s="22" t="s">
        <v>19</v>
      </c>
      <c r="F330" s="24">
        <v>45787</v>
      </c>
      <c r="G330" s="24">
        <v>45787</v>
      </c>
      <c r="H330" s="20" t="s">
        <v>20</v>
      </c>
      <c r="I330" s="22" t="s">
        <v>16</v>
      </c>
      <c r="J330" s="22">
        <f>NETWORKDAYS(Christus_Emp_Table[[#This Row],[From Date:]],Christus_Emp_Table[[#This Row],[To Date:]])</f>
        <v>0</v>
      </c>
      <c r="K330" s="22"/>
      <c r="L330" s="22" t="e">
        <f>_xlfn.XLOOKUP(Christus_Emp_Table[[#This Row],[Analyst Name:]],[1]!Table1[Analyst Name],[1]!Table1[Lead])</f>
        <v>#REF!</v>
      </c>
      <c r="M330" s="20" t="e">
        <f>_xlfn.XLOOKUP(Christus_Emp_Table[[#This Row],[Analyst Name:]],[1]!Table1[Analyst Name],[1]!Table1[Active/Inactive])</f>
        <v>#REF!</v>
      </c>
    </row>
    <row r="331" spans="1:13" x14ac:dyDescent="0.35">
      <c r="A331" s="23" t="s">
        <v>37</v>
      </c>
      <c r="B331" s="20" t="e">
        <f>_xlfn.XLOOKUP(Christus_Emp_Table[[#This Row],[Analyst Name:]],[1]!Table1[Analyst Name],[1]!Table1[Deloitte Email ID])</f>
        <v>#REF!</v>
      </c>
      <c r="C331" s="22" t="e">
        <f>_xlfn.XLOOKUP(Christus_Emp_Table[[#This Row],[Analyst Name:]],[1]!Table1[Analyst Name],[1]!Table1[Module])</f>
        <v>#REF!</v>
      </c>
      <c r="D331" s="22" t="e">
        <f>_xlfn.XLOOKUP(Christus_Emp_Table[[#This Row],[Analyst Name:]],[1]!Table1[Analyst Name],[1]!Table1[Location])</f>
        <v>#REF!</v>
      </c>
      <c r="E331" s="22" t="s">
        <v>19</v>
      </c>
      <c r="F331" s="24">
        <v>45993</v>
      </c>
      <c r="G331" s="24">
        <v>45993</v>
      </c>
      <c r="H331" s="20" t="s">
        <v>20</v>
      </c>
      <c r="I331" s="22" t="s">
        <v>16</v>
      </c>
      <c r="J331" s="22">
        <f>NETWORKDAYS(Christus_Emp_Table[[#This Row],[From Date:]],Christus_Emp_Table[[#This Row],[To Date:]])</f>
        <v>1</v>
      </c>
      <c r="K331" s="22"/>
      <c r="L331" s="22" t="e">
        <f>_xlfn.XLOOKUP(Christus_Emp_Table[[#This Row],[Analyst Name:]],[1]!Table1[Analyst Name],[1]!Table1[Lead])</f>
        <v>#REF!</v>
      </c>
      <c r="M331" s="20" t="e">
        <f>_xlfn.XLOOKUP(Christus_Emp_Table[[#This Row],[Analyst Name:]],[1]!Table1[Analyst Name],[1]!Table1[Active/Inactive])</f>
        <v>#REF!</v>
      </c>
    </row>
    <row r="332" spans="1:13" x14ac:dyDescent="0.35">
      <c r="A332" s="23" t="s">
        <v>36</v>
      </c>
      <c r="B332" s="20" t="e">
        <f>_xlfn.XLOOKUP(Christus_Emp_Table[[#This Row],[Analyst Name:]],[1]!Table1[Analyst Name],[1]!Table1[Deloitte Email ID])</f>
        <v>#REF!</v>
      </c>
      <c r="C332" s="22" t="e">
        <f>_xlfn.XLOOKUP(Christus_Emp_Table[[#This Row],[Analyst Name:]],[1]!Table1[Analyst Name],[1]!Table1[Module])</f>
        <v>#REF!</v>
      </c>
      <c r="D332" s="22" t="e">
        <f>_xlfn.XLOOKUP(Christus_Emp_Table[[#This Row],[Analyst Name:]],[1]!Table1[Analyst Name],[1]!Table1[Location])</f>
        <v>#REF!</v>
      </c>
      <c r="E332" s="22" t="s">
        <v>15</v>
      </c>
      <c r="F332" s="24">
        <v>45999</v>
      </c>
      <c r="G332" s="24">
        <v>45999</v>
      </c>
      <c r="H332" s="22" t="s">
        <v>15</v>
      </c>
      <c r="I332" s="22" t="s">
        <v>16</v>
      </c>
      <c r="J332" s="22">
        <f>NETWORKDAYS(Christus_Emp_Table[[#This Row],[From Date:]],Christus_Emp_Table[[#This Row],[To Date:]])</f>
        <v>1</v>
      </c>
      <c r="K332" s="22"/>
      <c r="L332" s="22" t="e">
        <f>_xlfn.XLOOKUP(Christus_Emp_Table[[#This Row],[Analyst Name:]],[1]!Table1[Analyst Name],[1]!Table1[Lead])</f>
        <v>#REF!</v>
      </c>
      <c r="M332" s="20" t="e">
        <f>_xlfn.XLOOKUP(Christus_Emp_Table[[#This Row],[Analyst Name:]],[1]!Table1[Analyst Name],[1]!Table1[Active/Inactive])</f>
        <v>#REF!</v>
      </c>
    </row>
    <row r="333" spans="1:13" x14ac:dyDescent="0.35">
      <c r="A333" s="23" t="s">
        <v>34</v>
      </c>
      <c r="B333" s="20" t="e">
        <f>_xlfn.XLOOKUP(Christus_Emp_Table[[#This Row],[Analyst Name:]],[1]!Table1[Analyst Name],[1]!Table1[Deloitte Email ID])</f>
        <v>#REF!</v>
      </c>
      <c r="C333" s="22" t="e">
        <f>_xlfn.XLOOKUP(Christus_Emp_Table[[#This Row],[Analyst Name:]],[1]!Table1[Analyst Name],[1]!Table1[Module])</f>
        <v>#REF!</v>
      </c>
      <c r="D333" s="22" t="e">
        <f>_xlfn.XLOOKUP(Christus_Emp_Table[[#This Row],[Analyst Name:]],[1]!Table1[Analyst Name],[1]!Table1[Location])</f>
        <v>#REF!</v>
      </c>
      <c r="E333" s="22" t="s">
        <v>15</v>
      </c>
      <c r="F333" s="24">
        <v>46013</v>
      </c>
      <c r="G333" s="24">
        <v>46015</v>
      </c>
      <c r="H333" s="22" t="s">
        <v>15</v>
      </c>
      <c r="I333" s="22" t="s">
        <v>16</v>
      </c>
      <c r="J333" s="22">
        <f>NETWORKDAYS(Christus_Emp_Table[[#This Row],[From Date:]],Christus_Emp_Table[[#This Row],[To Date:]])</f>
        <v>3</v>
      </c>
      <c r="K333" s="22"/>
      <c r="L333" s="22" t="e">
        <f>_xlfn.XLOOKUP(Christus_Emp_Table[[#This Row],[Analyst Name:]],[1]!Table1[Analyst Name],[1]!Table1[Lead])</f>
        <v>#REF!</v>
      </c>
      <c r="M333" s="20" t="e">
        <f>_xlfn.XLOOKUP(Christus_Emp_Table[[#This Row],[Analyst Name:]],[1]!Table1[Analyst Name],[1]!Table1[Active/Inactive])</f>
        <v>#REF!</v>
      </c>
    </row>
    <row r="334" spans="1:13" x14ac:dyDescent="0.35">
      <c r="A334" s="23" t="s">
        <v>32</v>
      </c>
      <c r="B334" s="20" t="e">
        <f>_xlfn.XLOOKUP(Christus_Emp_Table[[#This Row],[Analyst Name:]],[1]!Table1[Analyst Name],[1]!Table1[Deloitte Email ID])</f>
        <v>#REF!</v>
      </c>
      <c r="C334" s="22" t="e">
        <f>_xlfn.XLOOKUP(Christus_Emp_Table[[#This Row],[Analyst Name:]],[1]!Table1[Analyst Name],[1]!Table1[Module])</f>
        <v>#REF!</v>
      </c>
      <c r="D334" s="22" t="e">
        <f>_xlfn.XLOOKUP(Christus_Emp_Table[[#This Row],[Analyst Name:]],[1]!Table1[Analyst Name],[1]!Table1[Location])</f>
        <v>#REF!</v>
      </c>
      <c r="E334" s="22" t="s">
        <v>15</v>
      </c>
      <c r="F334" s="24">
        <v>46013</v>
      </c>
      <c r="G334" s="24">
        <v>46015</v>
      </c>
      <c r="H334" s="22" t="s">
        <v>15</v>
      </c>
      <c r="I334" s="22" t="s">
        <v>16</v>
      </c>
      <c r="J334" s="22">
        <f>NETWORKDAYS(Christus_Emp_Table[[#This Row],[From Date:]],Christus_Emp_Table[[#This Row],[To Date:]])</f>
        <v>3</v>
      </c>
      <c r="K334" s="22"/>
      <c r="L334" s="22" t="e">
        <f>_xlfn.XLOOKUP(Christus_Emp_Table[[#This Row],[Analyst Name:]],[1]!Table1[Analyst Name],[1]!Table1[Lead])</f>
        <v>#REF!</v>
      </c>
      <c r="M334" s="20" t="e">
        <f>_xlfn.XLOOKUP(Christus_Emp_Table[[#This Row],[Analyst Name:]],[1]!Table1[Analyst Name],[1]!Table1[Active/Inactive])</f>
        <v>#REF!</v>
      </c>
    </row>
    <row r="335" spans="1:13" x14ac:dyDescent="0.35">
      <c r="A335" s="23" t="s">
        <v>31</v>
      </c>
      <c r="B335" s="20" t="e">
        <f>_xlfn.XLOOKUP(Christus_Emp_Table[[#This Row],[Analyst Name:]],[1]!Table1[Analyst Name],[1]!Table1[Deloitte Email ID])</f>
        <v>#REF!</v>
      </c>
      <c r="C335" s="22" t="e">
        <f>_xlfn.XLOOKUP(Christus_Emp_Table[[#This Row],[Analyst Name:]],[1]!Table1[Analyst Name],[1]!Table1[Module])</f>
        <v>#REF!</v>
      </c>
      <c r="D335" s="22" t="e">
        <f>_xlfn.XLOOKUP(Christus_Emp_Table[[#This Row],[Analyst Name:]],[1]!Table1[Analyst Name],[1]!Table1[Location])</f>
        <v>#REF!</v>
      </c>
      <c r="E335" s="22" t="s">
        <v>15</v>
      </c>
      <c r="F335" s="24">
        <v>46013</v>
      </c>
      <c r="G335" s="24">
        <v>46015</v>
      </c>
      <c r="H335" s="22" t="s">
        <v>15</v>
      </c>
      <c r="I335" s="22" t="s">
        <v>16</v>
      </c>
      <c r="J335" s="22">
        <f>NETWORKDAYS(Christus_Emp_Table[[#This Row],[From Date:]],Christus_Emp_Table[[#This Row],[To Date:]])</f>
        <v>3</v>
      </c>
      <c r="K335" s="22"/>
      <c r="L335" s="22" t="e">
        <f>_xlfn.XLOOKUP(Christus_Emp_Table[[#This Row],[Analyst Name:]],[1]!Table1[Analyst Name],[1]!Table1[Lead])</f>
        <v>#REF!</v>
      </c>
      <c r="M335" s="20" t="e">
        <f>_xlfn.XLOOKUP(Christus_Emp_Table[[#This Row],[Analyst Name:]],[1]!Table1[Analyst Name],[1]!Table1[Active/Inactive])</f>
        <v>#REF!</v>
      </c>
    </row>
    <row r="336" spans="1:13" x14ac:dyDescent="0.35">
      <c r="A336" s="23" t="s">
        <v>30</v>
      </c>
      <c r="B336" s="20" t="e">
        <f>_xlfn.XLOOKUP(Christus_Emp_Table[[#This Row],[Analyst Name:]],[1]!Table1[Analyst Name],[1]!Table1[Deloitte Email ID])</f>
        <v>#REF!</v>
      </c>
      <c r="C336" s="22" t="e">
        <f>_xlfn.XLOOKUP(Christus_Emp_Table[[#This Row],[Analyst Name:]],[1]!Table1[Analyst Name],[1]!Table1[Module])</f>
        <v>#REF!</v>
      </c>
      <c r="D336" s="22" t="e">
        <f>_xlfn.XLOOKUP(Christus_Emp_Table[[#This Row],[Analyst Name:]],[1]!Table1[Analyst Name],[1]!Table1[Location])</f>
        <v>#REF!</v>
      </c>
      <c r="E336" s="22" t="s">
        <v>15</v>
      </c>
      <c r="F336" s="24">
        <v>46013</v>
      </c>
      <c r="G336" s="24">
        <v>46015</v>
      </c>
      <c r="H336" s="22" t="s">
        <v>15</v>
      </c>
      <c r="I336" s="22" t="s">
        <v>16</v>
      </c>
      <c r="J336" s="22">
        <f>NETWORKDAYS(Christus_Emp_Table[[#This Row],[From Date:]],Christus_Emp_Table[[#This Row],[To Date:]])</f>
        <v>3</v>
      </c>
      <c r="K336" s="22"/>
      <c r="L336" s="22" t="e">
        <f>_xlfn.XLOOKUP(Christus_Emp_Table[[#This Row],[Analyst Name:]],[1]!Table1[Analyst Name],[1]!Table1[Lead])</f>
        <v>#REF!</v>
      </c>
      <c r="M336" s="20" t="e">
        <f>_xlfn.XLOOKUP(Christus_Emp_Table[[#This Row],[Analyst Name:]],[1]!Table1[Analyst Name],[1]!Table1[Active/Inactive])</f>
        <v>#REF!</v>
      </c>
    </row>
    <row r="337" spans="1:13" x14ac:dyDescent="0.35">
      <c r="A337" s="23" t="s">
        <v>26</v>
      </c>
      <c r="B337" s="20" t="e">
        <f>_xlfn.XLOOKUP(Christus_Emp_Table[[#This Row],[Analyst Name:]],[1]!Table1[Analyst Name],[1]!Table1[Deloitte Email ID])</f>
        <v>#REF!</v>
      </c>
      <c r="C337" s="22" t="e">
        <f>_xlfn.XLOOKUP(Christus_Emp_Table[[#This Row],[Analyst Name:]],[1]!Table1[Analyst Name],[1]!Table1[Module])</f>
        <v>#REF!</v>
      </c>
      <c r="D337" s="22" t="e">
        <f>_xlfn.XLOOKUP(Christus_Emp_Table[[#This Row],[Analyst Name:]],[1]!Table1[Analyst Name],[1]!Table1[Location])</f>
        <v>#REF!</v>
      </c>
      <c r="E337" s="22" t="s">
        <v>15</v>
      </c>
      <c r="F337" s="24">
        <v>46013</v>
      </c>
      <c r="G337" s="24">
        <v>46015</v>
      </c>
      <c r="H337" s="22" t="s">
        <v>15</v>
      </c>
      <c r="I337" s="22" t="s">
        <v>16</v>
      </c>
      <c r="J337" s="22">
        <f>NETWORKDAYS(Christus_Emp_Table[[#This Row],[From Date:]],Christus_Emp_Table[[#This Row],[To Date:]])</f>
        <v>3</v>
      </c>
      <c r="K337" s="22"/>
      <c r="L337" s="22" t="e">
        <f>_xlfn.XLOOKUP(Christus_Emp_Table[[#This Row],[Analyst Name:]],[1]!Table1[Analyst Name],[1]!Table1[Lead])</f>
        <v>#REF!</v>
      </c>
      <c r="M337" s="20" t="e">
        <f>_xlfn.XLOOKUP(Christus_Emp_Table[[#This Row],[Analyst Name:]],[1]!Table1[Analyst Name],[1]!Table1[Active/Inactive])</f>
        <v>#REF!</v>
      </c>
    </row>
    <row r="338" spans="1:13" x14ac:dyDescent="0.35">
      <c r="A338" s="23" t="s">
        <v>24</v>
      </c>
      <c r="B338" s="20" t="e">
        <f>_xlfn.XLOOKUP(Christus_Emp_Table[[#This Row],[Analyst Name:]],[1]!Table1[Analyst Name],[1]!Table1[Deloitte Email ID])</f>
        <v>#REF!</v>
      </c>
      <c r="C338" s="22" t="e">
        <f>_xlfn.XLOOKUP(Christus_Emp_Table[[#This Row],[Analyst Name:]],[1]!Table1[Analyst Name],[1]!Table1[Module])</f>
        <v>#REF!</v>
      </c>
      <c r="D338" s="22" t="e">
        <f>_xlfn.XLOOKUP(Christus_Emp_Table[[#This Row],[Analyst Name:]],[1]!Table1[Analyst Name],[1]!Table1[Location])</f>
        <v>#REF!</v>
      </c>
      <c r="E338" s="22" t="s">
        <v>15</v>
      </c>
      <c r="F338" s="24">
        <v>46013</v>
      </c>
      <c r="G338" s="24">
        <v>46015</v>
      </c>
      <c r="H338" s="22" t="s">
        <v>15</v>
      </c>
      <c r="I338" s="22" t="s">
        <v>16</v>
      </c>
      <c r="J338" s="22">
        <f>NETWORKDAYS(Christus_Emp_Table[[#This Row],[From Date:]],Christus_Emp_Table[[#This Row],[To Date:]])</f>
        <v>3</v>
      </c>
      <c r="K338" s="22"/>
      <c r="L338" s="22" t="e">
        <f>_xlfn.XLOOKUP(Christus_Emp_Table[[#This Row],[Analyst Name:]],[1]!Table1[Analyst Name],[1]!Table1[Lead])</f>
        <v>#REF!</v>
      </c>
      <c r="M338" s="20" t="e">
        <f>_xlfn.XLOOKUP(Christus_Emp_Table[[#This Row],[Analyst Name:]],[1]!Table1[Analyst Name],[1]!Table1[Active/Inactive])</f>
        <v>#REF!</v>
      </c>
    </row>
    <row r="339" spans="1:13" x14ac:dyDescent="0.35">
      <c r="A339" s="23" t="s">
        <v>32</v>
      </c>
      <c r="B339" s="20" t="e">
        <f>_xlfn.XLOOKUP(Christus_Emp_Table[[#This Row],[Analyst Name:]],[1]!Table1[Analyst Name],[1]!Table1[Deloitte Email ID])</f>
        <v>#REF!</v>
      </c>
      <c r="C339" s="22" t="e">
        <f>_xlfn.XLOOKUP(Christus_Emp_Table[[#This Row],[Analyst Name:]],[1]!Table1[Analyst Name],[1]!Table1[Module])</f>
        <v>#REF!</v>
      </c>
      <c r="D339" s="22" t="e">
        <f>_xlfn.XLOOKUP(Christus_Emp_Table[[#This Row],[Analyst Name:]],[1]!Table1[Analyst Name],[1]!Table1[Location])</f>
        <v>#REF!</v>
      </c>
      <c r="E339" s="22" t="s">
        <v>19</v>
      </c>
      <c r="F339" s="24">
        <v>45995</v>
      </c>
      <c r="G339" s="24">
        <v>45995</v>
      </c>
      <c r="H339" s="20" t="s">
        <v>20</v>
      </c>
      <c r="I339" s="22" t="s">
        <v>16</v>
      </c>
      <c r="J339" s="22">
        <f>NETWORKDAYS(Christus_Emp_Table[[#This Row],[From Date:]],Christus_Emp_Table[[#This Row],[To Date:]])</f>
        <v>1</v>
      </c>
      <c r="K339" s="22"/>
      <c r="L339" s="22" t="e">
        <f>_xlfn.XLOOKUP(Christus_Emp_Table[[#This Row],[Analyst Name:]],[1]!Table1[Analyst Name],[1]!Table1[Lead])</f>
        <v>#REF!</v>
      </c>
      <c r="M339" s="20" t="e">
        <f>_xlfn.XLOOKUP(Christus_Emp_Table[[#This Row],[Analyst Name:]],[1]!Table1[Analyst Name],[1]!Table1[Active/Inactive])</f>
        <v>#REF!</v>
      </c>
    </row>
    <row r="340" spans="1:13" x14ac:dyDescent="0.35">
      <c r="A340" s="23" t="s">
        <v>30</v>
      </c>
      <c r="B340" s="20" t="e">
        <f>_xlfn.XLOOKUP(Christus_Emp_Table[[#This Row],[Analyst Name:]],[1]!Table1[Analyst Name],[1]!Table1[Deloitte Email ID])</f>
        <v>#REF!</v>
      </c>
      <c r="C340" s="22" t="e">
        <f>_xlfn.XLOOKUP(Christus_Emp_Table[[#This Row],[Analyst Name:]],[1]!Table1[Analyst Name],[1]!Table1[Module])</f>
        <v>#REF!</v>
      </c>
      <c r="D340" s="22" t="e">
        <f>_xlfn.XLOOKUP(Christus_Emp_Table[[#This Row],[Analyst Name:]],[1]!Table1[Analyst Name],[1]!Table1[Location])</f>
        <v>#REF!</v>
      </c>
      <c r="E340" s="22" t="s">
        <v>19</v>
      </c>
      <c r="F340" s="24">
        <v>46010</v>
      </c>
      <c r="G340" s="24">
        <v>46010</v>
      </c>
      <c r="H340" s="20" t="s">
        <v>20</v>
      </c>
      <c r="I340" s="22" t="s">
        <v>16</v>
      </c>
      <c r="J340" s="22">
        <f>NETWORKDAYS(Christus_Emp_Table[[#This Row],[From Date:]],Christus_Emp_Table[[#This Row],[To Date:]])</f>
        <v>1</v>
      </c>
      <c r="K340" s="22"/>
      <c r="L340" s="22" t="e">
        <f>_xlfn.XLOOKUP(Christus_Emp_Table[[#This Row],[Analyst Name:]],[1]!Table1[Analyst Name],[1]!Table1[Lead])</f>
        <v>#REF!</v>
      </c>
      <c r="M340" s="20" t="e">
        <f>_xlfn.XLOOKUP(Christus_Emp_Table[[#This Row],[Analyst Name:]],[1]!Table1[Analyst Name],[1]!Table1[Active/Inactive])</f>
        <v>#REF!</v>
      </c>
    </row>
    <row r="341" spans="1:13" x14ac:dyDescent="0.35">
      <c r="A341" s="23" t="s">
        <v>27</v>
      </c>
      <c r="B341" s="20" t="e">
        <f>_xlfn.XLOOKUP(Christus_Emp_Table[[#This Row],[Analyst Name:]],[1]!Table1[Analyst Name],[1]!Table1[Deloitte Email ID])</f>
        <v>#REF!</v>
      </c>
      <c r="C341" s="22" t="e">
        <f>_xlfn.XLOOKUP(Christus_Emp_Table[[#This Row],[Analyst Name:]],[1]!Table1[Analyst Name],[1]!Table1[Module])</f>
        <v>#REF!</v>
      </c>
      <c r="D341" s="22" t="e">
        <f>_xlfn.XLOOKUP(Christus_Emp_Table[[#This Row],[Analyst Name:]],[1]!Table1[Analyst Name],[1]!Table1[Location])</f>
        <v>#REF!</v>
      </c>
      <c r="E341" s="22" t="s">
        <v>19</v>
      </c>
      <c r="F341" s="24">
        <v>45994</v>
      </c>
      <c r="G341" s="24">
        <v>45994</v>
      </c>
      <c r="H341" s="20" t="s">
        <v>20</v>
      </c>
      <c r="I341" s="22" t="s">
        <v>16</v>
      </c>
      <c r="J341" s="22">
        <f>NETWORKDAYS(Christus_Emp_Table[[#This Row],[From Date:]],Christus_Emp_Table[[#This Row],[To Date:]])</f>
        <v>1</v>
      </c>
      <c r="K341" s="22"/>
      <c r="L341" s="22" t="e">
        <f>_xlfn.XLOOKUP(Christus_Emp_Table[[#This Row],[Analyst Name:]],[1]!Table1[Analyst Name],[1]!Table1[Lead])</f>
        <v>#REF!</v>
      </c>
      <c r="M341" s="20" t="e">
        <f>_xlfn.XLOOKUP(Christus_Emp_Table[[#This Row],[Analyst Name:]],[1]!Table1[Analyst Name],[1]!Table1[Active/Inactive])</f>
        <v>#REF!</v>
      </c>
    </row>
    <row r="342" spans="1:13" x14ac:dyDescent="0.35">
      <c r="A342" s="23" t="s">
        <v>28</v>
      </c>
      <c r="B342" s="20" t="e">
        <f>_xlfn.XLOOKUP(Christus_Emp_Table[[#This Row],[Analyst Name:]],[1]!Table1[Analyst Name],[1]!Table1[Deloitte Email ID])</f>
        <v>#REF!</v>
      </c>
      <c r="C342" s="22" t="e">
        <f>_xlfn.XLOOKUP(Christus_Emp_Table[[#This Row],[Analyst Name:]],[1]!Table1[Analyst Name],[1]!Table1[Module])</f>
        <v>#REF!</v>
      </c>
      <c r="D342" s="22" t="e">
        <f>_xlfn.XLOOKUP(Christus_Emp_Table[[#This Row],[Analyst Name:]],[1]!Table1[Analyst Name],[1]!Table1[Location])</f>
        <v>#REF!</v>
      </c>
      <c r="E342" s="22" t="s">
        <v>15</v>
      </c>
      <c r="F342" s="24">
        <v>45999</v>
      </c>
      <c r="G342" s="24">
        <v>46015</v>
      </c>
      <c r="H342" s="22" t="s">
        <v>15</v>
      </c>
      <c r="I342" s="22" t="s">
        <v>16</v>
      </c>
      <c r="J342" s="22">
        <f>NETWORKDAYS(Christus_Emp_Table[[#This Row],[From Date:]],Christus_Emp_Table[[#This Row],[To Date:]])</f>
        <v>13</v>
      </c>
      <c r="K342" s="22"/>
      <c r="L342" s="22" t="e">
        <f>_xlfn.XLOOKUP(Christus_Emp_Table[[#This Row],[Analyst Name:]],[1]!Table1[Analyst Name],[1]!Table1[Lead])</f>
        <v>#REF!</v>
      </c>
      <c r="M342" s="20" t="e">
        <f>_xlfn.XLOOKUP(Christus_Emp_Table[[#This Row],[Analyst Name:]],[1]!Table1[Analyst Name],[1]!Table1[Active/Inactive])</f>
        <v>#REF!</v>
      </c>
    </row>
    <row r="343" spans="1:13" x14ac:dyDescent="0.35">
      <c r="A343" s="23" t="s">
        <v>25</v>
      </c>
      <c r="B343" s="20" t="e">
        <f>_xlfn.XLOOKUP(Christus_Emp_Table[[#This Row],[Analyst Name:]],[1]!Table1[Analyst Name],[1]!Table1[Deloitte Email ID])</f>
        <v>#REF!</v>
      </c>
      <c r="C343" s="22" t="e">
        <f>_xlfn.XLOOKUP(Christus_Emp_Table[[#This Row],[Analyst Name:]],[1]!Table1[Analyst Name],[1]!Table1[Module])</f>
        <v>#REF!</v>
      </c>
      <c r="D343" s="22" t="e">
        <f>_xlfn.XLOOKUP(Christus_Emp_Table[[#This Row],[Analyst Name:]],[1]!Table1[Analyst Name],[1]!Table1[Location])</f>
        <v>#REF!</v>
      </c>
      <c r="E343" s="22" t="s">
        <v>19</v>
      </c>
      <c r="F343" s="24">
        <v>45993</v>
      </c>
      <c r="G343" s="24">
        <v>45993</v>
      </c>
      <c r="H343" s="20" t="s">
        <v>20</v>
      </c>
      <c r="I343" s="22" t="s">
        <v>16</v>
      </c>
      <c r="J343" s="22">
        <f>NETWORKDAYS(Christus_Emp_Table[[#This Row],[From Date:]],Christus_Emp_Table[[#This Row],[To Date:]])</f>
        <v>1</v>
      </c>
      <c r="K343" s="22"/>
      <c r="L343" s="22" t="e">
        <f>_xlfn.XLOOKUP(Christus_Emp_Table[[#This Row],[Analyst Name:]],[1]!Table1[Analyst Name],[1]!Table1[Lead])</f>
        <v>#REF!</v>
      </c>
      <c r="M343" s="20" t="e">
        <f>_xlfn.XLOOKUP(Christus_Emp_Table[[#This Row],[Analyst Name:]],[1]!Table1[Analyst Name],[1]!Table1[Active/Inactive])</f>
        <v>#REF!</v>
      </c>
    </row>
    <row r="344" spans="1:13" x14ac:dyDescent="0.35">
      <c r="A344" s="23" t="s">
        <v>25</v>
      </c>
      <c r="B344" s="20" t="e">
        <f>_xlfn.XLOOKUP(Christus_Emp_Table[[#This Row],[Analyst Name:]],[1]!Table1[Analyst Name],[1]!Table1[Deloitte Email ID])</f>
        <v>#REF!</v>
      </c>
      <c r="C344" s="22" t="e">
        <f>_xlfn.XLOOKUP(Christus_Emp_Table[[#This Row],[Analyst Name:]],[1]!Table1[Analyst Name],[1]!Table1[Module])</f>
        <v>#REF!</v>
      </c>
      <c r="D344" s="22" t="e">
        <f>_xlfn.XLOOKUP(Christus_Emp_Table[[#This Row],[Analyst Name:]],[1]!Table1[Analyst Name],[1]!Table1[Location])</f>
        <v>#REF!</v>
      </c>
      <c r="E344" s="22" t="s">
        <v>15</v>
      </c>
      <c r="F344" s="24">
        <v>46006</v>
      </c>
      <c r="G344" s="24">
        <v>46006</v>
      </c>
      <c r="H344" s="22" t="s">
        <v>15</v>
      </c>
      <c r="I344" s="22" t="s">
        <v>16</v>
      </c>
      <c r="J344" s="22">
        <f>NETWORKDAYS(Christus_Emp_Table[[#This Row],[From Date:]],Christus_Emp_Table[[#This Row],[To Date:]])</f>
        <v>1</v>
      </c>
      <c r="K344" s="22"/>
      <c r="L344" s="22" t="e">
        <f>_xlfn.XLOOKUP(Christus_Emp_Table[[#This Row],[Analyst Name:]],[1]!Table1[Analyst Name],[1]!Table1[Lead])</f>
        <v>#REF!</v>
      </c>
      <c r="M344" s="20" t="e">
        <f>_xlfn.XLOOKUP(Christus_Emp_Table[[#This Row],[Analyst Name:]],[1]!Table1[Analyst Name],[1]!Table1[Active/Inactive])</f>
        <v>#REF!</v>
      </c>
    </row>
    <row r="345" spans="1:13" x14ac:dyDescent="0.35">
      <c r="A345" s="23" t="s">
        <v>22</v>
      </c>
      <c r="B345" s="20" t="e">
        <f>_xlfn.XLOOKUP(Christus_Emp_Table[[#This Row],[Analyst Name:]],[1]!Table1[Analyst Name],[1]!Table1[Deloitte Email ID])</f>
        <v>#REF!</v>
      </c>
      <c r="C345" s="22" t="e">
        <f>_xlfn.XLOOKUP(Christus_Emp_Table[[#This Row],[Analyst Name:]],[1]!Table1[Analyst Name],[1]!Table1[Module])</f>
        <v>#REF!</v>
      </c>
      <c r="D345" s="22" t="e">
        <f>_xlfn.XLOOKUP(Christus_Emp_Table[[#This Row],[Analyst Name:]],[1]!Table1[Analyst Name],[1]!Table1[Location])</f>
        <v>#REF!</v>
      </c>
      <c r="E345" s="22" t="s">
        <v>15</v>
      </c>
      <c r="F345" s="24">
        <v>45994</v>
      </c>
      <c r="G345" s="24">
        <v>45996</v>
      </c>
      <c r="H345" s="22" t="s">
        <v>15</v>
      </c>
      <c r="I345" s="22" t="s">
        <v>16</v>
      </c>
      <c r="J345" s="22">
        <f>NETWORKDAYS(Christus_Emp_Table[[#This Row],[From Date:]],Christus_Emp_Table[[#This Row],[To Date:]])</f>
        <v>3</v>
      </c>
      <c r="K345" s="22"/>
      <c r="L345" s="22" t="e">
        <f>_xlfn.XLOOKUP(Christus_Emp_Table[[#This Row],[Analyst Name:]],[1]!Table1[Analyst Name],[1]!Table1[Lead])</f>
        <v>#REF!</v>
      </c>
      <c r="M345" s="20" t="e">
        <f>_xlfn.XLOOKUP(Christus_Emp_Table[[#This Row],[Analyst Name:]],[1]!Table1[Analyst Name],[1]!Table1[Active/Inactive])</f>
        <v>#REF!</v>
      </c>
    </row>
    <row r="346" spans="1:13" x14ac:dyDescent="0.35">
      <c r="A346" s="23" t="s">
        <v>21</v>
      </c>
      <c r="B346" s="20" t="e">
        <f>_xlfn.XLOOKUP(Christus_Emp_Table[[#This Row],[Analyst Name:]],[1]!Table1[Analyst Name],[1]!Table1[Deloitte Email ID])</f>
        <v>#REF!</v>
      </c>
      <c r="C346" s="22" t="e">
        <f>_xlfn.XLOOKUP(Christus_Emp_Table[[#This Row],[Analyst Name:]],[1]!Table1[Analyst Name],[1]!Table1[Module])</f>
        <v>#REF!</v>
      </c>
      <c r="D346" s="22" t="e">
        <f>_xlfn.XLOOKUP(Christus_Emp_Table[[#This Row],[Analyst Name:]],[1]!Table1[Analyst Name],[1]!Table1[Location])</f>
        <v>#REF!</v>
      </c>
      <c r="E346" s="22" t="s">
        <v>15</v>
      </c>
      <c r="F346" s="24">
        <v>46001</v>
      </c>
      <c r="G346" s="24">
        <v>46001</v>
      </c>
      <c r="H346" s="22" t="s">
        <v>15</v>
      </c>
      <c r="I346" s="22" t="s">
        <v>16</v>
      </c>
      <c r="J346" s="22">
        <f>NETWORKDAYS(Christus_Emp_Table[[#This Row],[From Date:]],Christus_Emp_Table[[#This Row],[To Date:]])</f>
        <v>1</v>
      </c>
      <c r="K346" s="22"/>
      <c r="L346" s="22" t="e">
        <f>_xlfn.XLOOKUP(Christus_Emp_Table[[#This Row],[Analyst Name:]],[1]!Table1[Analyst Name],[1]!Table1[Lead])</f>
        <v>#REF!</v>
      </c>
      <c r="M346" s="20" t="e">
        <f>_xlfn.XLOOKUP(Christus_Emp_Table[[#This Row],[Analyst Name:]],[1]!Table1[Analyst Name],[1]!Table1[Active/Inactive])</f>
        <v>#REF!</v>
      </c>
    </row>
    <row r="347" spans="1:13" x14ac:dyDescent="0.35">
      <c r="A347" s="23" t="s">
        <v>21</v>
      </c>
      <c r="B347" s="20" t="e">
        <f>_xlfn.XLOOKUP(Christus_Emp_Table[[#This Row],[Analyst Name:]],[1]!Table1[Analyst Name],[1]!Table1[Deloitte Email ID])</f>
        <v>#REF!</v>
      </c>
      <c r="C347" s="22" t="e">
        <f>_xlfn.XLOOKUP(Christus_Emp_Table[[#This Row],[Analyst Name:]],[1]!Table1[Analyst Name],[1]!Table1[Module])</f>
        <v>#REF!</v>
      </c>
      <c r="D347" s="22" t="e">
        <f>_xlfn.XLOOKUP(Christus_Emp_Table[[#This Row],[Analyst Name:]],[1]!Table1[Analyst Name],[1]!Table1[Location])</f>
        <v>#REF!</v>
      </c>
      <c r="E347" s="22" t="s">
        <v>19</v>
      </c>
      <c r="F347" s="24">
        <v>46013</v>
      </c>
      <c r="G347" s="24">
        <v>46015</v>
      </c>
      <c r="H347" s="20" t="s">
        <v>20</v>
      </c>
      <c r="I347" s="22" t="s">
        <v>16</v>
      </c>
      <c r="J347" s="22">
        <f>NETWORKDAYS(Christus_Emp_Table[[#This Row],[From Date:]],Christus_Emp_Table[[#This Row],[To Date:]])</f>
        <v>3</v>
      </c>
      <c r="K347" s="22"/>
      <c r="L347" s="22" t="e">
        <f>_xlfn.XLOOKUP(Christus_Emp_Table[[#This Row],[Analyst Name:]],[1]!Table1[Analyst Name],[1]!Table1[Lead])</f>
        <v>#REF!</v>
      </c>
      <c r="M347" s="20" t="e">
        <f>_xlfn.XLOOKUP(Christus_Emp_Table[[#This Row],[Analyst Name:]],[1]!Table1[Analyst Name],[1]!Table1[Active/Inactive])</f>
        <v>#REF!</v>
      </c>
    </row>
    <row r="348" spans="1:13" x14ac:dyDescent="0.35">
      <c r="A348" s="23" t="s">
        <v>18</v>
      </c>
      <c r="B348" s="20" t="e">
        <f>_xlfn.XLOOKUP(Christus_Emp_Table[[#This Row],[Analyst Name:]],[1]!Table1[Analyst Name],[1]!Table1[Deloitte Email ID])</f>
        <v>#REF!</v>
      </c>
      <c r="C348" s="22" t="e">
        <f>_xlfn.XLOOKUP(Christus_Emp_Table[[#This Row],[Analyst Name:]],[1]!Table1[Analyst Name],[1]!Table1[Module])</f>
        <v>#REF!</v>
      </c>
      <c r="D348" s="22" t="e">
        <f>_xlfn.XLOOKUP(Christus_Emp_Table[[#This Row],[Analyst Name:]],[1]!Table1[Analyst Name],[1]!Table1[Location])</f>
        <v>#REF!</v>
      </c>
      <c r="E348" s="22" t="s">
        <v>20</v>
      </c>
      <c r="F348" s="24">
        <v>46006</v>
      </c>
      <c r="G348" s="24">
        <v>46010</v>
      </c>
      <c r="H348" s="22" t="s">
        <v>15</v>
      </c>
      <c r="I348" s="22" t="s">
        <v>16</v>
      </c>
      <c r="J348" s="22">
        <f>NETWORKDAYS(Christus_Emp_Table[[#This Row],[From Date:]],Christus_Emp_Table[[#This Row],[To Date:]])</f>
        <v>5</v>
      </c>
      <c r="K348" s="22"/>
      <c r="L348" s="22" t="e">
        <f>_xlfn.XLOOKUP(Christus_Emp_Table[[#This Row],[Analyst Name:]],[1]!Table1[Analyst Name],[1]!Table1[Lead])</f>
        <v>#REF!</v>
      </c>
      <c r="M348" s="20" t="e">
        <f>_xlfn.XLOOKUP(Christus_Emp_Table[[#This Row],[Analyst Name:]],[1]!Table1[Analyst Name],[1]!Table1[Active/Inactive])</f>
        <v>#REF!</v>
      </c>
    </row>
    <row r="349" spans="1:13" x14ac:dyDescent="0.35">
      <c r="A349" s="23" t="s">
        <v>41</v>
      </c>
      <c r="B349" s="20" t="e">
        <f>_xlfn.XLOOKUP(Christus_Emp_Table[[#This Row],[Analyst Name:]],[1]!Table1[Analyst Name],[1]!Table1[Deloitte Email ID])</f>
        <v>#REF!</v>
      </c>
      <c r="C349" s="22" t="e">
        <f>_xlfn.XLOOKUP(Christus_Emp_Table[[#This Row],[Analyst Name:]],[1]!Table1[Analyst Name],[1]!Table1[Module])</f>
        <v>#REF!</v>
      </c>
      <c r="D349" s="22" t="e">
        <f>_xlfn.XLOOKUP(Christus_Emp_Table[[#This Row],[Analyst Name:]],[1]!Table1[Analyst Name],[1]!Table1[Location])</f>
        <v>#REF!</v>
      </c>
      <c r="E349" s="22" t="s">
        <v>15</v>
      </c>
      <c r="F349" s="24">
        <v>45999</v>
      </c>
      <c r="G349" s="24">
        <v>46001</v>
      </c>
      <c r="H349" s="22" t="s">
        <v>15</v>
      </c>
      <c r="I349" s="22" t="s">
        <v>16</v>
      </c>
      <c r="J349" s="22">
        <f>NETWORKDAYS(Christus_Emp_Table[[#This Row],[From Date:]],Christus_Emp_Table[[#This Row],[To Date:]])</f>
        <v>3</v>
      </c>
      <c r="K349" s="22"/>
      <c r="L349" s="22" t="e">
        <f>_xlfn.XLOOKUP(Christus_Emp_Table[[#This Row],[Analyst Name:]],[1]!Table1[Analyst Name],[1]!Table1[Lead])</f>
        <v>#REF!</v>
      </c>
      <c r="M349" s="20" t="e">
        <f>_xlfn.XLOOKUP(Christus_Emp_Table[[#This Row],[Analyst Name:]],[1]!Table1[Analyst Name],[1]!Table1[Active/Inactive])</f>
        <v>#REF!</v>
      </c>
    </row>
    <row r="350" spans="1:13" x14ac:dyDescent="0.35">
      <c r="A350" s="23" t="s">
        <v>46</v>
      </c>
      <c r="B350" s="20" t="e">
        <f>_xlfn.XLOOKUP(Christus_Emp_Table[[#This Row],[Analyst Name:]],[1]!Table1[Analyst Name],[1]!Table1[Deloitte Email ID])</f>
        <v>#REF!</v>
      </c>
      <c r="C350" s="22" t="e">
        <f>_xlfn.XLOOKUP(Christus_Emp_Table[[#This Row],[Analyst Name:]],[1]!Table1[Analyst Name],[1]!Table1[Module])</f>
        <v>#REF!</v>
      </c>
      <c r="D350" s="22" t="e">
        <f>_xlfn.XLOOKUP(Christus_Emp_Table[[#This Row],[Analyst Name:]],[1]!Table1[Analyst Name],[1]!Table1[Location])</f>
        <v>#REF!</v>
      </c>
      <c r="E350" s="22" t="s">
        <v>15</v>
      </c>
      <c r="F350" s="24">
        <v>45992</v>
      </c>
      <c r="G350" s="24">
        <v>45993</v>
      </c>
      <c r="H350" s="22" t="s">
        <v>15</v>
      </c>
      <c r="I350" s="22" t="s">
        <v>16</v>
      </c>
      <c r="J350" s="22">
        <f>NETWORKDAYS(Christus_Emp_Table[[#This Row],[From Date:]],Christus_Emp_Table[[#This Row],[To Date:]])</f>
        <v>2</v>
      </c>
      <c r="K350" s="22"/>
      <c r="L350" s="22" t="e">
        <f>_xlfn.XLOOKUP(Christus_Emp_Table[[#This Row],[Analyst Name:]],[1]!Table1[Analyst Name],[1]!Table1[Lead])</f>
        <v>#REF!</v>
      </c>
      <c r="M350" s="20" t="e">
        <f>_xlfn.XLOOKUP(Christus_Emp_Table[[#This Row],[Analyst Name:]],[1]!Table1[Analyst Name],[1]!Table1[Active/Inactive])</f>
        <v>#REF!</v>
      </c>
    </row>
    <row r="351" spans="1:13" x14ac:dyDescent="0.35">
      <c r="A351" s="23" t="s">
        <v>46</v>
      </c>
      <c r="B351" s="20" t="e">
        <f>_xlfn.XLOOKUP(Christus_Emp_Table[[#This Row],[Analyst Name:]],[1]!Table1[Analyst Name],[1]!Table1[Deloitte Email ID])</f>
        <v>#REF!</v>
      </c>
      <c r="C351" s="22" t="e">
        <f>_xlfn.XLOOKUP(Christus_Emp_Table[[#This Row],[Analyst Name:]],[1]!Table1[Analyst Name],[1]!Table1[Module])</f>
        <v>#REF!</v>
      </c>
      <c r="D351" s="22" t="e">
        <f>_xlfn.XLOOKUP(Christus_Emp_Table[[#This Row],[Analyst Name:]],[1]!Table1[Analyst Name],[1]!Table1[Location])</f>
        <v>#REF!</v>
      </c>
      <c r="E351" s="22" t="s">
        <v>15</v>
      </c>
      <c r="F351" s="24">
        <v>46010</v>
      </c>
      <c r="G351" s="24">
        <v>46015</v>
      </c>
      <c r="H351" s="22" t="s">
        <v>15</v>
      </c>
      <c r="I351" s="22" t="s">
        <v>16</v>
      </c>
      <c r="J351" s="22">
        <f>NETWORKDAYS(Christus_Emp_Table[[#This Row],[From Date:]],Christus_Emp_Table[[#This Row],[To Date:]])</f>
        <v>4</v>
      </c>
      <c r="K351" s="22"/>
      <c r="L351" s="22" t="e">
        <f>_xlfn.XLOOKUP(Christus_Emp_Table[[#This Row],[Analyst Name:]],[1]!Table1[Analyst Name],[1]!Table1[Lead])</f>
        <v>#REF!</v>
      </c>
      <c r="M351" s="20" t="e">
        <f>_xlfn.XLOOKUP(Christus_Emp_Table[[#This Row],[Analyst Name:]],[1]!Table1[Analyst Name],[1]!Table1[Active/Inactive])</f>
        <v>#REF!</v>
      </c>
    </row>
    <row r="352" spans="1:13" x14ac:dyDescent="0.35">
      <c r="A352" s="23" t="s">
        <v>44</v>
      </c>
      <c r="B352" s="20" t="e">
        <f>_xlfn.XLOOKUP(Christus_Emp_Table[[#This Row],[Analyst Name:]],[1]!Table1[Analyst Name],[1]!Table1[Deloitte Email ID])</f>
        <v>#REF!</v>
      </c>
      <c r="C352" s="22" t="e">
        <f>_xlfn.XLOOKUP(Christus_Emp_Table[[#This Row],[Analyst Name:]],[1]!Table1[Analyst Name],[1]!Table1[Module])</f>
        <v>#REF!</v>
      </c>
      <c r="D352" s="22" t="e">
        <f>_xlfn.XLOOKUP(Christus_Emp_Table[[#This Row],[Analyst Name:]],[1]!Table1[Analyst Name],[1]!Table1[Location])</f>
        <v>#REF!</v>
      </c>
      <c r="E352" s="22" t="s">
        <v>15</v>
      </c>
      <c r="F352" s="24">
        <v>45996</v>
      </c>
      <c r="G352" s="24">
        <v>46003</v>
      </c>
      <c r="H352" s="22" t="s">
        <v>15</v>
      </c>
      <c r="I352" s="22" t="s">
        <v>16</v>
      </c>
      <c r="J352" s="22">
        <f>NETWORKDAYS(Christus_Emp_Table[[#This Row],[From Date:]],Christus_Emp_Table[[#This Row],[To Date:]])</f>
        <v>6</v>
      </c>
      <c r="K352" s="22"/>
      <c r="L352" s="22" t="e">
        <f>_xlfn.XLOOKUP(Christus_Emp_Table[[#This Row],[Analyst Name:]],[1]!Table1[Analyst Name],[1]!Table1[Lead])</f>
        <v>#REF!</v>
      </c>
      <c r="M352" s="20" t="e">
        <f>_xlfn.XLOOKUP(Christus_Emp_Table[[#This Row],[Analyst Name:]],[1]!Table1[Analyst Name],[1]!Table1[Active/Inactive])</f>
        <v>#REF!</v>
      </c>
    </row>
    <row r="353" spans="1:13" x14ac:dyDescent="0.35">
      <c r="A353" s="23" t="s">
        <v>52</v>
      </c>
      <c r="B353" s="20" t="e">
        <f>_xlfn.XLOOKUP(Christus_Emp_Table[[#This Row],[Analyst Name:]],[1]!Table1[Analyst Name],[1]!Table1[Deloitte Email ID])</f>
        <v>#REF!</v>
      </c>
      <c r="C353" s="22" t="e">
        <f>_xlfn.XLOOKUP(Christus_Emp_Table[[#This Row],[Analyst Name:]],[1]!Table1[Analyst Name],[1]!Table1[Module])</f>
        <v>#REF!</v>
      </c>
      <c r="D353" s="22" t="e">
        <f>_xlfn.XLOOKUP(Christus_Emp_Table[[#This Row],[Analyst Name:]],[1]!Table1[Analyst Name],[1]!Table1[Location])</f>
        <v>#REF!</v>
      </c>
      <c r="E353" s="22" t="s">
        <v>19</v>
      </c>
      <c r="F353" s="24">
        <v>46015</v>
      </c>
      <c r="G353" s="24">
        <v>46015</v>
      </c>
      <c r="H353" s="20" t="s">
        <v>20</v>
      </c>
      <c r="I353" s="22" t="s">
        <v>16</v>
      </c>
      <c r="J353" s="22">
        <f>NETWORKDAYS(Christus_Emp_Table[[#This Row],[From Date:]],Christus_Emp_Table[[#This Row],[To Date:]])</f>
        <v>1</v>
      </c>
      <c r="K353" s="22"/>
      <c r="L353" s="22" t="e">
        <f>_xlfn.XLOOKUP(Christus_Emp_Table[[#This Row],[Analyst Name:]],[1]!Table1[Analyst Name],[1]!Table1[Lead])</f>
        <v>#REF!</v>
      </c>
      <c r="M353" s="20" t="e">
        <f>_xlfn.XLOOKUP(Christus_Emp_Table[[#This Row],[Analyst Name:]],[1]!Table1[Analyst Name],[1]!Table1[Active/Inactive])</f>
        <v>#REF!</v>
      </c>
    </row>
    <row r="354" spans="1:13" x14ac:dyDescent="0.35">
      <c r="A354" s="23" t="s">
        <v>36</v>
      </c>
      <c r="B354" s="20" t="e">
        <f>_xlfn.XLOOKUP(Christus_Emp_Table[[#This Row],[Analyst Name:]],[1]!Table1[Analyst Name],[1]!Table1[Deloitte Email ID])</f>
        <v>#REF!</v>
      </c>
      <c r="C354" s="22" t="e">
        <f>_xlfn.XLOOKUP(Christus_Emp_Table[[#This Row],[Analyst Name:]],[1]!Table1[Analyst Name],[1]!Table1[Module])</f>
        <v>#REF!</v>
      </c>
      <c r="D354" s="22" t="e">
        <f>_xlfn.XLOOKUP(Christus_Emp_Table[[#This Row],[Analyst Name:]],[1]!Table1[Analyst Name],[1]!Table1[Location])</f>
        <v>#REF!</v>
      </c>
      <c r="E354" s="22" t="s">
        <v>15</v>
      </c>
      <c r="F354" s="24">
        <v>46024</v>
      </c>
      <c r="G354" s="24">
        <v>46024</v>
      </c>
      <c r="H354" s="22" t="s">
        <v>15</v>
      </c>
      <c r="I354" s="22" t="s">
        <v>16</v>
      </c>
      <c r="J354" s="22">
        <f>NETWORKDAYS(Christus_Emp_Table[[#This Row],[From Date:]],Christus_Emp_Table[[#This Row],[To Date:]])</f>
        <v>1</v>
      </c>
      <c r="K354" s="22"/>
      <c r="L354" s="22" t="e">
        <f>_xlfn.XLOOKUP(Christus_Emp_Table[[#This Row],[Analyst Name:]],[1]!Table1[Analyst Name],[1]!Table1[Lead])</f>
        <v>#REF!</v>
      </c>
      <c r="M354" s="20" t="e">
        <f>_xlfn.XLOOKUP(Christus_Emp_Table[[#This Row],[Analyst Name:]],[1]!Table1[Analyst Name],[1]!Table1[Active/Inactive])</f>
        <v>#REF!</v>
      </c>
    </row>
    <row r="355" spans="1:13" x14ac:dyDescent="0.35">
      <c r="A355" s="23" t="s">
        <v>34</v>
      </c>
      <c r="B355" s="20" t="e">
        <f>_xlfn.XLOOKUP(Christus_Emp_Table[[#This Row],[Analyst Name:]],[1]!Table1[Analyst Name],[1]!Table1[Deloitte Email ID])</f>
        <v>#REF!</v>
      </c>
      <c r="C355" s="22" t="e">
        <f>_xlfn.XLOOKUP(Christus_Emp_Table[[#This Row],[Analyst Name:]],[1]!Table1[Analyst Name],[1]!Table1[Module])</f>
        <v>#REF!</v>
      </c>
      <c r="D355" s="22" t="e">
        <f>_xlfn.XLOOKUP(Christus_Emp_Table[[#This Row],[Analyst Name:]],[1]!Table1[Analyst Name],[1]!Table1[Location])</f>
        <v>#REF!</v>
      </c>
      <c r="E355" s="22" t="s">
        <v>15</v>
      </c>
      <c r="F355" s="24">
        <v>46024</v>
      </c>
      <c r="G355" s="24">
        <v>46024</v>
      </c>
      <c r="H355" s="22" t="s">
        <v>15</v>
      </c>
      <c r="I355" s="22" t="s">
        <v>16</v>
      </c>
      <c r="J355" s="22">
        <f>NETWORKDAYS(Christus_Emp_Table[[#This Row],[From Date:]],Christus_Emp_Table[[#This Row],[To Date:]])</f>
        <v>1</v>
      </c>
      <c r="K355" s="22"/>
      <c r="L355" s="22" t="e">
        <f>_xlfn.XLOOKUP(Christus_Emp_Table[[#This Row],[Analyst Name:]],[1]!Table1[Analyst Name],[1]!Table1[Lead])</f>
        <v>#REF!</v>
      </c>
      <c r="M355" s="20" t="e">
        <f>_xlfn.XLOOKUP(Christus_Emp_Table[[#This Row],[Analyst Name:]],[1]!Table1[Analyst Name],[1]!Table1[Active/Inactive])</f>
        <v>#REF!</v>
      </c>
    </row>
    <row r="356" spans="1:13" x14ac:dyDescent="0.35">
      <c r="A356" s="23" t="s">
        <v>32</v>
      </c>
      <c r="B356" s="20" t="e">
        <f>_xlfn.XLOOKUP(Christus_Emp_Table[[#This Row],[Analyst Name:]],[1]!Table1[Analyst Name],[1]!Table1[Deloitte Email ID])</f>
        <v>#REF!</v>
      </c>
      <c r="C356" s="22" t="e">
        <f>_xlfn.XLOOKUP(Christus_Emp_Table[[#This Row],[Analyst Name:]],[1]!Table1[Analyst Name],[1]!Table1[Module])</f>
        <v>#REF!</v>
      </c>
      <c r="D356" s="22" t="e">
        <f>_xlfn.XLOOKUP(Christus_Emp_Table[[#This Row],[Analyst Name:]],[1]!Table1[Analyst Name],[1]!Table1[Location])</f>
        <v>#REF!</v>
      </c>
      <c r="E356" s="22" t="s">
        <v>15</v>
      </c>
      <c r="F356" s="24">
        <v>46024</v>
      </c>
      <c r="G356" s="24">
        <v>46024</v>
      </c>
      <c r="H356" s="22" t="s">
        <v>15</v>
      </c>
      <c r="I356" s="22" t="s">
        <v>16</v>
      </c>
      <c r="J356" s="22">
        <f>NETWORKDAYS(Christus_Emp_Table[[#This Row],[From Date:]],Christus_Emp_Table[[#This Row],[To Date:]])</f>
        <v>1</v>
      </c>
      <c r="K356" s="22"/>
      <c r="L356" s="22" t="e">
        <f>_xlfn.XLOOKUP(Christus_Emp_Table[[#This Row],[Analyst Name:]],[1]!Table1[Analyst Name],[1]!Table1[Lead])</f>
        <v>#REF!</v>
      </c>
      <c r="M356" s="20" t="e">
        <f>_xlfn.XLOOKUP(Christus_Emp_Table[[#This Row],[Analyst Name:]],[1]!Table1[Analyst Name],[1]!Table1[Active/Inactive])</f>
        <v>#REF!</v>
      </c>
    </row>
    <row r="357" spans="1:13" x14ac:dyDescent="0.35">
      <c r="A357" s="23" t="s">
        <v>31</v>
      </c>
      <c r="B357" s="20" t="e">
        <f>_xlfn.XLOOKUP(Christus_Emp_Table[[#This Row],[Analyst Name:]],[1]!Table1[Analyst Name],[1]!Table1[Deloitte Email ID])</f>
        <v>#REF!</v>
      </c>
      <c r="C357" s="22" t="e">
        <f>_xlfn.XLOOKUP(Christus_Emp_Table[[#This Row],[Analyst Name:]],[1]!Table1[Analyst Name],[1]!Table1[Module])</f>
        <v>#REF!</v>
      </c>
      <c r="D357" s="22" t="e">
        <f>_xlfn.XLOOKUP(Christus_Emp_Table[[#This Row],[Analyst Name:]],[1]!Table1[Analyst Name],[1]!Table1[Location])</f>
        <v>#REF!</v>
      </c>
      <c r="E357" s="22" t="s">
        <v>15</v>
      </c>
      <c r="F357" s="24">
        <v>46024</v>
      </c>
      <c r="G357" s="24">
        <v>46024</v>
      </c>
      <c r="H357" s="22" t="s">
        <v>15</v>
      </c>
      <c r="I357" s="22" t="s">
        <v>16</v>
      </c>
      <c r="J357" s="22">
        <f>NETWORKDAYS(Christus_Emp_Table[[#This Row],[From Date:]],Christus_Emp_Table[[#This Row],[To Date:]])</f>
        <v>1</v>
      </c>
      <c r="K357" s="22"/>
      <c r="L357" s="22" t="e">
        <f>_xlfn.XLOOKUP(Christus_Emp_Table[[#This Row],[Analyst Name:]],[1]!Table1[Analyst Name],[1]!Table1[Lead])</f>
        <v>#REF!</v>
      </c>
      <c r="M357" s="20" t="e">
        <f>_xlfn.XLOOKUP(Christus_Emp_Table[[#This Row],[Analyst Name:]],[1]!Table1[Analyst Name],[1]!Table1[Active/Inactive])</f>
        <v>#REF!</v>
      </c>
    </row>
    <row r="358" spans="1:13" x14ac:dyDescent="0.35">
      <c r="A358" s="23" t="s">
        <v>30</v>
      </c>
      <c r="B358" s="20" t="e">
        <f>_xlfn.XLOOKUP(Christus_Emp_Table[[#This Row],[Analyst Name:]],[1]!Table1[Analyst Name],[1]!Table1[Deloitte Email ID])</f>
        <v>#REF!</v>
      </c>
      <c r="C358" s="22" t="e">
        <f>_xlfn.XLOOKUP(Christus_Emp_Table[[#This Row],[Analyst Name:]],[1]!Table1[Analyst Name],[1]!Table1[Module])</f>
        <v>#REF!</v>
      </c>
      <c r="D358" s="22" t="e">
        <f>_xlfn.XLOOKUP(Christus_Emp_Table[[#This Row],[Analyst Name:]],[1]!Table1[Analyst Name],[1]!Table1[Location])</f>
        <v>#REF!</v>
      </c>
      <c r="E358" s="22" t="s">
        <v>15</v>
      </c>
      <c r="F358" s="24">
        <v>46024</v>
      </c>
      <c r="G358" s="24">
        <v>46024</v>
      </c>
      <c r="H358" s="22" t="s">
        <v>15</v>
      </c>
      <c r="I358" s="22" t="s">
        <v>16</v>
      </c>
      <c r="J358" s="22">
        <f>NETWORKDAYS(Christus_Emp_Table[[#This Row],[From Date:]],Christus_Emp_Table[[#This Row],[To Date:]])</f>
        <v>1</v>
      </c>
      <c r="K358" s="22"/>
      <c r="L358" s="22" t="e">
        <f>_xlfn.XLOOKUP(Christus_Emp_Table[[#This Row],[Analyst Name:]],[1]!Table1[Analyst Name],[1]!Table1[Lead])</f>
        <v>#REF!</v>
      </c>
      <c r="M358" s="20" t="e">
        <f>_xlfn.XLOOKUP(Christus_Emp_Table[[#This Row],[Analyst Name:]],[1]!Table1[Analyst Name],[1]!Table1[Active/Inactive])</f>
        <v>#REF!</v>
      </c>
    </row>
    <row r="359" spans="1:13" x14ac:dyDescent="0.35">
      <c r="A359" s="23" t="s">
        <v>28</v>
      </c>
      <c r="B359" s="20" t="e">
        <f>_xlfn.XLOOKUP(Christus_Emp_Table[[#This Row],[Analyst Name:]],[1]!Table1[Analyst Name],[1]!Table1[Deloitte Email ID])</f>
        <v>#REF!</v>
      </c>
      <c r="C359" s="22" t="e">
        <f>_xlfn.XLOOKUP(Christus_Emp_Table[[#This Row],[Analyst Name:]],[1]!Table1[Analyst Name],[1]!Table1[Module])</f>
        <v>#REF!</v>
      </c>
      <c r="D359" s="22" t="e">
        <f>_xlfn.XLOOKUP(Christus_Emp_Table[[#This Row],[Analyst Name:]],[1]!Table1[Analyst Name],[1]!Table1[Location])</f>
        <v>#REF!</v>
      </c>
      <c r="E359" s="22" t="s">
        <v>15</v>
      </c>
      <c r="F359" s="24">
        <v>46024</v>
      </c>
      <c r="G359" s="24">
        <v>46024</v>
      </c>
      <c r="H359" s="22" t="s">
        <v>15</v>
      </c>
      <c r="I359" s="22" t="s">
        <v>16</v>
      </c>
      <c r="J359" s="22">
        <f>NETWORKDAYS(Christus_Emp_Table[[#This Row],[From Date:]],Christus_Emp_Table[[#This Row],[To Date:]])</f>
        <v>1</v>
      </c>
      <c r="K359" s="22"/>
      <c r="L359" s="22" t="e">
        <f>_xlfn.XLOOKUP(Christus_Emp_Table[[#This Row],[Analyst Name:]],[1]!Table1[Analyst Name],[1]!Table1[Lead])</f>
        <v>#REF!</v>
      </c>
      <c r="M359" s="20" t="e">
        <f>_xlfn.XLOOKUP(Christus_Emp_Table[[#This Row],[Analyst Name:]],[1]!Table1[Analyst Name],[1]!Table1[Active/Inactive])</f>
        <v>#REF!</v>
      </c>
    </row>
    <row r="360" spans="1:13" x14ac:dyDescent="0.35">
      <c r="A360" s="23" t="s">
        <v>27</v>
      </c>
      <c r="B360" s="20" t="e">
        <f>_xlfn.XLOOKUP(Christus_Emp_Table[[#This Row],[Analyst Name:]],[1]!Table1[Analyst Name],[1]!Table1[Deloitte Email ID])</f>
        <v>#REF!</v>
      </c>
      <c r="C360" s="22" t="e">
        <f>_xlfn.XLOOKUP(Christus_Emp_Table[[#This Row],[Analyst Name:]],[1]!Table1[Analyst Name],[1]!Table1[Module])</f>
        <v>#REF!</v>
      </c>
      <c r="D360" s="22" t="e">
        <f>_xlfn.XLOOKUP(Christus_Emp_Table[[#This Row],[Analyst Name:]],[1]!Table1[Analyst Name],[1]!Table1[Location])</f>
        <v>#REF!</v>
      </c>
      <c r="E360" s="22" t="s">
        <v>15</v>
      </c>
      <c r="F360" s="24">
        <v>46024</v>
      </c>
      <c r="G360" s="24">
        <v>46024</v>
      </c>
      <c r="H360" s="22" t="s">
        <v>15</v>
      </c>
      <c r="I360" s="22" t="s">
        <v>16</v>
      </c>
      <c r="J360" s="22">
        <f>NETWORKDAYS(Christus_Emp_Table[[#This Row],[From Date:]],Christus_Emp_Table[[#This Row],[To Date:]])</f>
        <v>1</v>
      </c>
      <c r="K360" s="22"/>
      <c r="L360" s="22" t="e">
        <f>_xlfn.XLOOKUP(Christus_Emp_Table[[#This Row],[Analyst Name:]],[1]!Table1[Analyst Name],[1]!Table1[Lead])</f>
        <v>#REF!</v>
      </c>
      <c r="M360" s="20" t="e">
        <f>_xlfn.XLOOKUP(Christus_Emp_Table[[#This Row],[Analyst Name:]],[1]!Table1[Analyst Name],[1]!Table1[Active/Inactive])</f>
        <v>#REF!</v>
      </c>
    </row>
    <row r="361" spans="1:13" x14ac:dyDescent="0.35">
      <c r="A361" s="23" t="s">
        <v>26</v>
      </c>
      <c r="B361" s="20" t="e">
        <f>_xlfn.XLOOKUP(Christus_Emp_Table[[#This Row],[Analyst Name:]],[1]!Table1[Analyst Name],[1]!Table1[Deloitte Email ID])</f>
        <v>#REF!</v>
      </c>
      <c r="C361" s="22" t="e">
        <f>_xlfn.XLOOKUP(Christus_Emp_Table[[#This Row],[Analyst Name:]],[1]!Table1[Analyst Name],[1]!Table1[Module])</f>
        <v>#REF!</v>
      </c>
      <c r="D361" s="22" t="e">
        <f>_xlfn.XLOOKUP(Christus_Emp_Table[[#This Row],[Analyst Name:]],[1]!Table1[Analyst Name],[1]!Table1[Location])</f>
        <v>#REF!</v>
      </c>
      <c r="E361" s="22" t="s">
        <v>15</v>
      </c>
      <c r="F361" s="24">
        <v>46024</v>
      </c>
      <c r="G361" s="24">
        <v>46024</v>
      </c>
      <c r="H361" s="22" t="s">
        <v>15</v>
      </c>
      <c r="I361" s="22" t="s">
        <v>16</v>
      </c>
      <c r="J361" s="22">
        <f>NETWORKDAYS(Christus_Emp_Table[[#This Row],[From Date:]],Christus_Emp_Table[[#This Row],[To Date:]])</f>
        <v>1</v>
      </c>
      <c r="K361" s="22"/>
      <c r="L361" s="22" t="e">
        <f>_xlfn.XLOOKUP(Christus_Emp_Table[[#This Row],[Analyst Name:]],[1]!Table1[Analyst Name],[1]!Table1[Lead])</f>
        <v>#REF!</v>
      </c>
      <c r="M361" s="20" t="e">
        <f>_xlfn.XLOOKUP(Christus_Emp_Table[[#This Row],[Analyst Name:]],[1]!Table1[Analyst Name],[1]!Table1[Active/Inactive])</f>
        <v>#REF!</v>
      </c>
    </row>
    <row r="362" spans="1:13" x14ac:dyDescent="0.35">
      <c r="A362" s="23" t="s">
        <v>18</v>
      </c>
      <c r="B362" s="20" t="e">
        <f>_xlfn.XLOOKUP(Christus_Emp_Table[[#This Row],[Analyst Name:]],[1]!Table1[Analyst Name],[1]!Table1[Deloitte Email ID])</f>
        <v>#REF!</v>
      </c>
      <c r="C362" s="22" t="e">
        <f>_xlfn.XLOOKUP(Christus_Emp_Table[[#This Row],[Analyst Name:]],[1]!Table1[Analyst Name],[1]!Table1[Module])</f>
        <v>#REF!</v>
      </c>
      <c r="D362" s="22" t="e">
        <f>_xlfn.XLOOKUP(Christus_Emp_Table[[#This Row],[Analyst Name:]],[1]!Table1[Analyst Name],[1]!Table1[Location])</f>
        <v>#REF!</v>
      </c>
      <c r="E362" s="22" t="s">
        <v>15</v>
      </c>
      <c r="F362" s="24">
        <v>46024</v>
      </c>
      <c r="G362" s="24">
        <v>46024</v>
      </c>
      <c r="H362" s="22" t="s">
        <v>15</v>
      </c>
      <c r="I362" s="22" t="s">
        <v>16</v>
      </c>
      <c r="J362" s="22">
        <f>NETWORKDAYS(Christus_Emp_Table[[#This Row],[From Date:]],Christus_Emp_Table[[#This Row],[To Date:]])</f>
        <v>1</v>
      </c>
      <c r="K362" s="22"/>
      <c r="L362" s="22" t="e">
        <f>_xlfn.XLOOKUP(Christus_Emp_Table[[#This Row],[Analyst Name:]],[1]!Table1[Analyst Name],[1]!Table1[Lead])</f>
        <v>#REF!</v>
      </c>
      <c r="M362" s="20" t="e">
        <f>_xlfn.XLOOKUP(Christus_Emp_Table[[#This Row],[Analyst Name:]],[1]!Table1[Analyst Name],[1]!Table1[Active/Inactive])</f>
        <v>#REF!</v>
      </c>
    </row>
    <row r="363" spans="1:13" x14ac:dyDescent="0.35">
      <c r="A363" s="23" t="s">
        <v>17</v>
      </c>
      <c r="B363" s="20" t="e">
        <f>_xlfn.XLOOKUP(Christus_Emp_Table[[#This Row],[Analyst Name:]],[1]!Table1[Analyst Name],[1]!Table1[Deloitte Email ID])</f>
        <v>#REF!</v>
      </c>
      <c r="C363" s="22" t="e">
        <f>_xlfn.XLOOKUP(Christus_Emp_Table[[#This Row],[Analyst Name:]],[1]!Table1[Analyst Name],[1]!Table1[Module])</f>
        <v>#REF!</v>
      </c>
      <c r="D363" s="22" t="e">
        <f>_xlfn.XLOOKUP(Christus_Emp_Table[[#This Row],[Analyst Name:]],[1]!Table1[Analyst Name],[1]!Table1[Location])</f>
        <v>#REF!</v>
      </c>
      <c r="E363" s="22" t="s">
        <v>15</v>
      </c>
      <c r="F363" s="24">
        <v>46024</v>
      </c>
      <c r="G363" s="24">
        <v>46024</v>
      </c>
      <c r="H363" s="22" t="s">
        <v>15</v>
      </c>
      <c r="I363" s="22" t="s">
        <v>16</v>
      </c>
      <c r="J363" s="22">
        <f>NETWORKDAYS(Christus_Emp_Table[[#This Row],[From Date:]],Christus_Emp_Table[[#This Row],[To Date:]])</f>
        <v>1</v>
      </c>
      <c r="K363" s="22"/>
      <c r="L363" s="22" t="e">
        <f>_xlfn.XLOOKUP(Christus_Emp_Table[[#This Row],[Analyst Name:]],[1]!Table1[Analyst Name],[1]!Table1[Lead])</f>
        <v>#REF!</v>
      </c>
      <c r="M363" s="20" t="e">
        <f>_xlfn.XLOOKUP(Christus_Emp_Table[[#This Row],[Analyst Name:]],[1]!Table1[Analyst Name],[1]!Table1[Active/Inactive])</f>
        <v>#REF!</v>
      </c>
    </row>
    <row r="364" spans="1:13" x14ac:dyDescent="0.35">
      <c r="A364" s="23" t="s">
        <v>46</v>
      </c>
      <c r="B364" s="20" t="e">
        <f>_xlfn.XLOOKUP(Christus_Emp_Table[[#This Row],[Analyst Name:]],[1]!Table1[Analyst Name],[1]!Table1[Deloitte Email ID])</f>
        <v>#REF!</v>
      </c>
      <c r="C364" s="22" t="e">
        <f>_xlfn.XLOOKUP(Christus_Emp_Table[[#This Row],[Analyst Name:]],[1]!Table1[Analyst Name],[1]!Table1[Module])</f>
        <v>#REF!</v>
      </c>
      <c r="D364" s="22" t="e">
        <f>_xlfn.XLOOKUP(Christus_Emp_Table[[#This Row],[Analyst Name:]],[1]!Table1[Analyst Name],[1]!Table1[Location])</f>
        <v>#REF!</v>
      </c>
      <c r="E364" s="22" t="s">
        <v>15</v>
      </c>
      <c r="F364" s="24">
        <v>46024</v>
      </c>
      <c r="G364" s="24">
        <v>46024</v>
      </c>
      <c r="H364" s="22" t="s">
        <v>15</v>
      </c>
      <c r="I364" s="22" t="s">
        <v>16</v>
      </c>
      <c r="J364" s="22">
        <f>NETWORKDAYS(Christus_Emp_Table[[#This Row],[From Date:]],Christus_Emp_Table[[#This Row],[To Date:]])</f>
        <v>1</v>
      </c>
      <c r="K364" s="22"/>
      <c r="L364" s="22" t="e">
        <f>_xlfn.XLOOKUP(Christus_Emp_Table[[#This Row],[Analyst Name:]],[1]!Table1[Analyst Name],[1]!Table1[Lead])</f>
        <v>#REF!</v>
      </c>
      <c r="M364" s="20" t="e">
        <f>_xlfn.XLOOKUP(Christus_Emp_Table[[#This Row],[Analyst Name:]],[1]!Table1[Analyst Name],[1]!Table1[Active/Inactive])</f>
        <v>#REF!</v>
      </c>
    </row>
    <row r="365" spans="1:13" x14ac:dyDescent="0.35">
      <c r="A365" s="23" t="s">
        <v>43</v>
      </c>
      <c r="B365" s="20" t="e">
        <f>_xlfn.XLOOKUP(Christus_Emp_Table[[#This Row],[Analyst Name:]],[1]!Table1[Analyst Name],[1]!Table1[Deloitte Email ID])</f>
        <v>#REF!</v>
      </c>
      <c r="C365" s="22" t="e">
        <f>_xlfn.XLOOKUP(Christus_Emp_Table[[#This Row],[Analyst Name:]],[1]!Table1[Analyst Name],[1]!Table1[Module])</f>
        <v>#REF!</v>
      </c>
      <c r="D365" s="22" t="e">
        <f>_xlfn.XLOOKUP(Christus_Emp_Table[[#This Row],[Analyst Name:]],[1]!Table1[Analyst Name],[1]!Table1[Location])</f>
        <v>#REF!</v>
      </c>
      <c r="E365" s="22" t="s">
        <v>15</v>
      </c>
      <c r="F365" s="24">
        <v>46024</v>
      </c>
      <c r="G365" s="24">
        <v>46024</v>
      </c>
      <c r="H365" s="22" t="s">
        <v>15</v>
      </c>
      <c r="I365" s="22" t="s">
        <v>16</v>
      </c>
      <c r="J365" s="22">
        <f>NETWORKDAYS(Christus_Emp_Table[[#This Row],[From Date:]],Christus_Emp_Table[[#This Row],[To Date:]])</f>
        <v>1</v>
      </c>
      <c r="K365" s="22"/>
      <c r="L365" s="22" t="e">
        <f>_xlfn.XLOOKUP(Christus_Emp_Table[[#This Row],[Analyst Name:]],[1]!Table1[Analyst Name],[1]!Table1[Lead])</f>
        <v>#REF!</v>
      </c>
      <c r="M365" s="20" t="e">
        <f>_xlfn.XLOOKUP(Christus_Emp_Table[[#This Row],[Analyst Name:]],[1]!Table1[Analyst Name],[1]!Table1[Active/Inactive])</f>
        <v>#REF!</v>
      </c>
    </row>
    <row r="366" spans="1:13" x14ac:dyDescent="0.35">
      <c r="A366" s="23" t="s">
        <v>53</v>
      </c>
      <c r="B366" s="20" t="e">
        <f>_xlfn.XLOOKUP(Christus_Emp_Table[[#This Row],[Analyst Name:]],[1]!Table1[Analyst Name],[1]!Table1[Deloitte Email ID])</f>
        <v>#REF!</v>
      </c>
      <c r="C366" s="22" t="e">
        <f>_xlfn.XLOOKUP(Christus_Emp_Table[[#This Row],[Analyst Name:]],[1]!Table1[Analyst Name],[1]!Table1[Module])</f>
        <v>#REF!</v>
      </c>
      <c r="D366" s="22" t="e">
        <f>_xlfn.XLOOKUP(Christus_Emp_Table[[#This Row],[Analyst Name:]],[1]!Table1[Analyst Name],[1]!Table1[Location])</f>
        <v>#REF!</v>
      </c>
      <c r="E366" s="22" t="s">
        <v>15</v>
      </c>
      <c r="F366" s="24">
        <v>46024</v>
      </c>
      <c r="G366" s="24">
        <v>46024</v>
      </c>
      <c r="H366" s="22" t="s">
        <v>15</v>
      </c>
      <c r="I366" s="22" t="s">
        <v>16</v>
      </c>
      <c r="J366" s="22">
        <f>NETWORKDAYS(Christus_Emp_Table[[#This Row],[From Date:]],Christus_Emp_Table[[#This Row],[To Date:]])</f>
        <v>1</v>
      </c>
      <c r="K366" s="22"/>
      <c r="L366" s="22" t="e">
        <f>_xlfn.XLOOKUP(Christus_Emp_Table[[#This Row],[Analyst Name:]],[1]!Table1[Analyst Name],[1]!Table1[Lead])</f>
        <v>#REF!</v>
      </c>
      <c r="M366" s="20" t="e">
        <f>_xlfn.XLOOKUP(Christus_Emp_Table[[#This Row],[Analyst Name:]],[1]!Table1[Analyst Name],[1]!Table1[Active/Inactive])</f>
        <v>#REF!</v>
      </c>
    </row>
    <row r="367" spans="1:13" x14ac:dyDescent="0.35">
      <c r="A367" s="23" t="s">
        <v>52</v>
      </c>
      <c r="B367" s="20" t="e">
        <f>_xlfn.XLOOKUP(Christus_Emp_Table[[#This Row],[Analyst Name:]],[1]!Table1[Analyst Name],[1]!Table1[Deloitte Email ID])</f>
        <v>#REF!</v>
      </c>
      <c r="C367" s="22" t="e">
        <f>_xlfn.XLOOKUP(Christus_Emp_Table[[#This Row],[Analyst Name:]],[1]!Table1[Analyst Name],[1]!Table1[Module])</f>
        <v>#REF!</v>
      </c>
      <c r="D367" s="22" t="e">
        <f>_xlfn.XLOOKUP(Christus_Emp_Table[[#This Row],[Analyst Name:]],[1]!Table1[Analyst Name],[1]!Table1[Location])</f>
        <v>#REF!</v>
      </c>
      <c r="E367" s="22" t="s">
        <v>15</v>
      </c>
      <c r="F367" s="24">
        <v>46024</v>
      </c>
      <c r="G367" s="24">
        <v>46024</v>
      </c>
      <c r="H367" s="22" t="s">
        <v>15</v>
      </c>
      <c r="I367" s="22" t="s">
        <v>16</v>
      </c>
      <c r="J367" s="22">
        <f>NETWORKDAYS(Christus_Emp_Table[[#This Row],[From Date:]],Christus_Emp_Table[[#This Row],[To Date:]])</f>
        <v>1</v>
      </c>
      <c r="K367" s="22"/>
      <c r="L367" s="22" t="e">
        <f>_xlfn.XLOOKUP(Christus_Emp_Table[[#This Row],[Analyst Name:]],[1]!Table1[Analyst Name],[1]!Table1[Lead])</f>
        <v>#REF!</v>
      </c>
      <c r="M367" s="20" t="e">
        <f>_xlfn.XLOOKUP(Christus_Emp_Table[[#This Row],[Analyst Name:]],[1]!Table1[Analyst Name],[1]!Table1[Active/Inactive])</f>
        <v>#REF!</v>
      </c>
    </row>
    <row r="368" spans="1:13" x14ac:dyDescent="0.35">
      <c r="A368" s="23" t="s">
        <v>40</v>
      </c>
      <c r="B368" s="20" t="e">
        <f>_xlfn.XLOOKUP(Christus_Emp_Table[[#This Row],[Analyst Name:]],[1]!Table1[Analyst Name],[1]!Table1[Deloitte Email ID])</f>
        <v>#REF!</v>
      </c>
      <c r="C368" s="22" t="e">
        <f>_xlfn.XLOOKUP(Christus_Emp_Table[[#This Row],[Analyst Name:]],[1]!Table1[Analyst Name],[1]!Table1[Module])</f>
        <v>#REF!</v>
      </c>
      <c r="D368" s="22" t="e">
        <f>_xlfn.XLOOKUP(Christus_Emp_Table[[#This Row],[Analyst Name:]],[1]!Table1[Analyst Name],[1]!Table1[Location])</f>
        <v>#REF!</v>
      </c>
      <c r="E368" s="22" t="s">
        <v>15</v>
      </c>
      <c r="F368" s="24">
        <v>46038</v>
      </c>
      <c r="G368" s="24">
        <v>46041</v>
      </c>
      <c r="H368" s="22" t="s">
        <v>15</v>
      </c>
      <c r="I368" s="22" t="s">
        <v>16</v>
      </c>
      <c r="J368" s="22">
        <f>NETWORKDAYS(Christus_Emp_Table[[#This Row],[From Date:]],Christus_Emp_Table[[#This Row],[To Date:]])</f>
        <v>2</v>
      </c>
      <c r="K368" s="22"/>
      <c r="L368" s="22" t="e">
        <f>_xlfn.XLOOKUP(Christus_Emp_Table[[#This Row],[Analyst Name:]],[1]!Table1[Analyst Name],[1]!Table1[Lead])</f>
        <v>#REF!</v>
      </c>
      <c r="M368" s="20" t="e">
        <f>_xlfn.XLOOKUP(Christus_Emp_Table[[#This Row],[Analyst Name:]],[1]!Table1[Analyst Name],[1]!Table1[Active/Inactive])</f>
        <v>#REF!</v>
      </c>
    </row>
    <row r="369" spans="1:13" x14ac:dyDescent="0.35">
      <c r="A369" s="23" t="s">
        <v>39</v>
      </c>
      <c r="B369" s="20" t="e">
        <f>_xlfn.XLOOKUP(Christus_Emp_Table[[#This Row],[Analyst Name:]],[1]!Table1[Analyst Name],[1]!Table1[Deloitte Email ID])</f>
        <v>#REF!</v>
      </c>
      <c r="C369" s="22" t="e">
        <f>_xlfn.XLOOKUP(Christus_Emp_Table[[#This Row],[Analyst Name:]],[1]!Table1[Analyst Name],[1]!Table1[Module])</f>
        <v>#REF!</v>
      </c>
      <c r="D369" s="22" t="e">
        <f>_xlfn.XLOOKUP(Christus_Emp_Table[[#This Row],[Analyst Name:]],[1]!Table1[Analyst Name],[1]!Table1[Location])</f>
        <v>#REF!</v>
      </c>
      <c r="E369" s="22" t="s">
        <v>15</v>
      </c>
      <c r="F369" s="24">
        <v>46030</v>
      </c>
      <c r="G369" s="24">
        <v>46034</v>
      </c>
      <c r="H369" s="22" t="s">
        <v>15</v>
      </c>
      <c r="I369" s="22" t="s">
        <v>16</v>
      </c>
      <c r="J369" s="22">
        <f>NETWORKDAYS(Christus_Emp_Table[[#This Row],[From Date:]],Christus_Emp_Table[[#This Row],[To Date:]])</f>
        <v>3</v>
      </c>
      <c r="K369" s="22"/>
      <c r="L369" s="22" t="e">
        <f>_xlfn.XLOOKUP(Christus_Emp_Table[[#This Row],[Analyst Name:]],[1]!Table1[Analyst Name],[1]!Table1[Lead])</f>
        <v>#REF!</v>
      </c>
      <c r="M369" s="20" t="e">
        <f>_xlfn.XLOOKUP(Christus_Emp_Table[[#This Row],[Analyst Name:]],[1]!Table1[Analyst Name],[1]!Table1[Active/Inactive])</f>
        <v>#REF!</v>
      </c>
    </row>
    <row r="370" spans="1:13" x14ac:dyDescent="0.35">
      <c r="A370" s="23" t="s">
        <v>25</v>
      </c>
      <c r="B370" s="20" t="e">
        <f>_xlfn.XLOOKUP(Christus_Emp_Table[[#This Row],[Analyst Name:]],[1]!Table1[Analyst Name],[1]!Table1[Deloitte Email ID])</f>
        <v>#REF!</v>
      </c>
      <c r="C370" s="22" t="e">
        <f>_xlfn.XLOOKUP(Christus_Emp_Table[[#This Row],[Analyst Name:]],[1]!Table1[Analyst Name],[1]!Table1[Module])</f>
        <v>#REF!</v>
      </c>
      <c r="D370" s="22" t="e">
        <f>_xlfn.XLOOKUP(Christus_Emp_Table[[#This Row],[Analyst Name:]],[1]!Table1[Analyst Name],[1]!Table1[Location])</f>
        <v>#REF!</v>
      </c>
      <c r="E370" s="22" t="s">
        <v>15</v>
      </c>
      <c r="F370" s="24">
        <v>46024</v>
      </c>
      <c r="G370" s="24">
        <v>46031</v>
      </c>
      <c r="H370" s="22" t="s">
        <v>15</v>
      </c>
      <c r="I370" s="22" t="s">
        <v>16</v>
      </c>
      <c r="J370" s="22">
        <f>NETWORKDAYS(Christus_Emp_Table[[#This Row],[From Date:]],Christus_Emp_Table[[#This Row],[To Date:]])</f>
        <v>6</v>
      </c>
      <c r="K370" s="22"/>
      <c r="L370" s="22" t="e">
        <f>_xlfn.XLOOKUP(Christus_Emp_Table[[#This Row],[Analyst Name:]],[1]!Table1[Analyst Name],[1]!Table1[Lead])</f>
        <v>#REF!</v>
      </c>
      <c r="M370" s="20" t="e">
        <f>_xlfn.XLOOKUP(Christus_Emp_Table[[#This Row],[Analyst Name:]],[1]!Table1[Analyst Name],[1]!Table1[Active/Inactive])</f>
        <v>#REF!</v>
      </c>
    </row>
    <row r="371" spans="1:13" x14ac:dyDescent="0.35">
      <c r="A371" s="23" t="s">
        <v>21</v>
      </c>
      <c r="B371" s="20" t="e">
        <f>_xlfn.XLOOKUP(Christus_Emp_Table[[#This Row],[Analyst Name:]],[1]!Table1[Analyst Name],[1]!Table1[Deloitte Email ID])</f>
        <v>#REF!</v>
      </c>
      <c r="C371" s="22" t="e">
        <f>_xlfn.XLOOKUP(Christus_Emp_Table[[#This Row],[Analyst Name:]],[1]!Table1[Analyst Name],[1]!Table1[Module])</f>
        <v>#REF!</v>
      </c>
      <c r="D371" s="22" t="e">
        <f>_xlfn.XLOOKUP(Christus_Emp_Table[[#This Row],[Analyst Name:]],[1]!Table1[Analyst Name],[1]!Table1[Location])</f>
        <v>#REF!</v>
      </c>
      <c r="E371" s="22" t="s">
        <v>15</v>
      </c>
      <c r="F371" s="24">
        <v>46030</v>
      </c>
      <c r="G371" s="24">
        <v>46031</v>
      </c>
      <c r="H371" s="22" t="s">
        <v>15</v>
      </c>
      <c r="I371" s="22" t="s">
        <v>16</v>
      </c>
      <c r="J371" s="22">
        <f>NETWORKDAYS(Christus_Emp_Table[[#This Row],[From Date:]],Christus_Emp_Table[[#This Row],[To Date:]])</f>
        <v>2</v>
      </c>
      <c r="K371" s="22"/>
      <c r="L371" s="22" t="e">
        <f>_xlfn.XLOOKUP(Christus_Emp_Table[[#This Row],[Analyst Name:]],[1]!Table1[Analyst Name],[1]!Table1[Lead])</f>
        <v>#REF!</v>
      </c>
      <c r="M371" s="20" t="e">
        <f>_xlfn.XLOOKUP(Christus_Emp_Table[[#This Row],[Analyst Name:]],[1]!Table1[Analyst Name],[1]!Table1[Active/Inactive])</f>
        <v>#REF!</v>
      </c>
    </row>
    <row r="372" spans="1:13" x14ac:dyDescent="0.35">
      <c r="A372" s="23" t="s">
        <v>31</v>
      </c>
      <c r="B372" s="20" t="e">
        <f>_xlfn.XLOOKUP(Christus_Emp_Table[[#This Row],[Analyst Name:]],[1]!Table1[Analyst Name],[1]!Table1[Deloitte Email ID])</f>
        <v>#REF!</v>
      </c>
      <c r="C372" s="22" t="e">
        <f>_xlfn.XLOOKUP(Christus_Emp_Table[[#This Row],[Analyst Name:]],[1]!Table1[Analyst Name],[1]!Table1[Module])</f>
        <v>#REF!</v>
      </c>
      <c r="D372" s="22" t="e">
        <f>_xlfn.XLOOKUP(Christus_Emp_Table[[#This Row],[Analyst Name:]],[1]!Table1[Analyst Name],[1]!Table1[Location])</f>
        <v>#REF!</v>
      </c>
      <c r="E372" s="22" t="s">
        <v>19</v>
      </c>
      <c r="F372" s="24">
        <v>46029</v>
      </c>
      <c r="G372" s="24">
        <v>46029</v>
      </c>
      <c r="H372" s="20" t="s">
        <v>20</v>
      </c>
      <c r="I372" s="22" t="s">
        <v>16</v>
      </c>
      <c r="J372" s="22">
        <f>NETWORKDAYS(Christus_Emp_Table[[#This Row],[From Date:]],Christus_Emp_Table[[#This Row],[To Date:]])</f>
        <v>1</v>
      </c>
      <c r="K372" s="22"/>
      <c r="L372" s="22" t="e">
        <f>_xlfn.XLOOKUP(Christus_Emp_Table[[#This Row],[Analyst Name:]],[1]!Table1[Analyst Name],[1]!Table1[Lead])</f>
        <v>#REF!</v>
      </c>
      <c r="M372" s="20" t="e">
        <f>_xlfn.XLOOKUP(Christus_Emp_Table[[#This Row],[Analyst Name:]],[1]!Table1[Analyst Name],[1]!Table1[Active/Inactive])</f>
        <v>#REF!</v>
      </c>
    </row>
    <row r="373" spans="1:13" x14ac:dyDescent="0.35">
      <c r="A373" s="23" t="s">
        <v>43</v>
      </c>
      <c r="B373" s="20" t="e">
        <f>_xlfn.XLOOKUP(Christus_Emp_Table[[#This Row],[Analyst Name:]],[1]!Table1[Analyst Name],[1]!Table1[Deloitte Email ID])</f>
        <v>#REF!</v>
      </c>
      <c r="C373" s="22" t="e">
        <f>_xlfn.XLOOKUP(Christus_Emp_Table[[#This Row],[Analyst Name:]],[1]!Table1[Analyst Name],[1]!Table1[Module])</f>
        <v>#REF!</v>
      </c>
      <c r="D373" s="22" t="e">
        <f>_xlfn.XLOOKUP(Christus_Emp_Table[[#This Row],[Analyst Name:]],[1]!Table1[Analyst Name],[1]!Table1[Location])</f>
        <v>#REF!</v>
      </c>
      <c r="E373" s="22" t="s">
        <v>15</v>
      </c>
      <c r="F373" s="24">
        <v>46038</v>
      </c>
      <c r="G373" s="24">
        <v>46038</v>
      </c>
      <c r="H373" s="22" t="s">
        <v>15</v>
      </c>
      <c r="I373" s="22" t="s">
        <v>16</v>
      </c>
      <c r="J373" s="22">
        <f>NETWORKDAYS(Christus_Emp_Table[[#This Row],[From Date:]],Christus_Emp_Table[[#This Row],[To Date:]])</f>
        <v>1</v>
      </c>
      <c r="K373" s="22"/>
      <c r="L373" s="22" t="e">
        <f>_xlfn.XLOOKUP(Christus_Emp_Table[[#This Row],[Analyst Name:]],[1]!Table1[Analyst Name],[1]!Table1[Lead])</f>
        <v>#REF!</v>
      </c>
      <c r="M373" s="20" t="e">
        <f>_xlfn.XLOOKUP(Christus_Emp_Table[[#This Row],[Analyst Name:]],[1]!Table1[Analyst Name],[1]!Table1[Active/Inactive])</f>
        <v>#REF!</v>
      </c>
    </row>
    <row r="374" spans="1:13" x14ac:dyDescent="0.35">
      <c r="A374" s="23" t="s">
        <v>31</v>
      </c>
      <c r="B374" s="20" t="e">
        <f>_xlfn.XLOOKUP(Christus_Emp_Table[[#This Row],[Analyst Name:]],[1]!Table1[Analyst Name],[1]!Table1[Deloitte Email ID])</f>
        <v>#REF!</v>
      </c>
      <c r="C374" s="22" t="e">
        <f>_xlfn.XLOOKUP(Christus_Emp_Table[[#This Row],[Analyst Name:]],[1]!Table1[Analyst Name],[1]!Table1[Module])</f>
        <v>#REF!</v>
      </c>
      <c r="D374" s="22" t="e">
        <f>_xlfn.XLOOKUP(Christus_Emp_Table[[#This Row],[Analyst Name:]],[1]!Table1[Analyst Name],[1]!Table1[Location])</f>
        <v>#REF!</v>
      </c>
      <c r="E374" s="22" t="s">
        <v>15</v>
      </c>
      <c r="F374" s="24">
        <v>46069</v>
      </c>
      <c r="G374" s="24">
        <v>46073</v>
      </c>
      <c r="H374" s="22" t="s">
        <v>15</v>
      </c>
      <c r="I374" s="22" t="s">
        <v>16</v>
      </c>
      <c r="J374" s="22">
        <f>NETWORKDAYS(Christus_Emp_Table[[#This Row],[From Date:]],Christus_Emp_Table[[#This Row],[To Date:]])</f>
        <v>5</v>
      </c>
      <c r="K374" s="22"/>
      <c r="L374" s="22" t="e">
        <f>_xlfn.XLOOKUP(Christus_Emp_Table[[#This Row],[Analyst Name:]],[1]!Table1[Analyst Name],[1]!Table1[Lead])</f>
        <v>#REF!</v>
      </c>
      <c r="M374" s="20" t="e">
        <f>_xlfn.XLOOKUP(Christus_Emp_Table[[#This Row],[Analyst Name:]],[1]!Table1[Analyst Name],[1]!Table1[Active/Inactive])</f>
        <v>#REF!</v>
      </c>
    </row>
    <row r="375" spans="1:13" x14ac:dyDescent="0.35">
      <c r="A375" s="23" t="s">
        <v>47</v>
      </c>
      <c r="B375" s="20" t="e">
        <f>_xlfn.XLOOKUP(Christus_Emp_Table[[#This Row],[Analyst Name:]],[1]!Table1[Analyst Name],[1]!Table1[Deloitte Email ID])</f>
        <v>#REF!</v>
      </c>
      <c r="C375" s="22" t="e">
        <f>_xlfn.XLOOKUP(Christus_Emp_Table[[#This Row],[Analyst Name:]],[1]!Table1[Analyst Name],[1]!Table1[Module])</f>
        <v>#REF!</v>
      </c>
      <c r="D375" s="22" t="e">
        <f>_xlfn.XLOOKUP(Christus_Emp_Table[[#This Row],[Analyst Name:]],[1]!Table1[Analyst Name],[1]!Table1[Location])</f>
        <v>#REF!</v>
      </c>
      <c r="E375" s="22" t="s">
        <v>15</v>
      </c>
      <c r="F375" s="24">
        <v>46055</v>
      </c>
      <c r="G375" s="24">
        <v>46058</v>
      </c>
      <c r="H375" s="22" t="s">
        <v>51</v>
      </c>
      <c r="I375" s="22" t="s">
        <v>16</v>
      </c>
      <c r="J375" s="22">
        <f>NETWORKDAYS(Christus_Emp_Table[[#This Row],[From Date:]],Christus_Emp_Table[[#This Row],[To Date:]])</f>
        <v>4</v>
      </c>
      <c r="K375" s="22"/>
      <c r="L375" s="22" t="e">
        <f>_xlfn.XLOOKUP(Christus_Emp_Table[[#This Row],[Analyst Name:]],[1]!Table1[Analyst Name],[1]!Table1[Lead])</f>
        <v>#REF!</v>
      </c>
      <c r="M375" s="20" t="e">
        <f>_xlfn.XLOOKUP(Christus_Emp_Table[[#This Row],[Analyst Name:]],[1]!Table1[Analyst Name],[1]!Table1[Active/Inactive])</f>
        <v>#REF!</v>
      </c>
    </row>
    <row r="376" spans="1:13" x14ac:dyDescent="0.35">
      <c r="A376" s="23" t="s">
        <v>22</v>
      </c>
      <c r="B376" s="20" t="e">
        <f>_xlfn.XLOOKUP(Christus_Emp_Table[[#This Row],[Analyst Name:]],[1]!Table1[Analyst Name],[1]!Table1[Deloitte Email ID])</f>
        <v>#REF!</v>
      </c>
      <c r="C376" s="22" t="e">
        <f>_xlfn.XLOOKUP(Christus_Emp_Table[[#This Row],[Analyst Name:]],[1]!Table1[Analyst Name],[1]!Table1[Module])</f>
        <v>#REF!</v>
      </c>
      <c r="D376" s="22" t="e">
        <f>_xlfn.XLOOKUP(Christus_Emp_Table[[#This Row],[Analyst Name:]],[1]!Table1[Analyst Name],[1]!Table1[Location])</f>
        <v>#REF!</v>
      </c>
      <c r="E376" s="22" t="s">
        <v>15</v>
      </c>
      <c r="F376" s="24">
        <v>46072</v>
      </c>
      <c r="G376" s="24">
        <v>46077</v>
      </c>
      <c r="H376" s="22" t="s">
        <v>54</v>
      </c>
      <c r="I376" s="22" t="s">
        <v>55</v>
      </c>
      <c r="J376" s="22">
        <f>NETWORKDAYS(Christus_Emp_Table[[#This Row],[From Date:]],Christus_Emp_Table[[#This Row],[To Date:]])</f>
        <v>4</v>
      </c>
      <c r="K376" s="22"/>
      <c r="L376" s="22" t="e">
        <f>_xlfn.XLOOKUP(Christus_Emp_Table[[#This Row],[Analyst Name:]],[1]!Table1[Analyst Name],[1]!Table1[Lead])</f>
        <v>#REF!</v>
      </c>
      <c r="M376" s="20" t="e">
        <f>_xlfn.XLOOKUP(Christus_Emp_Table[[#This Row],[Analyst Name:]],[1]!Table1[Analyst Name],[1]!Table1[Active/Inactive])</f>
        <v>#REF!</v>
      </c>
    </row>
    <row r="377" spans="1:13" x14ac:dyDescent="0.35">
      <c r="A377" s="23" t="s">
        <v>24</v>
      </c>
      <c r="B377" s="20" t="e">
        <f>_xlfn.XLOOKUP(Christus_Emp_Table[[#This Row],[Analyst Name:]],[1]!Table1[Analyst Name],[1]!Table1[Deloitte Email ID])</f>
        <v>#REF!</v>
      </c>
      <c r="C377" s="22" t="e">
        <f>_xlfn.XLOOKUP(Christus_Emp_Table[[#This Row],[Analyst Name:]],[1]!Table1[Analyst Name],[1]!Table1[Module])</f>
        <v>#REF!</v>
      </c>
      <c r="D377" s="22" t="e">
        <f>_xlfn.XLOOKUP(Christus_Emp_Table[[#This Row],[Analyst Name:]],[1]!Table1[Analyst Name],[1]!Table1[Location])</f>
        <v>#REF!</v>
      </c>
      <c r="E377" s="22" t="s">
        <v>15</v>
      </c>
      <c r="F377" s="24">
        <v>46038</v>
      </c>
      <c r="G377" s="24">
        <v>46038</v>
      </c>
      <c r="H377" s="22" t="s">
        <v>15</v>
      </c>
      <c r="I377" s="22" t="s">
        <v>16</v>
      </c>
      <c r="J377" s="22">
        <f>NETWORKDAYS(Christus_Emp_Table[[#This Row],[From Date:]],Christus_Emp_Table[[#This Row],[To Date:]])</f>
        <v>1</v>
      </c>
      <c r="K377" s="22"/>
      <c r="L377" s="22" t="e">
        <f>_xlfn.XLOOKUP(Christus_Emp_Table[[#This Row],[Analyst Name:]],[1]!Table1[Analyst Name],[1]!Table1[Lead])</f>
        <v>#REF!</v>
      </c>
      <c r="M377" s="20" t="e">
        <f>_xlfn.XLOOKUP(Christus_Emp_Table[[#This Row],[Analyst Name:]],[1]!Table1[Analyst Name],[1]!Table1[Active/Inactive])</f>
        <v>#REF!</v>
      </c>
    </row>
    <row r="378" spans="1:13" x14ac:dyDescent="0.35">
      <c r="A378" s="23" t="s">
        <v>32</v>
      </c>
      <c r="B378" s="22" t="e">
        <f>_xlfn.XLOOKUP(Christus_Emp_Table[[#This Row],[Analyst Name:]],[1]!Table1[Analyst Name],[1]!Table1[Deloitte Email ID])</f>
        <v>#REF!</v>
      </c>
      <c r="C378" s="22" t="e">
        <f>_xlfn.XLOOKUP(Christus_Emp_Table[[#This Row],[Analyst Name:]],[1]!Table1[Analyst Name],[1]!Table1[Module])</f>
        <v>#REF!</v>
      </c>
      <c r="D378" s="22" t="e">
        <f>_xlfn.XLOOKUP(Christus_Emp_Table[[#This Row],[Analyst Name:]],[1]!Table1[Analyst Name],[1]!Table1[Location])</f>
        <v>#REF!</v>
      </c>
      <c r="E378" s="22" t="s">
        <v>23</v>
      </c>
      <c r="F378" s="24">
        <v>46063</v>
      </c>
      <c r="G378" s="24">
        <v>46063</v>
      </c>
      <c r="H378" s="22" t="s">
        <v>56</v>
      </c>
      <c r="I378" s="22" t="s">
        <v>16</v>
      </c>
      <c r="J378" s="22">
        <f>NETWORKDAYS(Christus_Emp_Table[[#This Row],[From Date:]],Christus_Emp_Table[[#This Row],[To Date:]])</f>
        <v>1</v>
      </c>
      <c r="K378" s="22"/>
      <c r="L378" s="22" t="e">
        <f>_xlfn.XLOOKUP(Christus_Emp_Table[[#This Row],[Analyst Name:]],[1]!Table1[Analyst Name],[1]!Table1[Lead])</f>
        <v>#REF!</v>
      </c>
      <c r="M378" s="20" t="e">
        <f>_xlfn.XLOOKUP(Christus_Emp_Table[[#This Row],[Analyst Name:]],[1]!Table1[Analyst Name],[1]!Table1[Active/Inactive])</f>
        <v>#REF!</v>
      </c>
    </row>
    <row r="379" spans="1:13" x14ac:dyDescent="0.35">
      <c r="A379" s="23" t="s">
        <v>32</v>
      </c>
      <c r="B379" s="22" t="e">
        <f>_xlfn.XLOOKUP(Christus_Emp_Table[[#This Row],[Analyst Name:]],[1]!Table1[Analyst Name],[1]!Table1[Deloitte Email ID])</f>
        <v>#REF!</v>
      </c>
      <c r="C379" s="22" t="e">
        <f>_xlfn.XLOOKUP(Christus_Emp_Table[[#This Row],[Analyst Name:]],[1]!Table1[Analyst Name],[1]!Table1[Module])</f>
        <v>#REF!</v>
      </c>
      <c r="D379" s="22" t="e">
        <f>_xlfn.XLOOKUP(Christus_Emp_Table[[#This Row],[Analyst Name:]],[1]!Table1[Analyst Name],[1]!Table1[Location])</f>
        <v>#REF!</v>
      </c>
      <c r="E379" s="22" t="s">
        <v>15</v>
      </c>
      <c r="F379" s="24">
        <v>46064</v>
      </c>
      <c r="G379" s="24">
        <v>46066</v>
      </c>
      <c r="H379" s="22" t="s">
        <v>56</v>
      </c>
      <c r="I379" s="22" t="s">
        <v>16</v>
      </c>
      <c r="J379" s="22">
        <f>NETWORKDAYS(Christus_Emp_Table[[#This Row],[From Date:]],Christus_Emp_Table[[#This Row],[To Date:]])</f>
        <v>3</v>
      </c>
      <c r="K379" s="22"/>
      <c r="L379" s="22" t="e">
        <f>_xlfn.XLOOKUP(Christus_Emp_Table[[#This Row],[Analyst Name:]],[1]!Table1[Analyst Name],[1]!Table1[Lead])</f>
        <v>#REF!</v>
      </c>
      <c r="M379" s="20" t="e">
        <f>_xlfn.XLOOKUP(Christus_Emp_Table[[#This Row],[Analyst Name:]],[1]!Table1[Analyst Name],[1]!Table1[Active/Inactive])</f>
        <v>#REF!</v>
      </c>
    </row>
    <row r="380" spans="1:13" x14ac:dyDescent="0.35">
      <c r="A380" s="23" t="s">
        <v>28</v>
      </c>
      <c r="B380" s="22" t="e">
        <f>_xlfn.XLOOKUP(Christus_Emp_Table[[#This Row],[Analyst Name:]],[1]!Table1[Analyst Name],[1]!Table1[Deloitte Email ID])</f>
        <v>#REF!</v>
      </c>
      <c r="C380" s="22" t="e">
        <f>_xlfn.XLOOKUP(Christus_Emp_Table[[#This Row],[Analyst Name:]],[1]!Table1[Analyst Name],[1]!Table1[Module])</f>
        <v>#REF!</v>
      </c>
      <c r="D380" s="22" t="e">
        <f>_xlfn.XLOOKUP(Christus_Emp_Table[[#This Row],[Analyst Name:]],[1]!Table1[Analyst Name],[1]!Table1[Location])</f>
        <v>#REF!</v>
      </c>
      <c r="E380" s="22" t="s">
        <v>19</v>
      </c>
      <c r="F380" s="24">
        <v>46038</v>
      </c>
      <c r="G380" s="24">
        <v>46038</v>
      </c>
      <c r="H380" s="20" t="s">
        <v>20</v>
      </c>
      <c r="I380" s="22" t="s">
        <v>16</v>
      </c>
      <c r="J380" s="22">
        <f>NETWORKDAYS(Christus_Emp_Table[[#This Row],[From Date:]],Christus_Emp_Table[[#This Row],[To Date:]])</f>
        <v>1</v>
      </c>
      <c r="K380" s="22"/>
      <c r="L380" s="22" t="e">
        <f>_xlfn.XLOOKUP(Christus_Emp_Table[[#This Row],[Analyst Name:]],[1]!Table1[Analyst Name],[1]!Table1[Lead])</f>
        <v>#REF!</v>
      </c>
      <c r="M380" s="20" t="e">
        <f>_xlfn.XLOOKUP(Christus_Emp_Table[[#This Row],[Analyst Name:]],[1]!Table1[Analyst Name],[1]!Table1[Active/Inactive])</f>
        <v>#REF!</v>
      </c>
    </row>
    <row r="381" spans="1:13" x14ac:dyDescent="0.35">
      <c r="A381" s="23" t="s">
        <v>44</v>
      </c>
      <c r="B381" s="22" t="e">
        <f>_xlfn.XLOOKUP(Christus_Emp_Table[[#This Row],[Analyst Name:]],[1]!Table1[Analyst Name],[1]!Table1[Deloitte Email ID])</f>
        <v>#REF!</v>
      </c>
      <c r="C381" s="22" t="e">
        <f>_xlfn.XLOOKUP(Christus_Emp_Table[[#This Row],[Analyst Name:]],[1]!Table1[Analyst Name],[1]!Table1[Module])</f>
        <v>#REF!</v>
      </c>
      <c r="D381" s="22" t="e">
        <f>_xlfn.XLOOKUP(Christus_Emp_Table[[#This Row],[Analyst Name:]],[1]!Table1[Analyst Name],[1]!Table1[Location])</f>
        <v>#REF!</v>
      </c>
      <c r="E381" s="22" t="s">
        <v>15</v>
      </c>
      <c r="F381" s="24">
        <v>46049</v>
      </c>
      <c r="G381" s="24">
        <v>46049</v>
      </c>
      <c r="H381" s="22" t="s">
        <v>57</v>
      </c>
      <c r="I381" s="22" t="s">
        <v>16</v>
      </c>
      <c r="J381" s="22">
        <f>NETWORKDAYS(Christus_Emp_Table[[#This Row],[From Date:]],Christus_Emp_Table[[#This Row],[To Date:]])</f>
        <v>1</v>
      </c>
      <c r="K381" s="22" t="s">
        <v>58</v>
      </c>
      <c r="L381" s="22" t="e">
        <f>_xlfn.XLOOKUP(Christus_Emp_Table[[#This Row],[Analyst Name:]],[1]!Table1[Analyst Name],[1]!Table1[Lead])</f>
        <v>#REF!</v>
      </c>
      <c r="M381" s="20" t="e">
        <f>_xlfn.XLOOKUP(Christus_Emp_Table[[#This Row],[Analyst Name:]],[1]!Table1[Analyst Name],[1]!Table1[Active/Inactive])</f>
        <v>#REF!</v>
      </c>
    </row>
    <row r="382" spans="1:13" x14ac:dyDescent="0.35">
      <c r="A382" s="23" t="s">
        <v>29</v>
      </c>
      <c r="B382" s="22" t="e">
        <f>_xlfn.XLOOKUP(Christus_Emp_Table[[#This Row],[Analyst Name:]],[1]!Table1[Analyst Name],[1]!Table1[Deloitte Email ID])</f>
        <v>#REF!</v>
      </c>
      <c r="C382" s="22" t="e">
        <f>_xlfn.XLOOKUP(Christus_Emp_Table[[#This Row],[Analyst Name:]],[1]!Table1[Analyst Name],[1]!Table1[Module])</f>
        <v>#REF!</v>
      </c>
      <c r="D382" s="22" t="e">
        <f>_xlfn.XLOOKUP(Christus_Emp_Table[[#This Row],[Analyst Name:]],[1]!Table1[Analyst Name],[1]!Table1[Location])</f>
        <v>#REF!</v>
      </c>
      <c r="E382" s="22" t="s">
        <v>19</v>
      </c>
      <c r="F382" s="24">
        <v>46042</v>
      </c>
      <c r="G382" s="24">
        <v>46042</v>
      </c>
      <c r="H382" s="22" t="s">
        <v>20</v>
      </c>
      <c r="I382" s="22" t="s">
        <v>16</v>
      </c>
      <c r="J382" s="22">
        <f>NETWORKDAYS(Christus_Emp_Table[[#This Row],[From Date:]],Christus_Emp_Table[[#This Row],[To Date:]])</f>
        <v>1</v>
      </c>
      <c r="K382" s="22"/>
      <c r="L382" s="22" t="e">
        <f>_xlfn.XLOOKUP(Christus_Emp_Table[[#This Row],[Analyst Name:]],[1]!Table1[Analyst Name],[1]!Table1[Lead])</f>
        <v>#REF!</v>
      </c>
      <c r="M382" s="20" t="e">
        <f>_xlfn.XLOOKUP(Christus_Emp_Table[[#This Row],[Analyst Name:]],[1]!Table1[Analyst Name],[1]!Table1[Active/Inactive])</f>
        <v>#REF!</v>
      </c>
    </row>
    <row r="383" spans="1:13" x14ac:dyDescent="0.35">
      <c r="A383" s="23" t="s">
        <v>28</v>
      </c>
      <c r="B383" s="22" t="e">
        <f>_xlfn.XLOOKUP(Christus_Emp_Table[[#This Row],[Analyst Name:]],[1]!Table1[Analyst Name],[1]!Table1[Deloitte Email ID])</f>
        <v>#REF!</v>
      </c>
      <c r="C383" s="22" t="e">
        <f>_xlfn.XLOOKUP(Christus_Emp_Table[[#This Row],[Analyst Name:]],[1]!Table1[Analyst Name],[1]!Table1[Module])</f>
        <v>#REF!</v>
      </c>
      <c r="D383" s="22" t="e">
        <f>_xlfn.XLOOKUP(Christus_Emp_Table[[#This Row],[Analyst Name:]],[1]!Table1[Analyst Name],[1]!Table1[Location])</f>
        <v>#REF!</v>
      </c>
      <c r="E383" s="22" t="s">
        <v>15</v>
      </c>
      <c r="F383" s="24">
        <v>46083</v>
      </c>
      <c r="G383" s="24">
        <v>46083</v>
      </c>
      <c r="H383" s="22" t="s">
        <v>59</v>
      </c>
      <c r="I383" s="22" t="s">
        <v>55</v>
      </c>
      <c r="J383" s="22">
        <f>NETWORKDAYS(Christus_Emp_Table[[#This Row],[From Date:]],Christus_Emp_Table[[#This Row],[To Date:]])</f>
        <v>1</v>
      </c>
      <c r="K383" s="22"/>
      <c r="L383" s="22" t="e">
        <f>_xlfn.XLOOKUP(Christus_Emp_Table[[#This Row],[Analyst Name:]],[1]!Table1[Analyst Name],[1]!Table1[Lead])</f>
        <v>#REF!</v>
      </c>
      <c r="M383" s="20" t="e">
        <f>_xlfn.XLOOKUP(Christus_Emp_Table[[#This Row],[Analyst Name:]],[1]!Table1[Analyst Name],[1]!Table1[Active/Inactive])</f>
        <v>#REF!</v>
      </c>
    </row>
    <row r="384" spans="1:13" x14ac:dyDescent="0.35">
      <c r="A384" s="23" t="s">
        <v>28</v>
      </c>
      <c r="B384" s="22" t="e">
        <f>_xlfn.XLOOKUP(Christus_Emp_Table[[#This Row],[Analyst Name:]],[1]!Table1[Analyst Name],[1]!Table1[Deloitte Email ID])</f>
        <v>#REF!</v>
      </c>
      <c r="C384" s="22" t="e">
        <f>_xlfn.XLOOKUP(Christus_Emp_Table[[#This Row],[Analyst Name:]],[1]!Table1[Analyst Name],[1]!Table1[Module])</f>
        <v>#REF!</v>
      </c>
      <c r="D384" s="22" t="e">
        <f>_xlfn.XLOOKUP(Christus_Emp_Table[[#This Row],[Analyst Name:]],[1]!Table1[Analyst Name],[1]!Table1[Location])</f>
        <v>#REF!</v>
      </c>
      <c r="E384" s="22" t="s">
        <v>15</v>
      </c>
      <c r="F384" s="24">
        <v>46085</v>
      </c>
      <c r="G384" s="24">
        <v>46085</v>
      </c>
      <c r="H384" s="22" t="s">
        <v>59</v>
      </c>
      <c r="I384" s="22" t="s">
        <v>55</v>
      </c>
      <c r="J384" s="22">
        <f>NETWORKDAYS(Christus_Emp_Table[[#This Row],[From Date:]],Christus_Emp_Table[[#This Row],[To Date:]])</f>
        <v>1</v>
      </c>
      <c r="K384" s="22"/>
      <c r="L384" s="22" t="e">
        <f>_xlfn.XLOOKUP(Christus_Emp_Table[[#This Row],[Analyst Name:]],[1]!Table1[Analyst Name],[1]!Table1[Lead])</f>
        <v>#REF!</v>
      </c>
      <c r="M384" s="20" t="e">
        <f>_xlfn.XLOOKUP(Christus_Emp_Table[[#This Row],[Analyst Name:]],[1]!Table1[Analyst Name],[1]!Table1[Active/Inactive])</f>
        <v>#REF!</v>
      </c>
    </row>
    <row r="385" spans="1:13" x14ac:dyDescent="0.35">
      <c r="A385" s="23" t="s">
        <v>60</v>
      </c>
      <c r="B385" s="22" t="e">
        <f>_xlfn.XLOOKUP(Christus_Emp_Table[[#This Row],[Analyst Name:]],[1]!Table1[Analyst Name],[1]!Table1[Deloitte Email ID])</f>
        <v>#REF!</v>
      </c>
      <c r="C385" s="22" t="e">
        <f>_xlfn.XLOOKUP(Christus_Emp_Table[[#This Row],[Analyst Name:]],[1]!Table1[Analyst Name],[1]!Table1[Module])</f>
        <v>#REF!</v>
      </c>
      <c r="D385" s="22" t="e">
        <f>_xlfn.XLOOKUP(Christus_Emp_Table[[#This Row],[Analyst Name:]],[1]!Table1[Analyst Name],[1]!Table1[Location])</f>
        <v>#REF!</v>
      </c>
      <c r="E385" s="22" t="s">
        <v>19</v>
      </c>
      <c r="F385" s="24">
        <v>46049</v>
      </c>
      <c r="G385" s="24">
        <v>46050</v>
      </c>
      <c r="H385" s="22" t="s">
        <v>20</v>
      </c>
      <c r="I385" s="22" t="s">
        <v>16</v>
      </c>
      <c r="J385" s="22">
        <f>NETWORKDAYS(Christus_Emp_Table[[#This Row],[From Date:]],Christus_Emp_Table[[#This Row],[To Date:]])</f>
        <v>2</v>
      </c>
      <c r="K385" s="22"/>
      <c r="L385" s="22" t="e">
        <f>_xlfn.XLOOKUP(Christus_Emp_Table[[#This Row],[Analyst Name:]],[1]!Table1[Analyst Name],[1]!Table1[Lead])</f>
        <v>#REF!</v>
      </c>
      <c r="M385" s="20" t="e">
        <f>_xlfn.XLOOKUP(Christus_Emp_Table[[#This Row],[Analyst Name:]],[1]!Table1[Analyst Name],[1]!Table1[Active/Inactive])</f>
        <v>#REF!</v>
      </c>
    </row>
    <row r="386" spans="1:13" x14ac:dyDescent="0.35">
      <c r="A386" s="23" t="s">
        <v>42</v>
      </c>
      <c r="B386" s="22" t="e">
        <f>_xlfn.XLOOKUP(Christus_Emp_Table[[#This Row],[Analyst Name:]],[1]!Table1[Analyst Name],[1]!Table1[Deloitte Email ID])</f>
        <v>#REF!</v>
      </c>
      <c r="C386" s="22" t="e">
        <f>_xlfn.XLOOKUP(Christus_Emp_Table[[#This Row],[Analyst Name:]],[1]!Table1[Analyst Name],[1]!Table1[Module])</f>
        <v>#REF!</v>
      </c>
      <c r="D386" s="22" t="e">
        <f>_xlfn.XLOOKUP(Christus_Emp_Table[[#This Row],[Analyst Name:]],[1]!Table1[Analyst Name],[1]!Table1[Location])</f>
        <v>#REF!</v>
      </c>
      <c r="E386" s="22" t="s">
        <v>19</v>
      </c>
      <c r="F386" s="24">
        <v>46050</v>
      </c>
      <c r="G386" s="24">
        <v>46050</v>
      </c>
      <c r="H386" s="22" t="s">
        <v>20</v>
      </c>
      <c r="I386" s="22" t="s">
        <v>16</v>
      </c>
      <c r="J386" s="22">
        <f>NETWORKDAYS(Christus_Emp_Table[[#This Row],[From Date:]],Christus_Emp_Table[[#This Row],[To Date:]])</f>
        <v>1</v>
      </c>
      <c r="K386" s="22"/>
      <c r="L386" s="22" t="e">
        <f>_xlfn.XLOOKUP(Christus_Emp_Table[[#This Row],[Analyst Name:]],[1]!Table1[Analyst Name],[1]!Table1[Lead])</f>
        <v>#REF!</v>
      </c>
      <c r="M386" s="20" t="e">
        <f>_xlfn.XLOOKUP(Christus_Emp_Table[[#This Row],[Analyst Name:]],[1]!Table1[Analyst Name],[1]!Table1[Active/Inactive])</f>
        <v>#REF!</v>
      </c>
    </row>
    <row r="387" spans="1:13" x14ac:dyDescent="0.35">
      <c r="A387" s="23" t="s">
        <v>42</v>
      </c>
      <c r="B387" s="22" t="e">
        <f>_xlfn.XLOOKUP(Christus_Emp_Table[[#This Row],[Analyst Name:]],[1]!Table1[Analyst Name],[1]!Table1[Deloitte Email ID])</f>
        <v>#REF!</v>
      </c>
      <c r="C387" s="22" t="e">
        <f>_xlfn.XLOOKUP(Christus_Emp_Table[[#This Row],[Analyst Name:]],[1]!Table1[Analyst Name],[1]!Table1[Module])</f>
        <v>#REF!</v>
      </c>
      <c r="D387" s="22" t="e">
        <f>_xlfn.XLOOKUP(Christus_Emp_Table[[#This Row],[Analyst Name:]],[1]!Table1[Analyst Name],[1]!Table1[Location])</f>
        <v>#REF!</v>
      </c>
      <c r="E387" s="22" t="s">
        <v>23</v>
      </c>
      <c r="F387" s="24">
        <v>46049</v>
      </c>
      <c r="G387" s="24">
        <v>46049</v>
      </c>
      <c r="H387" s="22" t="s">
        <v>61</v>
      </c>
      <c r="I387" s="22" t="s">
        <v>16</v>
      </c>
      <c r="J387" s="22">
        <f>NETWORKDAYS(Christus_Emp_Table[[#This Row],[From Date:]],Christus_Emp_Table[[#This Row],[To Date:]])</f>
        <v>1</v>
      </c>
      <c r="K387" s="22"/>
      <c r="L387" s="22" t="e">
        <f>_xlfn.XLOOKUP(Christus_Emp_Table[[#This Row],[Analyst Name:]],[1]!Table1[Analyst Name],[1]!Table1[Lead])</f>
        <v>#REF!</v>
      </c>
      <c r="M387" s="20" t="e">
        <f>_xlfn.XLOOKUP(Christus_Emp_Table[[#This Row],[Analyst Name:]],[1]!Table1[Analyst Name],[1]!Table1[Active/Inactive])</f>
        <v>#REF!</v>
      </c>
    </row>
    <row r="388" spans="1:13" x14ac:dyDescent="0.35">
      <c r="A388" s="23" t="s">
        <v>30</v>
      </c>
      <c r="B388" s="22" t="e">
        <f>_xlfn.XLOOKUP(Christus_Emp_Table[[#This Row],[Analyst Name:]],[1]!Table1[Analyst Name],[1]!Table1[Deloitte Email ID])</f>
        <v>#REF!</v>
      </c>
      <c r="C388" s="22" t="e">
        <f>_xlfn.XLOOKUP(Christus_Emp_Table[[#This Row],[Analyst Name:]],[1]!Table1[Analyst Name],[1]!Table1[Module])</f>
        <v>#REF!</v>
      </c>
      <c r="D388" s="22" t="e">
        <f>_xlfn.XLOOKUP(Christus_Emp_Table[[#This Row],[Analyst Name:]],[1]!Table1[Analyst Name],[1]!Table1[Location])</f>
        <v>#REF!</v>
      </c>
      <c r="E388" s="22" t="s">
        <v>19</v>
      </c>
      <c r="F388" s="24">
        <v>46049</v>
      </c>
      <c r="G388" s="24">
        <v>46050</v>
      </c>
      <c r="H388" s="22" t="s">
        <v>62</v>
      </c>
      <c r="I388" s="22" t="s">
        <v>16</v>
      </c>
      <c r="J388" s="22">
        <f>NETWORKDAYS(Christus_Emp_Table[[#This Row],[From Date:]],Christus_Emp_Table[[#This Row],[To Date:]])</f>
        <v>2</v>
      </c>
      <c r="K388" s="22"/>
      <c r="L388" s="22" t="e">
        <f>_xlfn.XLOOKUP(Christus_Emp_Table[[#This Row],[Analyst Name:]],[1]!Table1[Analyst Name],[1]!Table1[Lead])</f>
        <v>#REF!</v>
      </c>
      <c r="M388" s="20" t="e">
        <f>_xlfn.XLOOKUP(Christus_Emp_Table[[#This Row],[Analyst Name:]],[1]!Table1[Analyst Name],[1]!Table1[Active/Inactive])</f>
        <v>#REF!</v>
      </c>
    </row>
    <row r="389" spans="1:13" x14ac:dyDescent="0.35">
      <c r="A389" s="23" t="s">
        <v>37</v>
      </c>
      <c r="B389" s="22" t="e">
        <f>_xlfn.XLOOKUP(Christus_Emp_Table[[#This Row],[Analyst Name:]],[1]!Table1[Analyst Name],[1]!Table1[Deloitte Email ID])</f>
        <v>#REF!</v>
      </c>
      <c r="C389" s="22" t="e">
        <f>_xlfn.XLOOKUP(Christus_Emp_Table[[#This Row],[Analyst Name:]],[1]!Table1[Analyst Name],[1]!Table1[Module])</f>
        <v>#REF!</v>
      </c>
      <c r="D389" s="22" t="e">
        <f>_xlfn.XLOOKUP(Christus_Emp_Table[[#This Row],[Analyst Name:]],[1]!Table1[Analyst Name],[1]!Table1[Location])</f>
        <v>#REF!</v>
      </c>
      <c r="E389" s="22" t="s">
        <v>15</v>
      </c>
      <c r="F389" s="24">
        <v>46049</v>
      </c>
      <c r="G389" s="24">
        <v>46073</v>
      </c>
      <c r="H389" s="22" t="s">
        <v>63</v>
      </c>
      <c r="I389" s="22" t="s">
        <v>16</v>
      </c>
      <c r="J389" s="22">
        <f>NETWORKDAYS(Christus_Emp_Table[[#This Row],[From Date:]],Christus_Emp_Table[[#This Row],[To Date:]])</f>
        <v>19</v>
      </c>
      <c r="K389" s="22" t="s">
        <v>58</v>
      </c>
      <c r="L389" s="22" t="e">
        <f>_xlfn.XLOOKUP(Christus_Emp_Table[[#This Row],[Analyst Name:]],[1]!Table1[Analyst Name],[1]!Table1[Lead])</f>
        <v>#REF!</v>
      </c>
      <c r="M389" s="20" t="e">
        <f>_xlfn.XLOOKUP(Christus_Emp_Table[[#This Row],[Analyst Name:]],[1]!Table1[Analyst Name],[1]!Table1[Active/Inactive])</f>
        <v>#REF!</v>
      </c>
    </row>
    <row r="390" spans="1:13" x14ac:dyDescent="0.35">
      <c r="A390" s="23" t="s">
        <v>34</v>
      </c>
      <c r="B390" s="22" t="e">
        <f>_xlfn.XLOOKUP(Christus_Emp_Table[[#This Row],[Analyst Name:]],[1]!Table1[Analyst Name],[1]!Table1[Deloitte Email ID])</f>
        <v>#REF!</v>
      </c>
      <c r="C390" s="22" t="e">
        <f>_xlfn.XLOOKUP(Christus_Emp_Table[[#This Row],[Analyst Name:]],[1]!Table1[Analyst Name],[1]!Table1[Module])</f>
        <v>#REF!</v>
      </c>
      <c r="D390" s="22" t="e">
        <f>_xlfn.XLOOKUP(Christus_Emp_Table[[#This Row],[Analyst Name:]],[1]!Table1[Analyst Name],[1]!Table1[Location])</f>
        <v>#REF!</v>
      </c>
      <c r="E390" s="22" t="s">
        <v>15</v>
      </c>
      <c r="F390" s="24">
        <v>46069</v>
      </c>
      <c r="G390" s="24">
        <v>46071</v>
      </c>
      <c r="H390" s="22" t="s">
        <v>64</v>
      </c>
      <c r="I390" s="22" t="s">
        <v>55</v>
      </c>
      <c r="J390" s="22">
        <f>NETWORKDAYS(Christus_Emp_Table[[#This Row],[From Date:]],Christus_Emp_Table[[#This Row],[To Date:]])</f>
        <v>3</v>
      </c>
      <c r="K390" s="22"/>
      <c r="L390" s="22" t="e">
        <f>_xlfn.XLOOKUP(Christus_Emp_Table[[#This Row],[Analyst Name:]],[1]!Table1[Analyst Name],[1]!Table1[Lead])</f>
        <v>#REF!</v>
      </c>
      <c r="M390" s="20" t="e">
        <f>_xlfn.XLOOKUP(Christus_Emp_Table[[#This Row],[Analyst Name:]],[1]!Table1[Analyst Name],[1]!Table1[Active/Inactive])</f>
        <v>#REF!</v>
      </c>
    </row>
    <row r="391" spans="1:13" x14ac:dyDescent="0.35">
      <c r="A391" s="23" t="s">
        <v>24</v>
      </c>
      <c r="B391" s="22" t="e">
        <f>_xlfn.XLOOKUP(Christus_Emp_Table[[#This Row],[Analyst Name:]],[1]!Table1[Analyst Name],[1]!Table1[Deloitte Email ID])</f>
        <v>#REF!</v>
      </c>
      <c r="C391" s="22" t="e">
        <f>_xlfn.XLOOKUP(Christus_Emp_Table[[#This Row],[Analyst Name:]],[1]!Table1[Analyst Name],[1]!Table1[Module])</f>
        <v>#REF!</v>
      </c>
      <c r="D391" s="22" t="e">
        <f>_xlfn.XLOOKUP(Christus_Emp_Table[[#This Row],[Analyst Name:]],[1]!Table1[Analyst Name],[1]!Table1[Location])</f>
        <v>#REF!</v>
      </c>
      <c r="E391" s="22" t="s">
        <v>15</v>
      </c>
      <c r="F391" s="24">
        <v>46073</v>
      </c>
      <c r="G391" s="24">
        <v>46073</v>
      </c>
      <c r="H391" s="22" t="s">
        <v>65</v>
      </c>
      <c r="I391" s="22" t="s">
        <v>55</v>
      </c>
      <c r="J391" s="22">
        <f>NETWORKDAYS(Christus_Emp_Table[[#This Row],[From Date:]],Christus_Emp_Table[[#This Row],[To Date:]])</f>
        <v>1</v>
      </c>
      <c r="K391" s="22"/>
      <c r="L391" s="22" t="e">
        <f>_xlfn.XLOOKUP(Christus_Emp_Table[[#This Row],[Analyst Name:]],[1]!Table1[Analyst Name],[1]!Table1[Lead])</f>
        <v>#REF!</v>
      </c>
      <c r="M391" s="20" t="e">
        <f>_xlfn.XLOOKUP(Christus_Emp_Table[[#This Row],[Analyst Name:]],[1]!Table1[Analyst Name],[1]!Table1[Active/Inactive])</f>
        <v>#REF!</v>
      </c>
    </row>
    <row r="392" spans="1:13" x14ac:dyDescent="0.35">
      <c r="A392" s="23" t="s">
        <v>53</v>
      </c>
      <c r="B392" s="22" t="e">
        <f>_xlfn.XLOOKUP(Christus_Emp_Table[[#This Row],[Analyst Name:]],[1]!Table1[Analyst Name],[1]!Table1[Deloitte Email ID])</f>
        <v>#REF!</v>
      </c>
      <c r="C392" s="22" t="e">
        <f>_xlfn.XLOOKUP(Christus_Emp_Table[[#This Row],[Analyst Name:]],[1]!Table1[Analyst Name],[1]!Table1[Module])</f>
        <v>#REF!</v>
      </c>
      <c r="D392" s="22" t="e">
        <f>_xlfn.XLOOKUP(Christus_Emp_Table[[#This Row],[Analyst Name:]],[1]!Table1[Analyst Name],[1]!Table1[Location])</f>
        <v>#REF!</v>
      </c>
      <c r="E392" s="22" t="s">
        <v>15</v>
      </c>
      <c r="F392" s="24">
        <v>46055</v>
      </c>
      <c r="G392" s="24">
        <v>46055</v>
      </c>
      <c r="H392" s="22" t="s">
        <v>66</v>
      </c>
      <c r="I392" s="22" t="s">
        <v>16</v>
      </c>
      <c r="J392" s="22">
        <f>NETWORKDAYS(Christus_Emp_Table[[#This Row],[From Date:]],Christus_Emp_Table[[#This Row],[To Date:]])</f>
        <v>1</v>
      </c>
      <c r="K392" s="22"/>
      <c r="L392" s="22" t="e">
        <f>_xlfn.XLOOKUP(Christus_Emp_Table[[#This Row],[Analyst Name:]],[1]!Table1[Analyst Name],[1]!Table1[Lead])</f>
        <v>#REF!</v>
      </c>
      <c r="M392" s="20" t="e">
        <f>_xlfn.XLOOKUP(Christus_Emp_Table[[#This Row],[Analyst Name:]],[1]!Table1[Analyst Name],[1]!Table1[Active/Inactive])</f>
        <v>#REF!</v>
      </c>
    </row>
    <row r="393" spans="1:13" x14ac:dyDescent="0.35">
      <c r="A393" s="23" t="s">
        <v>27</v>
      </c>
      <c r="B393" s="22" t="e">
        <f>_xlfn.XLOOKUP(Christus_Emp_Table[[#This Row],[Analyst Name:]],[1]!Table1[Analyst Name],[1]!Table1[Deloitte Email ID])</f>
        <v>#REF!</v>
      </c>
      <c r="C393" s="22" t="e">
        <f>_xlfn.XLOOKUP(Christus_Emp_Table[[#This Row],[Analyst Name:]],[1]!Table1[Analyst Name],[1]!Table1[Module])</f>
        <v>#REF!</v>
      </c>
      <c r="D393" s="22" t="e">
        <f>_xlfn.XLOOKUP(Christus_Emp_Table[[#This Row],[Analyst Name:]],[1]!Table1[Analyst Name],[1]!Table1[Location])</f>
        <v>#REF!</v>
      </c>
      <c r="E393" s="22" t="s">
        <v>19</v>
      </c>
      <c r="F393" s="24">
        <v>46055</v>
      </c>
      <c r="G393" s="24">
        <v>46055</v>
      </c>
      <c r="H393" s="22" t="s">
        <v>20</v>
      </c>
      <c r="I393" s="22" t="s">
        <v>16</v>
      </c>
      <c r="J393" s="22">
        <f>NETWORKDAYS(Christus_Emp_Table[[#This Row],[From Date:]],Christus_Emp_Table[[#This Row],[To Date:]])</f>
        <v>1</v>
      </c>
      <c r="K393" s="22"/>
      <c r="L393" s="22" t="e">
        <f>_xlfn.XLOOKUP(Christus_Emp_Table[[#This Row],[Analyst Name:]],[1]!Table1[Analyst Name],[1]!Table1[Lead])</f>
        <v>#REF!</v>
      </c>
      <c r="M393" s="20" t="e">
        <f>_xlfn.XLOOKUP(Christus_Emp_Table[[#This Row],[Analyst Name:]],[1]!Table1[Analyst Name],[1]!Table1[Active/Inactive])</f>
        <v>#REF!</v>
      </c>
    </row>
    <row r="394" spans="1:13" x14ac:dyDescent="0.35">
      <c r="A394" s="23" t="s">
        <v>24</v>
      </c>
      <c r="B394" s="22" t="e">
        <f>_xlfn.XLOOKUP(Christus_Emp_Table[[#This Row],[Analyst Name:]],[1]!Table1[Analyst Name],[1]!Table1[Deloitte Email ID])</f>
        <v>#REF!</v>
      </c>
      <c r="C394" s="22" t="e">
        <f>_xlfn.XLOOKUP(Christus_Emp_Table[[#This Row],[Analyst Name:]],[1]!Table1[Analyst Name],[1]!Table1[Module])</f>
        <v>#REF!</v>
      </c>
      <c r="D394" s="22" t="e">
        <f>_xlfn.XLOOKUP(Christus_Emp_Table[[#This Row],[Analyst Name:]],[1]!Table1[Analyst Name],[1]!Table1[Location])</f>
        <v>#REF!</v>
      </c>
      <c r="E394" s="22" t="s">
        <v>19</v>
      </c>
      <c r="F394" s="24">
        <v>46055</v>
      </c>
      <c r="G394" s="24">
        <v>46055</v>
      </c>
      <c r="H394" s="22" t="s">
        <v>61</v>
      </c>
      <c r="I394" s="22" t="s">
        <v>16</v>
      </c>
      <c r="J394" s="22">
        <f>NETWORKDAYS(Christus_Emp_Table[[#This Row],[From Date:]],Christus_Emp_Table[[#This Row],[To Date:]])</f>
        <v>1</v>
      </c>
      <c r="K394" s="22"/>
      <c r="L394" s="22" t="e">
        <f>_xlfn.XLOOKUP(Christus_Emp_Table[[#This Row],[Analyst Name:]],[1]!Table1[Analyst Name],[1]!Table1[Lead])</f>
        <v>#REF!</v>
      </c>
      <c r="M394" s="20" t="e">
        <f>_xlfn.XLOOKUP(Christus_Emp_Table[[#This Row],[Analyst Name:]],[1]!Table1[Analyst Name],[1]!Table1[Active/Inactive])</f>
        <v>#REF!</v>
      </c>
    </row>
    <row r="395" spans="1:13" x14ac:dyDescent="0.35">
      <c r="A395" s="23" t="s">
        <v>41</v>
      </c>
      <c r="B395" s="22" t="e">
        <f>_xlfn.XLOOKUP(Christus_Emp_Table[[#This Row],[Analyst Name:]],[1]!Table1[Analyst Name],[1]!Table1[Deloitte Email ID])</f>
        <v>#REF!</v>
      </c>
      <c r="C395" s="22" t="e">
        <f>_xlfn.XLOOKUP(Christus_Emp_Table[[#This Row],[Analyst Name:]],[1]!Table1[Analyst Name],[1]!Table1[Module])</f>
        <v>#REF!</v>
      </c>
      <c r="D395" s="22" t="e">
        <f>_xlfn.XLOOKUP(Christus_Emp_Table[[#This Row],[Analyst Name:]],[1]!Table1[Analyst Name],[1]!Table1[Location])</f>
        <v>#REF!</v>
      </c>
      <c r="E395" s="22" t="s">
        <v>15</v>
      </c>
      <c r="F395" s="24">
        <v>46083</v>
      </c>
      <c r="G395" s="24">
        <v>46087</v>
      </c>
      <c r="H395" s="22" t="s">
        <v>67</v>
      </c>
      <c r="I395" s="22" t="s">
        <v>55</v>
      </c>
      <c r="J395" s="22">
        <f>NETWORKDAYS(Christus_Emp_Table[[#This Row],[From Date:]],Christus_Emp_Table[[#This Row],[To Date:]])</f>
        <v>5</v>
      </c>
      <c r="K395" s="22"/>
      <c r="L395" s="22" t="e">
        <f>_xlfn.XLOOKUP(Christus_Emp_Table[[#This Row],[Analyst Name:]],[1]!Table1[Analyst Name],[1]!Table1[Lead])</f>
        <v>#REF!</v>
      </c>
      <c r="M395" s="20" t="e">
        <f>_xlfn.XLOOKUP(Christus_Emp_Table[[#This Row],[Analyst Name:]],[1]!Table1[Analyst Name],[1]!Table1[Active/Inactive])</f>
        <v>#REF!</v>
      </c>
    </row>
    <row r="396" spans="1:13" x14ac:dyDescent="0.35">
      <c r="A396" s="23" t="s">
        <v>28</v>
      </c>
      <c r="B396" s="22" t="e">
        <f>_xlfn.XLOOKUP(Christus_Emp_Table[[#This Row],[Analyst Name:]],[1]!Table1[Analyst Name],[1]!Table1[Deloitte Email ID])</f>
        <v>#REF!</v>
      </c>
      <c r="C396" s="22" t="e">
        <f>_xlfn.XLOOKUP(Christus_Emp_Table[[#This Row],[Analyst Name:]],[1]!Table1[Analyst Name],[1]!Table1[Module])</f>
        <v>#REF!</v>
      </c>
      <c r="D396" s="22" t="e">
        <f>_xlfn.XLOOKUP(Christus_Emp_Table[[#This Row],[Analyst Name:]],[1]!Table1[Analyst Name],[1]!Table1[Location])</f>
        <v>#REF!</v>
      </c>
      <c r="E396" s="22" t="s">
        <v>15</v>
      </c>
      <c r="F396" s="24">
        <v>46058</v>
      </c>
      <c r="G396" s="24">
        <v>46058</v>
      </c>
      <c r="H396" s="22" t="s">
        <v>68</v>
      </c>
      <c r="I396" s="22" t="s">
        <v>16</v>
      </c>
      <c r="J396" s="22">
        <f>NETWORKDAYS(Christus_Emp_Table[[#This Row],[From Date:]],Christus_Emp_Table[[#This Row],[To Date:]])</f>
        <v>1</v>
      </c>
      <c r="K396" s="22"/>
      <c r="L396" s="22" t="e">
        <f>_xlfn.XLOOKUP(Christus_Emp_Table[[#This Row],[Analyst Name:]],[1]!Table1[Analyst Name],[1]!Table1[Lead])</f>
        <v>#REF!</v>
      </c>
      <c r="M396" s="20" t="e">
        <f>_xlfn.XLOOKUP(Christus_Emp_Table[[#This Row],[Analyst Name:]],[1]!Table1[Analyst Name],[1]!Table1[Active/Inactive])</f>
        <v>#REF!</v>
      </c>
    </row>
    <row r="397" spans="1:13" x14ac:dyDescent="0.35">
      <c r="A397" s="23" t="s">
        <v>17</v>
      </c>
      <c r="B397" s="22" t="e">
        <f>_xlfn.XLOOKUP(Christus_Emp_Table[[#This Row],[Analyst Name:]],[1]!Table1[Analyst Name],[1]!Table1[Deloitte Email ID])</f>
        <v>#REF!</v>
      </c>
      <c r="C397" s="22" t="e">
        <f>_xlfn.XLOOKUP(Christus_Emp_Table[[#This Row],[Analyst Name:]],[1]!Table1[Analyst Name],[1]!Table1[Module])</f>
        <v>#REF!</v>
      </c>
      <c r="D397" s="22" t="e">
        <f>_xlfn.XLOOKUP(Christus_Emp_Table[[#This Row],[Analyst Name:]],[1]!Table1[Analyst Name],[1]!Table1[Location])</f>
        <v>#REF!</v>
      </c>
      <c r="E397" s="22" t="s">
        <v>15</v>
      </c>
      <c r="F397" s="24">
        <v>46085</v>
      </c>
      <c r="G397" s="24">
        <v>46087</v>
      </c>
      <c r="H397" s="22" t="s">
        <v>69</v>
      </c>
      <c r="I397" s="22" t="s">
        <v>55</v>
      </c>
      <c r="J397" s="22">
        <f>NETWORKDAYS(Christus_Emp_Table[[#This Row],[From Date:]],Christus_Emp_Table[[#This Row],[To Date:]])</f>
        <v>3</v>
      </c>
      <c r="K397" s="22"/>
      <c r="L397" s="22" t="e">
        <f>_xlfn.XLOOKUP(Christus_Emp_Table[[#This Row],[Analyst Name:]],[1]!Table1[Analyst Name],[1]!Table1[Lead])</f>
        <v>#REF!</v>
      </c>
      <c r="M397" s="20" t="e">
        <f>_xlfn.XLOOKUP(Christus_Emp_Table[[#This Row],[Analyst Name:]],[1]!Table1[Analyst Name],[1]!Table1[Active/Inactive])</f>
        <v>#REF!</v>
      </c>
    </row>
    <row r="398" spans="1:13" x14ac:dyDescent="0.35">
      <c r="A398" s="23" t="s">
        <v>39</v>
      </c>
      <c r="B398" s="22" t="e">
        <f>_xlfn.XLOOKUP(Christus_Emp_Table[[#This Row],[Analyst Name:]],[1]!Table1[Analyst Name],[1]!Table1[Deloitte Email ID])</f>
        <v>#REF!</v>
      </c>
      <c r="C398" s="22" t="e">
        <f>_xlfn.XLOOKUP(Christus_Emp_Table[[#This Row],[Analyst Name:]],[1]!Table1[Analyst Name],[1]!Table1[Module])</f>
        <v>#REF!</v>
      </c>
      <c r="D398" s="22" t="e">
        <f>_xlfn.XLOOKUP(Christus_Emp_Table[[#This Row],[Analyst Name:]],[1]!Table1[Analyst Name],[1]!Table1[Location])</f>
        <v>#REF!</v>
      </c>
      <c r="E398" s="22" t="s">
        <v>19</v>
      </c>
      <c r="F398" s="24">
        <v>46055</v>
      </c>
      <c r="G398" s="24">
        <v>46055</v>
      </c>
      <c r="H398" s="22" t="s">
        <v>61</v>
      </c>
      <c r="I398" s="22" t="s">
        <v>16</v>
      </c>
      <c r="J398" s="22">
        <f>NETWORKDAYS(Christus_Emp_Table[[#This Row],[From Date:]],Christus_Emp_Table[[#This Row],[To Date:]])</f>
        <v>1</v>
      </c>
      <c r="K398" s="22"/>
      <c r="L398" s="22" t="e">
        <f>_xlfn.XLOOKUP(Christus_Emp_Table[[#This Row],[Analyst Name:]],[1]!Table1[Analyst Name],[1]!Table1[Lead])</f>
        <v>#REF!</v>
      </c>
      <c r="M398" s="20" t="e">
        <f>_xlfn.XLOOKUP(Christus_Emp_Table[[#This Row],[Analyst Name:]],[1]!Table1[Analyst Name],[1]!Table1[Active/Inactive])</f>
        <v>#REF!</v>
      </c>
    </row>
    <row r="399" spans="1:13" x14ac:dyDescent="0.35">
      <c r="A399" s="23" t="s">
        <v>70</v>
      </c>
      <c r="B399" s="22" t="e">
        <f>_xlfn.XLOOKUP(Christus_Emp_Table[[#This Row],[Analyst Name:]],[1]!Table1[Analyst Name],[1]!Table1[Deloitte Email ID])</f>
        <v>#REF!</v>
      </c>
      <c r="C399" s="22" t="e">
        <f>_xlfn.XLOOKUP(Christus_Emp_Table[[#This Row],[Analyst Name:]],[1]!Table1[Analyst Name],[1]!Table1[Module])</f>
        <v>#REF!</v>
      </c>
      <c r="D399" s="22" t="e">
        <f>_xlfn.XLOOKUP(Christus_Emp_Table[[#This Row],[Analyst Name:]],[1]!Table1[Analyst Name],[1]!Table1[Location])</f>
        <v>#REF!</v>
      </c>
      <c r="E399" s="22" t="s">
        <v>19</v>
      </c>
      <c r="F399" s="24">
        <v>46056</v>
      </c>
      <c r="G399" s="24">
        <v>46056</v>
      </c>
      <c r="H399" s="22" t="s">
        <v>20</v>
      </c>
      <c r="I399" s="22" t="s">
        <v>16</v>
      </c>
      <c r="J399" s="22">
        <f>NETWORKDAYS(Christus_Emp_Table[[#This Row],[From Date:]],Christus_Emp_Table[[#This Row],[To Date:]])</f>
        <v>1</v>
      </c>
      <c r="K399" s="22"/>
      <c r="L399" s="22" t="e">
        <f>_xlfn.XLOOKUP(Christus_Emp_Table[[#This Row],[Analyst Name:]],[1]!Table1[Analyst Name],[1]!Table1[Lead])</f>
        <v>#REF!</v>
      </c>
      <c r="M399" s="20" t="e">
        <f>_xlfn.XLOOKUP(Christus_Emp_Table[[#This Row],[Analyst Name:]],[1]!Table1[Analyst Name],[1]!Table1[Active/Inactive])</f>
        <v>#REF!</v>
      </c>
    </row>
    <row r="400" spans="1:13" x14ac:dyDescent="0.35">
      <c r="A400" s="23" t="s">
        <v>53</v>
      </c>
      <c r="B400" s="22" t="e">
        <f>_xlfn.XLOOKUP(Christus_Emp_Table[[#This Row],[Analyst Name:]],[1]!Table1[Analyst Name],[1]!Table1[Deloitte Email ID])</f>
        <v>#REF!</v>
      </c>
      <c r="C400" s="22" t="e">
        <f>_xlfn.XLOOKUP(Christus_Emp_Table[[#This Row],[Analyst Name:]],[1]!Table1[Analyst Name],[1]!Table1[Module])</f>
        <v>#REF!</v>
      </c>
      <c r="D400" s="22" t="e">
        <f>_xlfn.XLOOKUP(Christus_Emp_Table[[#This Row],[Analyst Name:]],[1]!Table1[Analyst Name],[1]!Table1[Location])</f>
        <v>#REF!</v>
      </c>
      <c r="E400" s="22" t="s">
        <v>19</v>
      </c>
      <c r="F400" s="24">
        <v>46056</v>
      </c>
      <c r="G400" s="24">
        <v>46056</v>
      </c>
      <c r="H400" s="22" t="s">
        <v>20</v>
      </c>
      <c r="I400" s="22" t="s">
        <v>16</v>
      </c>
      <c r="J400" s="22">
        <f>NETWORKDAYS(Christus_Emp_Table[[#This Row],[From Date:]],Christus_Emp_Table[[#This Row],[To Date:]])</f>
        <v>1</v>
      </c>
      <c r="K400" s="22"/>
      <c r="L400" s="22" t="e">
        <f>_xlfn.XLOOKUP(Christus_Emp_Table[[#This Row],[Analyst Name:]],[1]!Table1[Analyst Name],[1]!Table1[Lead])</f>
        <v>#REF!</v>
      </c>
      <c r="M400" s="20" t="e">
        <f>_xlfn.XLOOKUP(Christus_Emp_Table[[#This Row],[Analyst Name:]],[1]!Table1[Analyst Name],[1]!Table1[Active/Inactive])</f>
        <v>#REF!</v>
      </c>
    </row>
  </sheetData>
  <protectedRanges>
    <protectedRange sqref="I2:I400" name="Range1"/>
    <protectedRange sqref="K2:K400" name="Range2"/>
  </protectedRange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L31"/>
  <sheetViews>
    <sheetView tabSelected="1" workbookViewId="0">
      <selection activeCell="A2" sqref="A2:XFD2"/>
    </sheetView>
  </sheetViews>
  <sheetFormatPr defaultRowHeight="14.5" x14ac:dyDescent="0.35"/>
  <cols>
    <col min="1" max="1" width="21.81640625" bestFit="1" customWidth="1"/>
    <col min="2" max="2" width="28.08984375" bestFit="1" customWidth="1"/>
    <col min="3" max="3" width="10.7265625" bestFit="1" customWidth="1"/>
    <col min="4" max="4" width="8.36328125" bestFit="1" customWidth="1"/>
    <col min="5" max="5" width="9.90625" bestFit="1" customWidth="1"/>
    <col min="6" max="6" width="10.08984375" bestFit="1" customWidth="1"/>
    <col min="7" max="7" width="9.453125" bestFit="1" customWidth="1"/>
    <col min="8" max="8" width="21.26953125" bestFit="1" customWidth="1"/>
    <col min="9" max="9" width="9" bestFit="1" customWidth="1"/>
    <col min="10" max="10" width="9.6328125" bestFit="1" customWidth="1"/>
    <col min="11" max="11" width="10.90625" bestFit="1" customWidth="1"/>
    <col min="12" max="12" width="27.54296875" bestFit="1" customWidth="1"/>
  </cols>
  <sheetData>
    <row r="1" spans="1:12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5">
      <c r="A2" t="s">
        <v>31</v>
      </c>
      <c r="B2" t="s">
        <v>82</v>
      </c>
      <c r="C2" t="s">
        <v>83</v>
      </c>
      <c r="D2" t="s">
        <v>81</v>
      </c>
      <c r="E2" t="s">
        <v>15</v>
      </c>
      <c r="F2" s="58">
        <v>46069</v>
      </c>
      <c r="G2" s="58">
        <v>46073</v>
      </c>
      <c r="H2" t="s">
        <v>15</v>
      </c>
      <c r="I2" t="s">
        <v>16</v>
      </c>
      <c r="J2">
        <v>5</v>
      </c>
      <c r="K2" t="s">
        <v>74</v>
      </c>
      <c r="L2" t="s">
        <v>25</v>
      </c>
    </row>
    <row r="3" spans="1:12" x14ac:dyDescent="0.35">
      <c r="A3" t="s">
        <v>47</v>
      </c>
      <c r="B3" t="s">
        <v>71</v>
      </c>
      <c r="C3" t="s">
        <v>72</v>
      </c>
      <c r="D3" t="s">
        <v>78</v>
      </c>
      <c r="E3" t="s">
        <v>15</v>
      </c>
      <c r="F3" s="58">
        <v>46055</v>
      </c>
      <c r="G3" s="58">
        <v>46058</v>
      </c>
      <c r="H3" t="s">
        <v>51</v>
      </c>
      <c r="I3" t="s">
        <v>16</v>
      </c>
      <c r="J3">
        <v>4</v>
      </c>
      <c r="K3" t="s">
        <v>74</v>
      </c>
      <c r="L3" t="s">
        <v>14</v>
      </c>
    </row>
    <row r="4" spans="1:12" x14ac:dyDescent="0.35">
      <c r="A4" t="s">
        <v>29</v>
      </c>
      <c r="B4" t="s">
        <v>105</v>
      </c>
      <c r="C4" t="s">
        <v>77</v>
      </c>
      <c r="D4" t="s">
        <v>99</v>
      </c>
      <c r="E4" t="s">
        <v>15</v>
      </c>
      <c r="F4" s="58">
        <v>46057</v>
      </c>
      <c r="G4" s="58">
        <v>46059</v>
      </c>
      <c r="H4" t="s">
        <v>79</v>
      </c>
      <c r="I4" t="s">
        <v>16</v>
      </c>
      <c r="J4">
        <v>3</v>
      </c>
      <c r="K4" t="s">
        <v>58</v>
      </c>
      <c r="L4" t="s">
        <v>14</v>
      </c>
    </row>
    <row r="5" spans="1:12" x14ac:dyDescent="0.35">
      <c r="A5" t="s">
        <v>32</v>
      </c>
      <c r="B5" t="s">
        <v>75</v>
      </c>
      <c r="C5" t="s">
        <v>80</v>
      </c>
      <c r="D5" t="s">
        <v>81</v>
      </c>
      <c r="E5" t="s">
        <v>15</v>
      </c>
      <c r="F5" s="58">
        <v>46064</v>
      </c>
      <c r="G5" s="58">
        <v>46066</v>
      </c>
      <c r="H5" t="s">
        <v>56</v>
      </c>
      <c r="I5" t="s">
        <v>16</v>
      </c>
      <c r="J5">
        <v>3</v>
      </c>
      <c r="K5" t="s">
        <v>74</v>
      </c>
      <c r="L5" t="s">
        <v>76</v>
      </c>
    </row>
    <row r="6" spans="1:12" x14ac:dyDescent="0.35">
      <c r="A6" t="s">
        <v>28</v>
      </c>
      <c r="B6" t="s">
        <v>86</v>
      </c>
      <c r="C6" t="s">
        <v>87</v>
      </c>
      <c r="D6" t="s">
        <v>78</v>
      </c>
      <c r="E6" t="s">
        <v>15</v>
      </c>
      <c r="F6" s="58">
        <v>46055</v>
      </c>
      <c r="G6" s="58">
        <v>46055</v>
      </c>
      <c r="H6" t="s">
        <v>147</v>
      </c>
      <c r="I6" t="s">
        <v>16</v>
      </c>
      <c r="J6">
        <v>1</v>
      </c>
      <c r="K6" t="s">
        <v>74</v>
      </c>
      <c r="L6" t="s">
        <v>32</v>
      </c>
    </row>
    <row r="7" spans="1:12" x14ac:dyDescent="0.35">
      <c r="A7" t="s">
        <v>28</v>
      </c>
      <c r="B7" t="s">
        <v>86</v>
      </c>
      <c r="C7" t="s">
        <v>87</v>
      </c>
      <c r="D7" t="s">
        <v>78</v>
      </c>
      <c r="E7" t="s">
        <v>15</v>
      </c>
      <c r="F7" s="58">
        <v>46024</v>
      </c>
      <c r="G7" s="58">
        <v>46024</v>
      </c>
      <c r="H7" t="s">
        <v>15</v>
      </c>
      <c r="I7" t="s">
        <v>16</v>
      </c>
      <c r="J7">
        <v>1</v>
      </c>
      <c r="K7" t="s">
        <v>74</v>
      </c>
      <c r="L7" t="s">
        <v>32</v>
      </c>
    </row>
    <row r="8" spans="1:12" x14ac:dyDescent="0.35">
      <c r="A8" t="s">
        <v>27</v>
      </c>
      <c r="B8" t="s">
        <v>88</v>
      </c>
      <c r="C8" t="s">
        <v>87</v>
      </c>
      <c r="D8" t="s">
        <v>81</v>
      </c>
      <c r="E8" t="s">
        <v>15</v>
      </c>
      <c r="F8" s="58">
        <v>46024</v>
      </c>
      <c r="G8" s="58">
        <v>46024</v>
      </c>
      <c r="H8" t="s">
        <v>15</v>
      </c>
      <c r="I8" t="s">
        <v>16</v>
      </c>
      <c r="J8">
        <v>1</v>
      </c>
      <c r="K8" t="s">
        <v>74</v>
      </c>
      <c r="L8" t="s">
        <v>14</v>
      </c>
    </row>
    <row r="9" spans="1:12" x14ac:dyDescent="0.35">
      <c r="A9" t="s">
        <v>26</v>
      </c>
      <c r="B9" t="s">
        <v>89</v>
      </c>
      <c r="C9" t="s">
        <v>90</v>
      </c>
      <c r="D9" t="s">
        <v>78</v>
      </c>
      <c r="E9" t="s">
        <v>15</v>
      </c>
      <c r="F9" s="58">
        <v>46024</v>
      </c>
      <c r="G9" s="58">
        <v>46024</v>
      </c>
      <c r="H9" t="s">
        <v>15</v>
      </c>
      <c r="I9" t="s">
        <v>16</v>
      </c>
      <c r="J9">
        <v>1</v>
      </c>
      <c r="K9" t="s">
        <v>74</v>
      </c>
      <c r="L9" t="s">
        <v>25</v>
      </c>
    </row>
    <row r="10" spans="1:12" x14ac:dyDescent="0.35">
      <c r="A10" t="s">
        <v>18</v>
      </c>
      <c r="B10" t="s">
        <v>91</v>
      </c>
      <c r="C10" t="s">
        <v>87</v>
      </c>
      <c r="D10" t="s">
        <v>78</v>
      </c>
      <c r="E10" t="s">
        <v>15</v>
      </c>
      <c r="F10" s="58">
        <v>46024</v>
      </c>
      <c r="G10" s="58">
        <v>46024</v>
      </c>
      <c r="H10" t="s">
        <v>15</v>
      </c>
      <c r="I10" t="s">
        <v>16</v>
      </c>
      <c r="J10">
        <v>1</v>
      </c>
      <c r="K10" t="s">
        <v>74</v>
      </c>
      <c r="L10" t="s">
        <v>14</v>
      </c>
    </row>
    <row r="11" spans="1:12" x14ac:dyDescent="0.35">
      <c r="A11" t="s">
        <v>17</v>
      </c>
      <c r="B11" t="s">
        <v>92</v>
      </c>
      <c r="C11" t="s">
        <v>72</v>
      </c>
      <c r="D11" t="s">
        <v>81</v>
      </c>
      <c r="E11" t="s">
        <v>15</v>
      </c>
      <c r="F11" s="58">
        <v>46024</v>
      </c>
      <c r="G11" s="58">
        <v>46024</v>
      </c>
      <c r="H11" t="s">
        <v>15</v>
      </c>
      <c r="I11" t="s">
        <v>16</v>
      </c>
      <c r="J11">
        <v>1</v>
      </c>
      <c r="K11" t="s">
        <v>74</v>
      </c>
      <c r="L11" t="s">
        <v>36</v>
      </c>
    </row>
    <row r="12" spans="1:12" x14ac:dyDescent="0.35">
      <c r="A12" t="s">
        <v>46</v>
      </c>
      <c r="B12" t="s">
        <v>93</v>
      </c>
      <c r="C12" t="s">
        <v>72</v>
      </c>
      <c r="D12" t="s">
        <v>78</v>
      </c>
      <c r="E12" t="s">
        <v>15</v>
      </c>
      <c r="F12" s="58">
        <v>46024</v>
      </c>
      <c r="G12" s="58">
        <v>46024</v>
      </c>
      <c r="H12" t="s">
        <v>15</v>
      </c>
      <c r="I12" t="s">
        <v>16</v>
      </c>
      <c r="J12">
        <v>1</v>
      </c>
      <c r="K12" t="s">
        <v>74</v>
      </c>
      <c r="L12" t="s">
        <v>14</v>
      </c>
    </row>
    <row r="13" spans="1:12" x14ac:dyDescent="0.35">
      <c r="A13" t="s">
        <v>43</v>
      </c>
      <c r="B13" t="s">
        <v>94</v>
      </c>
      <c r="C13" t="s">
        <v>72</v>
      </c>
      <c r="D13" t="s">
        <v>78</v>
      </c>
      <c r="E13" t="s">
        <v>15</v>
      </c>
      <c r="F13" s="58">
        <v>46024</v>
      </c>
      <c r="G13" s="58">
        <v>46024</v>
      </c>
      <c r="H13" t="s">
        <v>15</v>
      </c>
      <c r="I13" t="s">
        <v>16</v>
      </c>
      <c r="J13">
        <v>1</v>
      </c>
      <c r="K13" t="s">
        <v>74</v>
      </c>
      <c r="L13" t="s">
        <v>36</v>
      </c>
    </row>
    <row r="14" spans="1:12" x14ac:dyDescent="0.35">
      <c r="A14" t="s">
        <v>53</v>
      </c>
      <c r="B14" t="s">
        <v>95</v>
      </c>
      <c r="C14" t="s">
        <v>77</v>
      </c>
      <c r="D14" t="s">
        <v>78</v>
      </c>
      <c r="E14" t="s">
        <v>15</v>
      </c>
      <c r="F14" s="58">
        <v>46024</v>
      </c>
      <c r="G14" s="58">
        <v>46024</v>
      </c>
      <c r="H14" t="s">
        <v>15</v>
      </c>
      <c r="I14" t="s">
        <v>16</v>
      </c>
      <c r="J14">
        <v>1</v>
      </c>
      <c r="K14" t="s">
        <v>74</v>
      </c>
      <c r="L14" t="s">
        <v>14</v>
      </c>
    </row>
    <row r="15" spans="1:12" x14ac:dyDescent="0.35">
      <c r="A15" t="s">
        <v>52</v>
      </c>
      <c r="B15" t="s">
        <v>96</v>
      </c>
      <c r="C15" t="s">
        <v>80</v>
      </c>
      <c r="D15" t="s">
        <v>81</v>
      </c>
      <c r="E15" t="s">
        <v>15</v>
      </c>
      <c r="F15" s="58">
        <v>46024</v>
      </c>
      <c r="G15" s="58">
        <v>46024</v>
      </c>
      <c r="H15" t="s">
        <v>15</v>
      </c>
      <c r="I15" t="s">
        <v>16</v>
      </c>
      <c r="J15">
        <v>1</v>
      </c>
      <c r="K15" t="s">
        <v>74</v>
      </c>
      <c r="L15" t="s">
        <v>32</v>
      </c>
    </row>
    <row r="16" spans="1:12" x14ac:dyDescent="0.35">
      <c r="A16" t="s">
        <v>40</v>
      </c>
      <c r="B16" t="s">
        <v>97</v>
      </c>
      <c r="C16" t="s">
        <v>77</v>
      </c>
      <c r="D16" t="s">
        <v>78</v>
      </c>
      <c r="E16" t="s">
        <v>15</v>
      </c>
      <c r="F16" s="58">
        <v>46038</v>
      </c>
      <c r="G16" s="58">
        <v>46041</v>
      </c>
      <c r="H16" t="s">
        <v>15</v>
      </c>
      <c r="I16" t="s">
        <v>16</v>
      </c>
      <c r="J16">
        <v>2</v>
      </c>
      <c r="K16" t="s">
        <v>74</v>
      </c>
      <c r="L16" t="s">
        <v>14</v>
      </c>
    </row>
    <row r="17" spans="1:12" x14ac:dyDescent="0.35">
      <c r="A17" t="s">
        <v>39</v>
      </c>
      <c r="B17" t="s">
        <v>98</v>
      </c>
      <c r="C17" t="s">
        <v>83</v>
      </c>
      <c r="D17" t="s">
        <v>99</v>
      </c>
      <c r="E17" t="s">
        <v>15</v>
      </c>
      <c r="F17" s="58">
        <v>46030</v>
      </c>
      <c r="G17" s="58">
        <v>46034</v>
      </c>
      <c r="H17" t="s">
        <v>15</v>
      </c>
      <c r="I17" t="s">
        <v>16</v>
      </c>
      <c r="J17">
        <v>3</v>
      </c>
      <c r="K17" t="s">
        <v>74</v>
      </c>
      <c r="L17" t="s">
        <v>25</v>
      </c>
    </row>
    <row r="18" spans="1:12" x14ac:dyDescent="0.35">
      <c r="A18" t="s">
        <v>25</v>
      </c>
      <c r="B18" t="s">
        <v>100</v>
      </c>
      <c r="C18" t="s">
        <v>101</v>
      </c>
      <c r="D18" t="s">
        <v>81</v>
      </c>
      <c r="E18" t="s">
        <v>15</v>
      </c>
      <c r="F18" s="58">
        <v>46024</v>
      </c>
      <c r="G18" s="58">
        <v>46031</v>
      </c>
      <c r="H18" t="s">
        <v>15</v>
      </c>
      <c r="I18" t="s">
        <v>16</v>
      </c>
      <c r="J18">
        <v>6</v>
      </c>
      <c r="K18" t="s">
        <v>74</v>
      </c>
      <c r="L18">
        <v>0</v>
      </c>
    </row>
    <row r="19" spans="1:12" x14ac:dyDescent="0.35">
      <c r="A19" t="s">
        <v>21</v>
      </c>
      <c r="B19" t="s">
        <v>102</v>
      </c>
      <c r="C19" t="s">
        <v>87</v>
      </c>
      <c r="D19" t="s">
        <v>81</v>
      </c>
      <c r="E19" t="s">
        <v>15</v>
      </c>
      <c r="F19" s="58">
        <v>46030</v>
      </c>
      <c r="G19" s="58">
        <v>46031</v>
      </c>
      <c r="H19" t="s">
        <v>15</v>
      </c>
      <c r="I19" t="s">
        <v>16</v>
      </c>
      <c r="J19">
        <v>2</v>
      </c>
      <c r="K19" t="s">
        <v>74</v>
      </c>
      <c r="L19" t="s">
        <v>32</v>
      </c>
    </row>
    <row r="20" spans="1:12" x14ac:dyDescent="0.35">
      <c r="A20" t="s">
        <v>31</v>
      </c>
      <c r="B20" t="s">
        <v>82</v>
      </c>
      <c r="C20" t="s">
        <v>83</v>
      </c>
      <c r="D20" t="s">
        <v>81</v>
      </c>
      <c r="E20" t="s">
        <v>19</v>
      </c>
      <c r="F20" s="58">
        <v>46029</v>
      </c>
      <c r="G20" s="58">
        <v>46029</v>
      </c>
      <c r="H20" t="s">
        <v>20</v>
      </c>
      <c r="I20" t="s">
        <v>16</v>
      </c>
      <c r="J20">
        <v>1</v>
      </c>
      <c r="K20" t="s">
        <v>74</v>
      </c>
      <c r="L20" t="s">
        <v>25</v>
      </c>
    </row>
    <row r="21" spans="1:12" x14ac:dyDescent="0.35">
      <c r="A21" t="s">
        <v>43</v>
      </c>
      <c r="B21" t="s">
        <v>94</v>
      </c>
      <c r="C21" t="s">
        <v>72</v>
      </c>
      <c r="D21" t="s">
        <v>78</v>
      </c>
      <c r="E21" t="s">
        <v>15</v>
      </c>
      <c r="F21" s="58">
        <v>46038</v>
      </c>
      <c r="G21" s="58">
        <v>46038</v>
      </c>
      <c r="H21" t="s">
        <v>15</v>
      </c>
      <c r="I21" t="s">
        <v>16</v>
      </c>
      <c r="J21">
        <v>1</v>
      </c>
      <c r="K21" t="s">
        <v>74</v>
      </c>
      <c r="L21" t="s">
        <v>36</v>
      </c>
    </row>
    <row r="22" spans="1:12" x14ac:dyDescent="0.35">
      <c r="A22" t="s">
        <v>24</v>
      </c>
      <c r="B22" t="s">
        <v>103</v>
      </c>
      <c r="C22" t="s">
        <v>101</v>
      </c>
      <c r="D22" t="s">
        <v>99</v>
      </c>
      <c r="E22" t="s">
        <v>15</v>
      </c>
      <c r="F22" s="58">
        <v>46038</v>
      </c>
      <c r="G22" s="58">
        <v>46038</v>
      </c>
      <c r="H22" t="s">
        <v>15</v>
      </c>
      <c r="I22" t="s">
        <v>16</v>
      </c>
      <c r="J22">
        <v>1</v>
      </c>
      <c r="K22" t="s">
        <v>74</v>
      </c>
      <c r="L22" t="s">
        <v>25</v>
      </c>
    </row>
    <row r="23" spans="1:12" x14ac:dyDescent="0.35">
      <c r="A23" t="s">
        <v>28</v>
      </c>
      <c r="B23" t="s">
        <v>86</v>
      </c>
      <c r="C23" t="s">
        <v>87</v>
      </c>
      <c r="D23" t="s">
        <v>78</v>
      </c>
      <c r="E23" t="s">
        <v>19</v>
      </c>
      <c r="F23" s="58">
        <v>46038</v>
      </c>
      <c r="G23" s="58">
        <v>46038</v>
      </c>
      <c r="H23" t="s">
        <v>20</v>
      </c>
      <c r="I23" t="s">
        <v>16</v>
      </c>
      <c r="J23">
        <v>1</v>
      </c>
      <c r="K23" t="s">
        <v>74</v>
      </c>
      <c r="L23" t="s">
        <v>32</v>
      </c>
    </row>
    <row r="24" spans="1:12" x14ac:dyDescent="0.35">
      <c r="A24" t="s">
        <v>44</v>
      </c>
      <c r="B24" t="s">
        <v>104</v>
      </c>
      <c r="C24" t="s">
        <v>90</v>
      </c>
      <c r="D24" t="s">
        <v>78</v>
      </c>
      <c r="E24" t="s">
        <v>15</v>
      </c>
      <c r="F24" s="58">
        <v>46049</v>
      </c>
      <c r="G24" s="58">
        <v>46049</v>
      </c>
      <c r="H24" t="s">
        <v>57</v>
      </c>
      <c r="I24" t="s">
        <v>16</v>
      </c>
      <c r="J24">
        <v>1</v>
      </c>
      <c r="K24" t="s">
        <v>58</v>
      </c>
      <c r="L24" t="s">
        <v>25</v>
      </c>
    </row>
    <row r="25" spans="1:12" x14ac:dyDescent="0.35">
      <c r="A25" t="s">
        <v>29</v>
      </c>
      <c r="B25" t="s">
        <v>105</v>
      </c>
      <c r="C25" t="s">
        <v>77</v>
      </c>
      <c r="D25" t="s">
        <v>99</v>
      </c>
      <c r="E25" t="s">
        <v>19</v>
      </c>
      <c r="F25" s="58">
        <v>46042</v>
      </c>
      <c r="G25" s="58">
        <v>46042</v>
      </c>
      <c r="H25" t="s">
        <v>20</v>
      </c>
      <c r="I25" t="s">
        <v>16</v>
      </c>
      <c r="J25">
        <v>1</v>
      </c>
      <c r="K25" t="s">
        <v>74</v>
      </c>
      <c r="L25" t="s">
        <v>14</v>
      </c>
    </row>
    <row r="26" spans="1:12" x14ac:dyDescent="0.35">
      <c r="A26" t="s">
        <v>60</v>
      </c>
      <c r="B26" t="s">
        <v>106</v>
      </c>
      <c r="C26" t="s">
        <v>80</v>
      </c>
      <c r="D26" t="s">
        <v>78</v>
      </c>
      <c r="E26" t="s">
        <v>19</v>
      </c>
      <c r="F26" s="58">
        <v>46049</v>
      </c>
      <c r="G26" s="58">
        <v>46050</v>
      </c>
      <c r="H26" t="s">
        <v>20</v>
      </c>
      <c r="I26" t="s">
        <v>16</v>
      </c>
      <c r="J26">
        <v>2</v>
      </c>
      <c r="K26" t="s">
        <v>74</v>
      </c>
      <c r="L26" t="s">
        <v>14</v>
      </c>
    </row>
    <row r="27" spans="1:12" x14ac:dyDescent="0.35">
      <c r="A27" t="s">
        <v>42</v>
      </c>
      <c r="B27" t="s">
        <v>107</v>
      </c>
      <c r="C27" t="s">
        <v>87</v>
      </c>
      <c r="D27" t="s">
        <v>73</v>
      </c>
      <c r="E27" t="s">
        <v>19</v>
      </c>
      <c r="F27" s="58">
        <v>46050</v>
      </c>
      <c r="G27" s="58">
        <v>46050</v>
      </c>
      <c r="H27" t="s">
        <v>20</v>
      </c>
      <c r="I27" t="s">
        <v>16</v>
      </c>
      <c r="J27">
        <v>1</v>
      </c>
      <c r="K27" t="s">
        <v>74</v>
      </c>
      <c r="L27" t="s">
        <v>14</v>
      </c>
    </row>
    <row r="28" spans="1:12" x14ac:dyDescent="0.35">
      <c r="A28" t="s">
        <v>60</v>
      </c>
      <c r="B28" t="s">
        <v>106</v>
      </c>
      <c r="C28" t="s">
        <v>80</v>
      </c>
      <c r="D28" t="s">
        <v>78</v>
      </c>
      <c r="E28" t="s">
        <v>19</v>
      </c>
      <c r="F28" s="58">
        <v>46049</v>
      </c>
      <c r="G28" s="58">
        <v>46050</v>
      </c>
      <c r="H28" t="s">
        <v>20</v>
      </c>
      <c r="I28" t="s">
        <v>16</v>
      </c>
      <c r="J28">
        <v>2</v>
      </c>
      <c r="K28" t="s">
        <v>74</v>
      </c>
      <c r="L28" t="s">
        <v>14</v>
      </c>
    </row>
    <row r="29" spans="1:12" x14ac:dyDescent="0.35">
      <c r="A29" t="s">
        <v>30</v>
      </c>
      <c r="B29" t="s">
        <v>84</v>
      </c>
      <c r="C29" t="s">
        <v>85</v>
      </c>
      <c r="D29" t="s">
        <v>78</v>
      </c>
      <c r="E29" t="s">
        <v>19</v>
      </c>
      <c r="F29" s="58">
        <v>46049</v>
      </c>
      <c r="G29" s="58">
        <v>46050</v>
      </c>
      <c r="H29" t="s">
        <v>62</v>
      </c>
      <c r="I29" t="s">
        <v>16</v>
      </c>
      <c r="J29">
        <v>2</v>
      </c>
      <c r="K29" t="s">
        <v>74</v>
      </c>
      <c r="L29" t="s">
        <v>14</v>
      </c>
    </row>
    <row r="30" spans="1:12" x14ac:dyDescent="0.35">
      <c r="A30" t="s">
        <v>37</v>
      </c>
      <c r="B30" t="s">
        <v>108</v>
      </c>
      <c r="C30" t="s">
        <v>72</v>
      </c>
      <c r="D30" t="s">
        <v>81</v>
      </c>
      <c r="E30" t="s">
        <v>15</v>
      </c>
      <c r="F30" s="58">
        <v>46049</v>
      </c>
      <c r="G30" s="58">
        <v>46073</v>
      </c>
      <c r="H30" t="s">
        <v>63</v>
      </c>
      <c r="I30" t="s">
        <v>16</v>
      </c>
      <c r="J30">
        <v>19</v>
      </c>
      <c r="K30" t="s">
        <v>58</v>
      </c>
      <c r="L30" t="s">
        <v>14</v>
      </c>
    </row>
    <row r="31" spans="1:12" x14ac:dyDescent="0.35">
      <c r="A31" t="s">
        <v>70</v>
      </c>
      <c r="F31" s="58">
        <v>46034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58DD-C113-4A19-8440-C4C655A39066}">
  <sheetPr codeName="Sheet3"/>
  <dimension ref="A1:BC75"/>
  <sheetViews>
    <sheetView zoomScale="51" zoomScaleNormal="40" workbookViewId="0">
      <selection activeCell="AA6" sqref="AA6:AA36"/>
    </sheetView>
  </sheetViews>
  <sheetFormatPr defaultRowHeight="14.5" x14ac:dyDescent="0.35"/>
  <cols>
    <col min="1" max="1" width="36.1796875" customWidth="1"/>
    <col min="2" max="2" width="9.81640625" bestFit="1" customWidth="1"/>
    <col min="3" max="32" width="5.7265625" customWidth="1"/>
    <col min="33" max="33" width="19.7265625" customWidth="1"/>
    <col min="34" max="37" width="11.26953125" hidden="1" customWidth="1"/>
    <col min="38" max="38" width="9.1796875" customWidth="1"/>
    <col min="39" max="39" width="29.26953125" bestFit="1" customWidth="1"/>
  </cols>
  <sheetData>
    <row r="1" spans="1:55" ht="31.9" customHeight="1" x14ac:dyDescent="0.65">
      <c r="A1" s="61" t="s">
        <v>110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</row>
    <row r="2" spans="1:55" s="3" customFormat="1" ht="25.15" customHeight="1" x14ac:dyDescent="0.35">
      <c r="A2" s="62" t="s">
        <v>109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s="3" customFormat="1" ht="9" customHeight="1" x14ac:dyDescent="0.3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s="3" customFormat="1" ht="25.15" customHeight="1" x14ac:dyDescent="0.35">
      <c r="A4" s="64" t="s">
        <v>111</v>
      </c>
      <c r="B4" s="27" t="str">
        <f>IF(B5="","",INDEX({"Sun";"Mon";"Tue";"Wed";"Thu";"Fri";"Sat"},WEEKDAY(B5,1)))</f>
        <v>Thu</v>
      </c>
      <c r="C4" s="27" t="str">
        <f>IF(C5="","",INDEX({"Sun";"Mon";"Tue";"Wed";"Thu";"Fri";"Sat"},WEEKDAY(C5,1)))</f>
        <v>Fri</v>
      </c>
      <c r="D4" s="27" t="str">
        <f>IF(D5="","",INDEX({"Sun";"Mon";"Tue";"Wed";"Thu";"Fri";"Sat"},WEEKDAY(D5,1)))</f>
        <v>Sat</v>
      </c>
      <c r="E4" s="27" t="str">
        <f>IF(E5="","",INDEX({"Sun";"Mon";"Tue";"Wed";"Thu";"Fri";"Sat"},WEEKDAY(E5,1)))</f>
        <v>Sun</v>
      </c>
      <c r="F4" s="27" t="str">
        <f>IF(F5="","",INDEX({"Sun";"Mon";"Tue";"Wed";"Thu";"Fri";"Sat"},WEEKDAY(F5,1)))</f>
        <v>Mon</v>
      </c>
      <c r="G4" s="27" t="str">
        <f>IF(G5="","",INDEX({"Sun";"Mon";"Tue";"Wed";"Thu";"Fri";"Sat"},WEEKDAY(G5,1)))</f>
        <v>Tue</v>
      </c>
      <c r="H4" s="27" t="str">
        <f>IF(H5="","",INDEX({"Sun";"Mon";"Tue";"Wed";"Thu";"Fri";"Sat"},WEEKDAY(H5,1)))</f>
        <v>Wed</v>
      </c>
      <c r="I4" s="27" t="str">
        <f>IF(I5="","",INDEX({"Sun";"Mon";"Tue";"Wed";"Thu";"Fri";"Sat"},WEEKDAY(I5,1)))</f>
        <v>Thu</v>
      </c>
      <c r="J4" s="27" t="str">
        <f>IF(J5="","",INDEX({"Sun";"Mon";"Tue";"Wed";"Thu";"Fri";"Sat"},WEEKDAY(J5,1)))</f>
        <v>Fri</v>
      </c>
      <c r="K4" s="27" t="str">
        <f>IF(K5="","",INDEX({"Sun";"Mon";"Tue";"Wed";"Thu";"Fri";"Sat"},WEEKDAY(K5,1)))</f>
        <v>Sat</v>
      </c>
      <c r="L4" s="27" t="str">
        <f>IF(L5="","",INDEX({"Sun";"Mon";"Tue";"Wed";"Thu";"Fri";"Sat"},WEEKDAY(L5,1)))</f>
        <v>Sun</v>
      </c>
      <c r="M4" s="27" t="str">
        <f>IF(M5="","",INDEX({"Sun";"Mon";"Tue";"Wed";"Thu";"Fri";"Sat"},WEEKDAY(M5,1)))</f>
        <v>Mon</v>
      </c>
      <c r="N4" s="27" t="str">
        <f>IF(N5="","",INDEX({"Sun";"Mon";"Tue";"Wed";"Thu";"Fri";"Sat"},WEEKDAY(N5,1)))</f>
        <v>Tue</v>
      </c>
      <c r="O4" s="27" t="str">
        <f>IF(O5="","",INDEX({"Sun";"Mon";"Tue";"Wed";"Thu";"Fri";"Sat"},WEEKDAY(O5,1)))</f>
        <v>Wed</v>
      </c>
      <c r="P4" s="27" t="str">
        <f>IF(P5="","",INDEX({"Sun";"Mon";"Tue";"Wed";"Thu";"Fri";"Sat"},WEEKDAY(P5,1)))</f>
        <v>Thu</v>
      </c>
      <c r="Q4" s="27" t="str">
        <f>IF(Q5="","",INDEX({"Sun";"Mon";"Tue";"Wed";"Thu";"Fri";"Sat"},WEEKDAY(Q5,1)))</f>
        <v>Fri</v>
      </c>
      <c r="R4" s="27" t="str">
        <f>IF(R5="","",INDEX({"Sun";"Mon";"Tue";"Wed";"Thu";"Fri";"Sat"},WEEKDAY(R5,1)))</f>
        <v>Sat</v>
      </c>
      <c r="S4" s="27" t="str">
        <f>IF(S5="","",INDEX({"Sun";"Mon";"Tue";"Wed";"Thu";"Fri";"Sat"},WEEKDAY(S5,1)))</f>
        <v>Sun</v>
      </c>
      <c r="T4" s="27" t="str">
        <f>IF(T5="","",INDEX({"Sun";"Mon";"Tue";"Wed";"Thu";"Fri";"Sat"},WEEKDAY(T5,1)))</f>
        <v>Mon</v>
      </c>
      <c r="U4" s="27" t="str">
        <f>IF(U5="","",INDEX({"Sun";"Mon";"Tue";"Wed";"Thu";"Fri";"Sat"},WEEKDAY(U5,1)))</f>
        <v>Tue</v>
      </c>
      <c r="V4" s="27" t="str">
        <f>IF(V5="","",INDEX({"Sun";"Mon";"Tue";"Wed";"Thu";"Fri";"Sat"},WEEKDAY(V5,1)))</f>
        <v>Wed</v>
      </c>
      <c r="W4" s="27" t="str">
        <f>IF(W5="","",INDEX({"Sun";"Mon";"Tue";"Wed";"Thu";"Fri";"Sat"},WEEKDAY(W5,1)))</f>
        <v>Thu</v>
      </c>
      <c r="X4" s="27" t="str">
        <f>IF(X5="","",INDEX({"Sun";"Mon";"Tue";"Wed";"Thu";"Fri";"Sat"},WEEKDAY(X5,1)))</f>
        <v>Fri</v>
      </c>
      <c r="Y4" s="27" t="str">
        <f>IF(Y5="","",INDEX({"Sun";"Mon";"Tue";"Wed";"Thu";"Fri";"Sat"},WEEKDAY(Y5,1)))</f>
        <v>Sat</v>
      </c>
      <c r="Z4" s="27" t="str">
        <f>IF(Z5="","",INDEX({"Sun";"Mon";"Tue";"Wed";"Thu";"Fri";"Sat"},WEEKDAY(Z5,1)))</f>
        <v>Sun</v>
      </c>
      <c r="AA4" s="27" t="str">
        <f>IF(AA5="","",INDEX({"Sun";"Mon";"Tue";"Wed";"Thu";"Fri";"Sat"},WEEKDAY(AA5,1)))</f>
        <v>Mon</v>
      </c>
      <c r="AB4" s="27" t="str">
        <f>IF(AB5="","",INDEX({"Sun";"Mon";"Tue";"Wed";"Thu";"Fri";"Sat"},WEEKDAY(AB5,1)))</f>
        <v>Tue</v>
      </c>
      <c r="AC4" s="27" t="str">
        <f>IF(AC5="","",INDEX({"Sun";"Mon";"Tue";"Wed";"Thu";"Fri";"Sat"},WEEKDAY(AC5,1)))</f>
        <v>Wed</v>
      </c>
      <c r="AD4" s="27" t="str">
        <f>IF(AD5="","",INDEX({"Sun";"Mon";"Tue";"Wed";"Thu";"Fri";"Sat"},WEEKDAY(AD5,1)))</f>
        <v>Thu</v>
      </c>
      <c r="AE4" s="27" t="str">
        <f>IF(AE5="","",INDEX({"Sun";"Mon";"Tue";"Wed";"Thu";"Fri";"Sat"},WEEKDAY(AE5,1)))</f>
        <v>Fri</v>
      </c>
      <c r="AF4" s="27" t="str">
        <f>IF(AF5="","",INDEX({"Sun";"Mon";"Tue";"Wed";"Thu";"Fri";"Sat"},WEEKDAY(AF5,1)))</f>
        <v>Sat</v>
      </c>
      <c r="AG4" s="65" t="s">
        <v>112</v>
      </c>
      <c r="AH4" s="66" t="s">
        <v>113</v>
      </c>
      <c r="AI4" s="67" t="s">
        <v>114</v>
      </c>
      <c r="AJ4" s="68" t="s">
        <v>115</v>
      </c>
      <c r="AK4" s="69" t="s">
        <v>116</v>
      </c>
      <c r="AL4" s="28"/>
      <c r="AM4" s="59" t="s">
        <v>117</v>
      </c>
      <c r="AN4" s="59" t="s">
        <v>118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s="3" customFormat="1" ht="45" customHeight="1" x14ac:dyDescent="0.35">
      <c r="A5" s="64"/>
      <c r="B5" s="29">
        <f>DATE(Year!$B$2,1,1)</f>
        <v>46023</v>
      </c>
      <c r="C5" s="29">
        <f t="shared" ref="C5:AF5" si="0">B5+1</f>
        <v>46024</v>
      </c>
      <c r="D5" s="29">
        <f t="shared" si="0"/>
        <v>46025</v>
      </c>
      <c r="E5" s="29">
        <f t="shared" si="0"/>
        <v>46026</v>
      </c>
      <c r="F5" s="29">
        <f t="shared" si="0"/>
        <v>46027</v>
      </c>
      <c r="G5" s="29">
        <f t="shared" si="0"/>
        <v>46028</v>
      </c>
      <c r="H5" s="29">
        <f t="shared" si="0"/>
        <v>46029</v>
      </c>
      <c r="I5" s="29">
        <f t="shared" si="0"/>
        <v>46030</v>
      </c>
      <c r="J5" s="29">
        <f t="shared" si="0"/>
        <v>46031</v>
      </c>
      <c r="K5" s="29">
        <f t="shared" si="0"/>
        <v>46032</v>
      </c>
      <c r="L5" s="29">
        <f t="shared" si="0"/>
        <v>46033</v>
      </c>
      <c r="M5" s="29">
        <f t="shared" si="0"/>
        <v>46034</v>
      </c>
      <c r="N5" s="29">
        <f t="shared" si="0"/>
        <v>46035</v>
      </c>
      <c r="O5" s="29">
        <f t="shared" si="0"/>
        <v>46036</v>
      </c>
      <c r="P5" s="29">
        <f t="shared" si="0"/>
        <v>46037</v>
      </c>
      <c r="Q5" s="29">
        <f t="shared" si="0"/>
        <v>46038</v>
      </c>
      <c r="R5" s="29">
        <f t="shared" si="0"/>
        <v>46039</v>
      </c>
      <c r="S5" s="29">
        <f t="shared" si="0"/>
        <v>46040</v>
      </c>
      <c r="T5" s="29">
        <f t="shared" si="0"/>
        <v>46041</v>
      </c>
      <c r="U5" s="29">
        <f t="shared" si="0"/>
        <v>46042</v>
      </c>
      <c r="V5" s="29">
        <f t="shared" si="0"/>
        <v>46043</v>
      </c>
      <c r="W5" s="29">
        <f t="shared" si="0"/>
        <v>46044</v>
      </c>
      <c r="X5" s="29">
        <f t="shared" si="0"/>
        <v>46045</v>
      </c>
      <c r="Y5" s="29">
        <f t="shared" si="0"/>
        <v>46046</v>
      </c>
      <c r="Z5" s="29">
        <f t="shared" si="0"/>
        <v>46047</v>
      </c>
      <c r="AA5" s="29">
        <f t="shared" si="0"/>
        <v>46048</v>
      </c>
      <c r="AB5" s="29">
        <f t="shared" si="0"/>
        <v>46049</v>
      </c>
      <c r="AC5" s="29">
        <f t="shared" si="0"/>
        <v>46050</v>
      </c>
      <c r="AD5" s="29">
        <f t="shared" si="0"/>
        <v>46051</v>
      </c>
      <c r="AE5" s="29">
        <f t="shared" si="0"/>
        <v>46052</v>
      </c>
      <c r="AF5" s="29">
        <f t="shared" si="0"/>
        <v>46053</v>
      </c>
      <c r="AG5" s="65"/>
      <c r="AH5" s="66"/>
      <c r="AI5" s="67"/>
      <c r="AJ5" s="68"/>
      <c r="AK5" s="69"/>
      <c r="AL5" s="28"/>
      <c r="AM5" s="60"/>
      <c r="AN5" s="60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s="3" customFormat="1" ht="24.75" customHeight="1" x14ac:dyDescent="0.55000000000000004">
      <c r="A6" s="9" t="s">
        <v>14</v>
      </c>
      <c r="B6" s="30" t="s">
        <v>126</v>
      </c>
      <c r="C6" s="30" t="str">
        <f>IF(COUNTIFS(EmployeeData!$A:$A,$A6,EmployeeData!$F:$F,C$5)&gt;0,"PT","")</f>
        <v/>
      </c>
      <c r="D6" s="30" t="str">
        <f>IF(COUNTIFS(EmployeeData!$A:$A,$A6,EmployeeData!$F:$F,D$5)&gt;0,"PT","")</f>
        <v/>
      </c>
      <c r="E6" s="30" t="str">
        <f>IF(COUNTIFS(EmployeeData!$A:$A,$A6,EmployeeData!$F:$F,E$5)&gt;0,"PT","")</f>
        <v/>
      </c>
      <c r="F6" s="30" t="str">
        <f>IF(COUNTIFS(EmployeeData!$A:$A,$A6,EmployeeData!$F:$F,F$5)&gt;0,"PT","")</f>
        <v/>
      </c>
      <c r="G6" s="30" t="str">
        <f>IF(COUNTIFS(EmployeeData!$A:$A,$A6,EmployeeData!$F:$F,G$5)&gt;0,"PT","")</f>
        <v/>
      </c>
      <c r="H6" s="30" t="str">
        <f>IF(COUNTIFS(EmployeeData!$A:$A,$A6,EmployeeData!$F:$F,H$5)&gt;0,"PT","")</f>
        <v/>
      </c>
      <c r="I6" s="30" t="str">
        <f>IF(COUNTIFS(EmployeeData!$A:$A,$A6,EmployeeData!$F:$F,I$5)&gt;0,"PT","")</f>
        <v/>
      </c>
      <c r="J6" s="30" t="str">
        <f>IF(COUNTIFS(EmployeeData!$A:$A,$A6,EmployeeData!$F:$F,J$5)&gt;0,"PT","")</f>
        <v/>
      </c>
      <c r="K6" s="30" t="str">
        <f>IF(COUNTIFS(EmployeeData!$A:$A,$A6,EmployeeData!$F:$F,K$5)&gt;0,"PT","")</f>
        <v/>
      </c>
      <c r="L6" s="30" t="str">
        <f>IF(COUNTIFS(EmployeeData!$A:$A,$A6,EmployeeData!$F:$F,L$5)&gt;0,"PT","")</f>
        <v/>
      </c>
      <c r="M6" s="30" t="str">
        <f>IF(COUNTIFS(EmployeeData!$A:$A,$A6,EmployeeData!$F:$F,M$5)&gt;0,"PT","")</f>
        <v/>
      </c>
      <c r="N6" s="30" t="str">
        <f>IF(COUNTIFS(EmployeeData!$A:$A,$A6,EmployeeData!$F:$F,N$5)&gt;0,"PT","")</f>
        <v/>
      </c>
      <c r="O6" s="30" t="str">
        <f>IF(COUNTIFS(EmployeeData!$A:$A,$A6,EmployeeData!$F:$F,O$5)&gt;0,"PT","")</f>
        <v/>
      </c>
      <c r="P6" s="30" t="str">
        <f>IF(COUNTIFS(EmployeeData!$A:$A,$A6,EmployeeData!$F:$F,P$5)&gt;0,"PT","")</f>
        <v/>
      </c>
      <c r="Q6" s="30" t="str">
        <f>IF(COUNTIFS(EmployeeData!$A:$A,$A6,EmployeeData!$F:$F,Q$5)&gt;0,"PT","")</f>
        <v/>
      </c>
      <c r="R6" s="30" t="str">
        <f>IF(COUNTIFS(EmployeeData!$A:$A,$A6,EmployeeData!$F:$F,R$5)&gt;0,"PT","")</f>
        <v/>
      </c>
      <c r="S6" s="30" t="str">
        <f>IF(COUNTIFS(EmployeeData!$A:$A,$A6,EmployeeData!$F:$F,S$5)&gt;0,"PT","")</f>
        <v/>
      </c>
      <c r="T6" s="30" t="str">
        <f>IF(COUNTIFS(EmployeeData!$A:$A,$A6,EmployeeData!$F:$F,T$5)&gt;0,"PT","")</f>
        <v/>
      </c>
      <c r="U6" s="30" t="str">
        <f>IF(COUNTIFS(EmployeeData!$A:$A,$A6,EmployeeData!$F:$F,U$5)&gt;0,"PT","")</f>
        <v/>
      </c>
      <c r="V6" s="30" t="str">
        <f>IF(COUNTIFS(EmployeeData!$A:$A,$A6,EmployeeData!$F:$F,V$5)&gt;0,"PT","")</f>
        <v/>
      </c>
      <c r="W6" s="30" t="str">
        <f>IF(COUNTIFS(EmployeeData!$A:$A,$A6,EmployeeData!$F:$F,W$5)&gt;0,"PT","")</f>
        <v/>
      </c>
      <c r="X6" s="30" t="str">
        <f>IF(COUNTIFS(EmployeeData!$A:$A,$A6,EmployeeData!$F:$F,X$5)&gt;0,"PT","")</f>
        <v/>
      </c>
      <c r="Y6" s="30" t="str">
        <f>IF(COUNTIFS(EmployeeData!$A:$A,$A6,EmployeeData!$F:$F,Y$5)&gt;0,"PT","")</f>
        <v/>
      </c>
      <c r="Z6" s="30" t="str">
        <f>IF(COUNTIFS(EmployeeData!$A:$A,$A6,EmployeeData!$F:$F,Z$5)&gt;0,"PT","")</f>
        <v/>
      </c>
      <c r="AA6" s="30" t="s">
        <v>126</v>
      </c>
      <c r="AB6" s="30" t="str">
        <f>IF(COUNTIFS(EmployeeData!$A:$A,$A6,EmployeeData!$F:$F,AB$5)&gt;0,"PT","")</f>
        <v/>
      </c>
      <c r="AC6" s="30" t="str">
        <f>IF(COUNTIFS(EmployeeData!$A:$A,$A6,EmployeeData!$F:$F,AC$5)&gt;0,"PT","")</f>
        <v/>
      </c>
      <c r="AD6" s="30" t="str">
        <f>IF(COUNTIFS(EmployeeData!$A:$A,$A6,EmployeeData!$F:$F,AD$5)&gt;0,"PT","")</f>
        <v/>
      </c>
      <c r="AE6" s="30" t="str">
        <f>IF(COUNTIFS(EmployeeData!$A:$A,$A6,EmployeeData!$F:$F,AE$5)&gt;0,"PT","")</f>
        <v/>
      </c>
      <c r="AF6" s="30" t="str">
        <f>IF(COUNTIFS(EmployeeData!$A:$A,$A6,EmployeeData!$F:$F,AF$5)&gt;0,"PT","")</f>
        <v/>
      </c>
      <c r="AG6" s="8">
        <f>(COUNTIF(B6:AF6,"PT")*1)+(COUNTIF(B6:AF6,"H1")*0.5)+(COUNTIF(B6:AF6,"T")*0)+(COUNTIF(B6:AF6,"R")*0)+(COUNTIF(B6:AF6,"S")*1)+(COUNTIF(B6:AF6,"C")*1)+(COUNTIF(B6:AF6,"FH")*0)+(COUNTIF(B6:AF6,"MT")*1)</f>
        <v>0</v>
      </c>
      <c r="AH6" s="8">
        <f>COUNTIF(B6:AF6,"PT")+COUNTIF(B6:AF6,"H1")+COUNTIF(B6:AF6,"U")</f>
        <v>0</v>
      </c>
      <c r="AI6" s="8">
        <f t="shared" ref="AI6:AI36" si="1">COUNTIF(B6:AF6,"S")+COUNTIF(B6:AF6,"S1")/2+COUNTIF(B6:AF6,"S2")/2</f>
        <v>0</v>
      </c>
      <c r="AJ6" s="8">
        <f>COUNTIF(B6:AF6,"MT")</f>
        <v>0</v>
      </c>
      <c r="AK6" s="8">
        <f t="shared" ref="AK6:AK36" si="2">COUNTIF(B6:AF6,"U")</f>
        <v>0</v>
      </c>
      <c r="AL6" s="32"/>
      <c r="AM6" s="33" t="s">
        <v>15</v>
      </c>
      <c r="AN6" s="34" t="s">
        <v>119</v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s="3" customFormat="1" ht="25.15" customHeight="1" x14ac:dyDescent="0.55000000000000004">
      <c r="A7" s="10" t="s">
        <v>37</v>
      </c>
      <c r="B7" s="30" t="s">
        <v>126</v>
      </c>
      <c r="C7" s="30" t="str">
        <f>IF(COUNTIFS(EmployeeData!$A:$A,$A7,EmployeeData!$F:$F,C$5)&gt;0,"PT","")</f>
        <v/>
      </c>
      <c r="D7" s="30" t="str">
        <f>IF(COUNTIFS(EmployeeData!$A:$A,$A7,EmployeeData!$F:$F,D$5)&gt;0,"PT","")</f>
        <v/>
      </c>
      <c r="E7" s="30" t="str">
        <f>IF(COUNTIFS(EmployeeData!$A:$A,$A7,EmployeeData!$F:$F,E$5)&gt;0,"PT","")</f>
        <v/>
      </c>
      <c r="F7" s="30" t="str">
        <f>IF(COUNTIFS(EmployeeData!$A:$A,$A7,EmployeeData!$F:$F,F$5)&gt;0,"PT","")</f>
        <v/>
      </c>
      <c r="G7" s="30" t="str">
        <f>IF(COUNTIFS(EmployeeData!$A:$A,$A7,EmployeeData!$F:$F,G$5)&gt;0,"PT","")</f>
        <v/>
      </c>
      <c r="H7" s="30" t="str">
        <f>IF(COUNTIFS(EmployeeData!$A:$A,$A7,EmployeeData!$F:$F,H$5)&gt;0,"PT","")</f>
        <v/>
      </c>
      <c r="I7" s="30" t="str">
        <f>IF(COUNTIFS(EmployeeData!$A:$A,$A7,EmployeeData!$F:$F,I$5)&gt;0,"PT","")</f>
        <v/>
      </c>
      <c r="J7" s="30" t="str">
        <f>IF(COUNTIFS(EmployeeData!$A:$A,$A7,EmployeeData!$F:$F,J$5)&gt;0,"PT","")</f>
        <v/>
      </c>
      <c r="K7" s="30" t="str">
        <f>IF(COUNTIFS(EmployeeData!$A:$A,$A7,EmployeeData!$F:$F,K$5)&gt;0,"PT","")</f>
        <v/>
      </c>
      <c r="L7" s="30" t="str">
        <f>IF(COUNTIFS(EmployeeData!$A:$A,$A7,EmployeeData!$F:$F,L$5)&gt;0,"PT","")</f>
        <v/>
      </c>
      <c r="M7" s="30" t="str">
        <f>IF(COUNTIFS(EmployeeData!$A:$A,$A7,EmployeeData!$F:$F,M$5)&gt;0,"PT","")</f>
        <v/>
      </c>
      <c r="N7" s="30" t="str">
        <f>IF(COUNTIFS(EmployeeData!$A:$A,$A7,EmployeeData!$F:$F,N$5)&gt;0,"PT","")</f>
        <v/>
      </c>
      <c r="O7" s="30" t="str">
        <f>IF(COUNTIFS(EmployeeData!$A:$A,$A7,EmployeeData!$F:$F,O$5)&gt;0,"PT","")</f>
        <v/>
      </c>
      <c r="P7" s="30" t="str">
        <f>IF(COUNTIFS(EmployeeData!$A:$A,$A7,EmployeeData!$F:$F,P$5)&gt;0,"PT","")</f>
        <v/>
      </c>
      <c r="Q7" s="30" t="str">
        <f>IF(COUNTIFS(EmployeeData!$A:$A,$A7,EmployeeData!$F:$F,Q$5)&gt;0,"PT","")</f>
        <v/>
      </c>
      <c r="R7" s="30" t="str">
        <f>IF(COUNTIFS(EmployeeData!$A:$A,$A7,EmployeeData!$F:$F,R$5)&gt;0,"PT","")</f>
        <v/>
      </c>
      <c r="S7" s="30" t="str">
        <f>IF(COUNTIFS(EmployeeData!$A:$A,$A7,EmployeeData!$F:$F,S$5)&gt;0,"PT","")</f>
        <v/>
      </c>
      <c r="T7" s="30" t="str">
        <f>IF(COUNTIFS(EmployeeData!$A:$A,$A7,EmployeeData!$F:$F,T$5)&gt;0,"PT","")</f>
        <v/>
      </c>
      <c r="U7" s="30" t="str">
        <f>IF(COUNTIFS(EmployeeData!$A:$A,$A7,EmployeeData!$F:$F,U$5)&gt;0,"PT","")</f>
        <v/>
      </c>
      <c r="V7" s="30" t="str">
        <f>IF(COUNTIFS(EmployeeData!$A:$A,$A7,EmployeeData!$F:$F,V$5)&gt;0,"PT","")</f>
        <v/>
      </c>
      <c r="W7" s="30" t="str">
        <f>IF(COUNTIFS(EmployeeData!$A:$A,$A7,EmployeeData!$F:$F,W$5)&gt;0,"PT","")</f>
        <v/>
      </c>
      <c r="X7" s="30" t="str">
        <f>IF(COUNTIFS(EmployeeData!$A:$A,$A7,EmployeeData!$F:$F,X$5)&gt;0,"PT","")</f>
        <v/>
      </c>
      <c r="Y7" s="30" t="str">
        <f>IF(COUNTIFS(EmployeeData!$A:$A,$A7,EmployeeData!$F:$F,Y$5)&gt;0,"PT","")</f>
        <v/>
      </c>
      <c r="Z7" s="30" t="str">
        <f>IF(COUNTIFS(EmployeeData!$A:$A,$A7,EmployeeData!$F:$F,Z$5)&gt;0,"PT","")</f>
        <v/>
      </c>
      <c r="AA7" s="30" t="s">
        <v>126</v>
      </c>
      <c r="AB7" s="30" t="str">
        <f>IF(COUNTIFS(EmployeeData!$A:$A,$A7,EmployeeData!$F:$F,AB$5)&gt;0,"PT","")</f>
        <v>PT</v>
      </c>
      <c r="AC7" s="30" t="str">
        <f>IF(COUNTIFS(EmployeeData!$A:$A,$A7,EmployeeData!$F:$F,AC$5)&gt;0,"PT","")</f>
        <v/>
      </c>
      <c r="AD7" s="30" t="str">
        <f>IF(COUNTIFS(EmployeeData!$A:$A,$A7,EmployeeData!$F:$F,AD$5)&gt;0,"PT","")</f>
        <v/>
      </c>
      <c r="AE7" s="30" t="str">
        <f>IF(COUNTIFS(EmployeeData!$A:$A,$A7,EmployeeData!$F:$F,AE$5)&gt;0,"PT","")</f>
        <v/>
      </c>
      <c r="AF7" s="30" t="str">
        <f>IF(COUNTIFS(EmployeeData!$A:$A,$A7,EmployeeData!$F:$F,AF$5)&gt;0,"PT","")</f>
        <v/>
      </c>
      <c r="AG7" s="8">
        <f>(COUNTIF(B7:AF7,"PT")*1)+(COUNTIF(B7:AF7,"H1")*0.5)+(COUNTIF(B7:AF7,"T")*0)+(COUNTIF(B7:AF7,"R")*0)+(COUNTIF(B7:AF7,"S")*1)+(COUNTIF(A7:B7,"C")*1)+(COUNTIF(B7:AF7,"FH")*0)+(COUNTIF(B7:AF7,"MT")*1)</f>
        <v>1</v>
      </c>
      <c r="AH7" s="8">
        <f t="shared" ref="AH7:AH36" si="3">COUNTIF(B7:AF7,"V")+COUNTIF(B7:AF7,"V1")/2+COUNTIF(B7:AF7,"V2")/2</f>
        <v>0</v>
      </c>
      <c r="AI7" s="8">
        <f t="shared" si="1"/>
        <v>0</v>
      </c>
      <c r="AJ7" s="8">
        <f t="shared" ref="AJ7:AJ36" si="4">COUNTIF(B7:AF7,"M")</f>
        <v>0</v>
      </c>
      <c r="AK7" s="8">
        <f t="shared" si="2"/>
        <v>0</v>
      </c>
      <c r="AL7" s="32"/>
      <c r="AM7" s="35" t="s">
        <v>120</v>
      </c>
      <c r="AN7" s="34" t="s">
        <v>121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s="3" customFormat="1" ht="25.15" customHeight="1" x14ac:dyDescent="0.55000000000000004">
      <c r="A8" s="10" t="s">
        <v>17</v>
      </c>
      <c r="B8" s="30" t="s">
        <v>126</v>
      </c>
      <c r="C8" s="30" t="str">
        <f>IF(COUNTIFS(EmployeeData!$A:$A,$A8,EmployeeData!$F:$F,C$5)&gt;0,"PT","")</f>
        <v>PT</v>
      </c>
      <c r="D8" s="30" t="str">
        <f>IF(COUNTIFS(EmployeeData!$A:$A,$A8,EmployeeData!$F:$F,D$5)&gt;0,"PT","")</f>
        <v/>
      </c>
      <c r="E8" s="30" t="str">
        <f>IF(COUNTIFS(EmployeeData!$A:$A,$A8,EmployeeData!$F:$F,E$5)&gt;0,"PT","")</f>
        <v/>
      </c>
      <c r="F8" s="30" t="str">
        <f>IF(COUNTIFS(EmployeeData!$A:$A,$A8,EmployeeData!$F:$F,F$5)&gt;0,"PT","")</f>
        <v/>
      </c>
      <c r="G8" s="30" t="str">
        <f>IF(COUNTIFS(EmployeeData!$A:$A,$A8,EmployeeData!$F:$F,G$5)&gt;0,"PT","")</f>
        <v/>
      </c>
      <c r="H8" s="30" t="str">
        <f>IF(COUNTIFS(EmployeeData!$A:$A,$A8,EmployeeData!$F:$F,H$5)&gt;0,"PT","")</f>
        <v/>
      </c>
      <c r="I8" s="30" t="str">
        <f>IF(COUNTIFS(EmployeeData!$A:$A,$A8,EmployeeData!$F:$F,I$5)&gt;0,"PT","")</f>
        <v/>
      </c>
      <c r="J8" s="30" t="str">
        <f>IF(COUNTIFS(EmployeeData!$A:$A,$A8,EmployeeData!$F:$F,J$5)&gt;0,"PT","")</f>
        <v/>
      </c>
      <c r="K8" s="30" t="str">
        <f>IF(COUNTIFS(EmployeeData!$A:$A,$A8,EmployeeData!$F:$F,K$5)&gt;0,"PT","")</f>
        <v/>
      </c>
      <c r="L8" s="30" t="str">
        <f>IF(COUNTIFS(EmployeeData!$A:$A,$A8,EmployeeData!$F:$F,L$5)&gt;0,"PT","")</f>
        <v/>
      </c>
      <c r="M8" s="30" t="str">
        <f>IF(COUNTIFS(EmployeeData!$A:$A,$A8,EmployeeData!$F:$F,M$5)&gt;0,"PT","")</f>
        <v/>
      </c>
      <c r="N8" s="30" t="str">
        <f>IF(COUNTIFS(EmployeeData!$A:$A,$A8,EmployeeData!$F:$F,N$5)&gt;0,"PT","")</f>
        <v/>
      </c>
      <c r="O8" s="30" t="str">
        <f>IF(COUNTIFS(EmployeeData!$A:$A,$A8,EmployeeData!$F:$F,O$5)&gt;0,"PT","")</f>
        <v/>
      </c>
      <c r="P8" s="30" t="str">
        <f>IF(COUNTIFS(EmployeeData!$A:$A,$A8,EmployeeData!$F:$F,P$5)&gt;0,"PT","")</f>
        <v/>
      </c>
      <c r="Q8" s="30" t="str">
        <f>IF(COUNTIFS(EmployeeData!$A:$A,$A8,EmployeeData!$F:$F,Q$5)&gt;0,"PT","")</f>
        <v/>
      </c>
      <c r="R8" s="30" t="str">
        <f>IF(COUNTIFS(EmployeeData!$A:$A,$A8,EmployeeData!$F:$F,R$5)&gt;0,"PT","")</f>
        <v/>
      </c>
      <c r="S8" s="30" t="str">
        <f>IF(COUNTIFS(EmployeeData!$A:$A,$A8,EmployeeData!$F:$F,S$5)&gt;0,"PT","")</f>
        <v/>
      </c>
      <c r="T8" s="30" t="str">
        <f>IF(COUNTIFS(EmployeeData!$A:$A,$A8,EmployeeData!$F:$F,T$5)&gt;0,"PT","")</f>
        <v/>
      </c>
      <c r="U8" s="30" t="str">
        <f>IF(COUNTIFS(EmployeeData!$A:$A,$A8,EmployeeData!$F:$F,U$5)&gt;0,"PT","")</f>
        <v/>
      </c>
      <c r="V8" s="30" t="str">
        <f>IF(COUNTIFS(EmployeeData!$A:$A,$A8,EmployeeData!$F:$F,V$5)&gt;0,"PT","")</f>
        <v/>
      </c>
      <c r="W8" s="30" t="str">
        <f>IF(COUNTIFS(EmployeeData!$A:$A,$A8,EmployeeData!$F:$F,W$5)&gt;0,"PT","")</f>
        <v/>
      </c>
      <c r="X8" s="30" t="str">
        <f>IF(COUNTIFS(EmployeeData!$A:$A,$A8,EmployeeData!$F:$F,X$5)&gt;0,"PT","")</f>
        <v/>
      </c>
      <c r="Y8" s="30" t="str">
        <f>IF(COUNTIFS(EmployeeData!$A:$A,$A8,EmployeeData!$F:$F,Y$5)&gt;0,"PT","")</f>
        <v/>
      </c>
      <c r="Z8" s="30" t="str">
        <f>IF(COUNTIFS(EmployeeData!$A:$A,$A8,EmployeeData!$F:$F,Z$5)&gt;0,"PT","")</f>
        <v/>
      </c>
      <c r="AA8" s="30" t="s">
        <v>126</v>
      </c>
      <c r="AB8" s="30" t="str">
        <f>IF(COUNTIFS(EmployeeData!$A:$A,$A8,EmployeeData!$F:$F,AB$5)&gt;0,"PT","")</f>
        <v/>
      </c>
      <c r="AC8" s="30" t="str">
        <f>IF(COUNTIFS(EmployeeData!$A:$A,$A8,EmployeeData!$F:$F,AC$5)&gt;0,"PT","")</f>
        <v/>
      </c>
      <c r="AD8" s="30" t="str">
        <f>IF(COUNTIFS(EmployeeData!$A:$A,$A8,EmployeeData!$F:$F,AD$5)&gt;0,"PT","")</f>
        <v/>
      </c>
      <c r="AE8" s="30" t="str">
        <f>IF(COUNTIFS(EmployeeData!$A:$A,$A8,EmployeeData!$F:$F,AE$5)&gt;0,"PT","")</f>
        <v/>
      </c>
      <c r="AF8" s="30" t="str">
        <f>IF(COUNTIFS(EmployeeData!$A:$A,$A8,EmployeeData!$F:$F,AF$5)&gt;0,"PT","")</f>
        <v/>
      </c>
      <c r="AG8" s="8">
        <f t="shared" ref="AG8:AG36" si="5">(COUNTIF(B8:AF8,"PT")*1)+(COUNTIF(B8:AF8,"H1")*0.5)+(COUNTIF(B8:AF8,"T")*0)+(COUNTIF(B8:AF8,"R")*0)+(COUNTIF(B8:AF8,"S")*1)+(COUNTIF(B8:AF8,"C")*1)+(COUNTIF(B8:AF8,"FH")*0)+(COUNTIF(B8:AF8,"MT")*1)</f>
        <v>1</v>
      </c>
      <c r="AH8" s="8">
        <f t="shared" si="3"/>
        <v>0</v>
      </c>
      <c r="AI8" s="8">
        <f t="shared" si="1"/>
        <v>0</v>
      </c>
      <c r="AJ8" s="8">
        <f t="shared" si="4"/>
        <v>0</v>
      </c>
      <c r="AK8" s="8">
        <f t="shared" si="2"/>
        <v>0</v>
      </c>
      <c r="AL8" s="32"/>
      <c r="AM8" s="36" t="s">
        <v>23</v>
      </c>
      <c r="AN8" s="34" t="s">
        <v>122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s="3" customFormat="1" ht="25.15" customHeight="1" x14ac:dyDescent="0.55000000000000004">
      <c r="A9" s="10" t="s">
        <v>41</v>
      </c>
      <c r="B9" s="30" t="s">
        <v>126</v>
      </c>
      <c r="C9" s="30" t="str">
        <f>IF(COUNTIFS(EmployeeData!$A:$A,$A9,EmployeeData!$F:$F,C$5)&gt;0,"PT","")</f>
        <v/>
      </c>
      <c r="D9" s="30" t="str">
        <f>IF(COUNTIFS(EmployeeData!$A:$A,$A9,EmployeeData!$F:$F,D$5)&gt;0,"PT","")</f>
        <v/>
      </c>
      <c r="E9" s="30" t="str">
        <f>IF(COUNTIFS(EmployeeData!$A:$A,$A9,EmployeeData!$F:$F,E$5)&gt;0,"PT","")</f>
        <v/>
      </c>
      <c r="F9" s="30" t="str">
        <f>IF(COUNTIFS(EmployeeData!$A:$A,$A9,EmployeeData!$F:$F,F$5)&gt;0,"PT","")</f>
        <v/>
      </c>
      <c r="G9" s="30" t="str">
        <f>IF(COUNTIFS(EmployeeData!$A:$A,$A9,EmployeeData!$F:$F,G$5)&gt;0,"PT","")</f>
        <v/>
      </c>
      <c r="H9" s="30" t="str">
        <f>IF(COUNTIFS(EmployeeData!$A:$A,$A9,EmployeeData!$F:$F,H$5)&gt;0,"PT","")</f>
        <v/>
      </c>
      <c r="I9" s="30" t="str">
        <f>IF(COUNTIFS(EmployeeData!$A:$A,$A9,EmployeeData!$F:$F,I$5)&gt;0,"PT","")</f>
        <v/>
      </c>
      <c r="J9" s="30" t="str">
        <f>IF(COUNTIFS(EmployeeData!$A:$A,$A9,EmployeeData!$F:$F,J$5)&gt;0,"PT","")</f>
        <v/>
      </c>
      <c r="K9" s="30" t="str">
        <f>IF(COUNTIFS(EmployeeData!$A:$A,$A9,EmployeeData!$F:$F,K$5)&gt;0,"PT","")</f>
        <v/>
      </c>
      <c r="L9" s="30" t="str">
        <f>IF(COUNTIFS(EmployeeData!$A:$A,$A9,EmployeeData!$F:$F,L$5)&gt;0,"PT","")</f>
        <v/>
      </c>
      <c r="M9" s="30" t="str">
        <f>IF(COUNTIFS(EmployeeData!$A:$A,$A9,EmployeeData!$F:$F,M$5)&gt;0,"PT","")</f>
        <v/>
      </c>
      <c r="N9" s="30" t="str">
        <f>IF(COUNTIFS(EmployeeData!$A:$A,$A9,EmployeeData!$F:$F,N$5)&gt;0,"PT","")</f>
        <v/>
      </c>
      <c r="O9" s="30" t="str">
        <f>IF(COUNTIFS(EmployeeData!$A:$A,$A9,EmployeeData!$F:$F,O$5)&gt;0,"PT","")</f>
        <v/>
      </c>
      <c r="P9" s="30" t="str">
        <f>IF(COUNTIFS(EmployeeData!$A:$A,$A9,EmployeeData!$F:$F,P$5)&gt;0,"PT","")</f>
        <v/>
      </c>
      <c r="Q9" s="30" t="str">
        <f>IF(COUNTIFS(EmployeeData!$A:$A,$A9,EmployeeData!$F:$F,Q$5)&gt;0,"PT","")</f>
        <v/>
      </c>
      <c r="R9" s="30" t="str">
        <f>IF(COUNTIFS(EmployeeData!$A:$A,$A9,EmployeeData!$F:$F,R$5)&gt;0,"PT","")</f>
        <v/>
      </c>
      <c r="S9" s="30" t="str">
        <f>IF(COUNTIFS(EmployeeData!$A:$A,$A9,EmployeeData!$F:$F,S$5)&gt;0,"PT","")</f>
        <v/>
      </c>
      <c r="T9" s="30" t="str">
        <f>IF(COUNTIFS(EmployeeData!$A:$A,$A9,EmployeeData!$F:$F,T$5)&gt;0,"PT","")</f>
        <v/>
      </c>
      <c r="U9" s="30" t="str">
        <f>IF(COUNTIFS(EmployeeData!$A:$A,$A9,EmployeeData!$F:$F,U$5)&gt;0,"PT","")</f>
        <v/>
      </c>
      <c r="V9" s="30" t="str">
        <f>IF(COUNTIFS(EmployeeData!$A:$A,$A9,EmployeeData!$F:$F,V$5)&gt;0,"PT","")</f>
        <v/>
      </c>
      <c r="W9" s="30" t="str">
        <f>IF(COUNTIFS(EmployeeData!$A:$A,$A9,EmployeeData!$F:$F,W$5)&gt;0,"PT","")</f>
        <v/>
      </c>
      <c r="X9" s="30" t="str">
        <f>IF(COUNTIFS(EmployeeData!$A:$A,$A9,EmployeeData!$F:$F,X$5)&gt;0,"PT","")</f>
        <v/>
      </c>
      <c r="Y9" s="30" t="str">
        <f>IF(COUNTIFS(EmployeeData!$A:$A,$A9,EmployeeData!$F:$F,Y$5)&gt;0,"PT","")</f>
        <v/>
      </c>
      <c r="Z9" s="30" t="str">
        <f>IF(COUNTIFS(EmployeeData!$A:$A,$A9,EmployeeData!$F:$F,Z$5)&gt;0,"PT","")</f>
        <v/>
      </c>
      <c r="AA9" s="30" t="s">
        <v>126</v>
      </c>
      <c r="AB9" s="30" t="str">
        <f>IF(COUNTIFS(EmployeeData!$A:$A,$A9,EmployeeData!$F:$F,AB$5)&gt;0,"PT","")</f>
        <v/>
      </c>
      <c r="AC9" s="30" t="str">
        <f>IF(COUNTIFS(EmployeeData!$A:$A,$A9,EmployeeData!$F:$F,AC$5)&gt;0,"PT","")</f>
        <v/>
      </c>
      <c r="AD9" s="30" t="str">
        <f>IF(COUNTIFS(EmployeeData!$A:$A,$A9,EmployeeData!$F:$F,AD$5)&gt;0,"PT","")</f>
        <v/>
      </c>
      <c r="AE9" s="30" t="str">
        <f>IF(COUNTIFS(EmployeeData!$A:$A,$A9,EmployeeData!$F:$F,AE$5)&gt;0,"PT","")</f>
        <v/>
      </c>
      <c r="AF9" s="30" t="str">
        <f>IF(COUNTIFS(EmployeeData!$A:$A,$A9,EmployeeData!$F:$F,AF$5)&gt;0,"PT","")</f>
        <v/>
      </c>
      <c r="AG9" s="8">
        <f t="shared" si="5"/>
        <v>0</v>
      </c>
      <c r="AH9" s="8">
        <f t="shared" si="3"/>
        <v>0</v>
      </c>
      <c r="AI9" s="8">
        <f t="shared" si="1"/>
        <v>0</v>
      </c>
      <c r="AJ9" s="8">
        <f t="shared" si="4"/>
        <v>0</v>
      </c>
      <c r="AK9" s="8">
        <f t="shared" si="2"/>
        <v>0</v>
      </c>
      <c r="AL9" s="32"/>
      <c r="AM9" s="37" t="s">
        <v>123</v>
      </c>
      <c r="AN9" s="34" t="s">
        <v>124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s="3" customFormat="1" ht="25.15" customHeight="1" x14ac:dyDescent="0.55000000000000004">
      <c r="A10" s="10" t="s">
        <v>36</v>
      </c>
      <c r="B10" s="30" t="s">
        <v>126</v>
      </c>
      <c r="C10" s="30" t="str">
        <f>IF(COUNTIFS(EmployeeData!$A:$A,$A10,EmployeeData!$F:$F,C$5)&gt;0,"PT","")</f>
        <v/>
      </c>
      <c r="D10" s="30" t="str">
        <f>IF(COUNTIFS(EmployeeData!$A:$A,$A10,EmployeeData!$F:$F,D$5)&gt;0,"PT","")</f>
        <v/>
      </c>
      <c r="E10" s="30" t="str">
        <f>IF(COUNTIFS(EmployeeData!$A:$A,$A10,EmployeeData!$F:$F,E$5)&gt;0,"PT","")</f>
        <v/>
      </c>
      <c r="F10" s="30" t="str">
        <f>IF(COUNTIFS(EmployeeData!$A:$A,$A10,EmployeeData!$F:$F,F$5)&gt;0,"PT","")</f>
        <v/>
      </c>
      <c r="G10" s="30" t="str">
        <f>IF(COUNTIFS(EmployeeData!$A:$A,$A10,EmployeeData!$F:$F,G$5)&gt;0,"PT","")</f>
        <v/>
      </c>
      <c r="H10" s="30" t="str">
        <f>IF(COUNTIFS(EmployeeData!$A:$A,$A10,EmployeeData!$F:$F,H$5)&gt;0,"PT","")</f>
        <v/>
      </c>
      <c r="I10" s="30" t="str">
        <f>IF(COUNTIFS(EmployeeData!$A:$A,$A10,EmployeeData!$F:$F,I$5)&gt;0,"PT","")</f>
        <v/>
      </c>
      <c r="J10" s="30" t="str">
        <f>IF(COUNTIFS(EmployeeData!$A:$A,$A10,EmployeeData!$F:$F,J$5)&gt;0,"PT","")</f>
        <v/>
      </c>
      <c r="K10" s="30" t="str">
        <f>IF(COUNTIFS(EmployeeData!$A:$A,$A10,EmployeeData!$F:$F,K$5)&gt;0,"PT","")</f>
        <v/>
      </c>
      <c r="L10" s="30" t="str">
        <f>IF(COUNTIFS(EmployeeData!$A:$A,$A10,EmployeeData!$F:$F,L$5)&gt;0,"PT","")</f>
        <v/>
      </c>
      <c r="M10" s="30" t="str">
        <f>IF(COUNTIFS(EmployeeData!$A:$A,$A10,EmployeeData!$F:$F,M$5)&gt;0,"PT","")</f>
        <v/>
      </c>
      <c r="N10" s="30" t="str">
        <f>IF(COUNTIFS(EmployeeData!$A:$A,$A10,EmployeeData!$F:$F,N$5)&gt;0,"PT","")</f>
        <v/>
      </c>
      <c r="O10" s="30" t="str">
        <f>IF(COUNTIFS(EmployeeData!$A:$A,$A10,EmployeeData!$F:$F,O$5)&gt;0,"PT","")</f>
        <v/>
      </c>
      <c r="P10" s="30" t="str">
        <f>IF(COUNTIFS(EmployeeData!$A:$A,$A10,EmployeeData!$F:$F,P$5)&gt;0,"PT","")</f>
        <v/>
      </c>
      <c r="Q10" s="30" t="str">
        <f>IF(COUNTIFS(EmployeeData!$A:$A,$A10,EmployeeData!$F:$F,Q$5)&gt;0,"PT","")</f>
        <v/>
      </c>
      <c r="R10" s="30" t="str">
        <f>IF(COUNTIFS(EmployeeData!$A:$A,$A10,EmployeeData!$F:$F,R$5)&gt;0,"PT","")</f>
        <v/>
      </c>
      <c r="S10" s="30" t="str">
        <f>IF(COUNTIFS(EmployeeData!$A:$A,$A10,EmployeeData!$F:$F,S$5)&gt;0,"PT","")</f>
        <v/>
      </c>
      <c r="T10" s="30" t="str">
        <f>IF(COUNTIFS(EmployeeData!$A:$A,$A10,EmployeeData!$F:$F,T$5)&gt;0,"PT","")</f>
        <v/>
      </c>
      <c r="U10" s="30" t="str">
        <f>IF(COUNTIFS(EmployeeData!$A:$A,$A10,EmployeeData!$F:$F,U$5)&gt;0,"PT","")</f>
        <v/>
      </c>
      <c r="V10" s="30" t="str">
        <f>IF(COUNTIFS(EmployeeData!$A:$A,$A10,EmployeeData!$F:$F,V$5)&gt;0,"PT","")</f>
        <v/>
      </c>
      <c r="W10" s="30" t="str">
        <f>IF(COUNTIFS(EmployeeData!$A:$A,$A10,EmployeeData!$F:$F,W$5)&gt;0,"PT","")</f>
        <v/>
      </c>
      <c r="X10" s="30" t="str">
        <f>IF(COUNTIFS(EmployeeData!$A:$A,$A10,EmployeeData!$F:$F,X$5)&gt;0,"PT","")</f>
        <v/>
      </c>
      <c r="Y10" s="30" t="str">
        <f>IF(COUNTIFS(EmployeeData!$A:$A,$A10,EmployeeData!$F:$F,Y$5)&gt;0,"PT","")</f>
        <v/>
      </c>
      <c r="Z10" s="30" t="str">
        <f>IF(COUNTIFS(EmployeeData!$A:$A,$A10,EmployeeData!$F:$F,Z$5)&gt;0,"PT","")</f>
        <v/>
      </c>
      <c r="AA10" s="30" t="s">
        <v>126</v>
      </c>
      <c r="AB10" s="30" t="str">
        <f>IF(COUNTIFS(EmployeeData!$A:$A,$A10,EmployeeData!$F:$F,AB$5)&gt;0,"PT","")</f>
        <v/>
      </c>
      <c r="AC10" s="30" t="str">
        <f>IF(COUNTIFS(EmployeeData!$A:$A,$A10,EmployeeData!$F:$F,AC$5)&gt;0,"PT","")</f>
        <v/>
      </c>
      <c r="AD10" s="30" t="str">
        <f>IF(COUNTIFS(EmployeeData!$A:$A,$A10,EmployeeData!$F:$F,AD$5)&gt;0,"PT","")</f>
        <v/>
      </c>
      <c r="AE10" s="30" t="str">
        <f>IF(COUNTIFS(EmployeeData!$A:$A,$A10,EmployeeData!$F:$F,AE$5)&gt;0,"PT","")</f>
        <v/>
      </c>
      <c r="AF10" s="30" t="str">
        <f>IF(COUNTIFS(EmployeeData!$A:$A,$A10,EmployeeData!$F:$F,AF$5)&gt;0,"PT","")</f>
        <v/>
      </c>
      <c r="AG10" s="8">
        <f t="shared" si="5"/>
        <v>0</v>
      </c>
      <c r="AH10" s="8">
        <f t="shared" si="3"/>
        <v>0</v>
      </c>
      <c r="AI10" s="8">
        <f t="shared" si="1"/>
        <v>0</v>
      </c>
      <c r="AJ10" s="8">
        <f t="shared" si="4"/>
        <v>0</v>
      </c>
      <c r="AK10" s="8">
        <f t="shared" si="2"/>
        <v>0</v>
      </c>
      <c r="AL10" s="32"/>
      <c r="AM10" s="38" t="s">
        <v>125</v>
      </c>
      <c r="AN10" s="34" t="s">
        <v>126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s="3" customFormat="1" ht="25.15" customHeight="1" x14ac:dyDescent="0.55000000000000004">
      <c r="A11" s="10" t="s">
        <v>46</v>
      </c>
      <c r="B11" s="30" t="s">
        <v>126</v>
      </c>
      <c r="C11" s="30" t="str">
        <f>IF(COUNTIFS(EmployeeData!$A:$A,$A11,EmployeeData!$F:$F,C$5)&gt;0,"PT","")</f>
        <v>PT</v>
      </c>
      <c r="D11" s="30" t="str">
        <f>IF(COUNTIFS(EmployeeData!$A:$A,$A11,EmployeeData!$F:$F,D$5)&gt;0,"PT","")</f>
        <v/>
      </c>
      <c r="E11" s="30" t="str">
        <f>IF(COUNTIFS(EmployeeData!$A:$A,$A11,EmployeeData!$F:$F,E$5)&gt;0,"PT","")</f>
        <v/>
      </c>
      <c r="F11" s="30" t="str">
        <f>IF(COUNTIFS(EmployeeData!$A:$A,$A11,EmployeeData!$F:$F,F$5)&gt;0,"PT","")</f>
        <v/>
      </c>
      <c r="G11" s="30" t="str">
        <f>IF(COUNTIFS(EmployeeData!$A:$A,$A11,EmployeeData!$F:$F,G$5)&gt;0,"PT","")</f>
        <v/>
      </c>
      <c r="H11" s="30" t="str">
        <f>IF(COUNTIFS(EmployeeData!$A:$A,$A11,EmployeeData!$F:$F,H$5)&gt;0,"PT","")</f>
        <v/>
      </c>
      <c r="I11" s="30" t="str">
        <f>IF(COUNTIFS(EmployeeData!$A:$A,$A11,EmployeeData!$F:$F,I$5)&gt;0,"PT","")</f>
        <v/>
      </c>
      <c r="J11" s="30" t="str">
        <f>IF(COUNTIFS(EmployeeData!$A:$A,$A11,EmployeeData!$F:$F,J$5)&gt;0,"PT","")</f>
        <v/>
      </c>
      <c r="K11" s="30" t="str">
        <f>IF(COUNTIFS(EmployeeData!$A:$A,$A11,EmployeeData!$F:$F,K$5)&gt;0,"PT","")</f>
        <v/>
      </c>
      <c r="L11" s="30" t="str">
        <f>IF(COUNTIFS(EmployeeData!$A:$A,$A11,EmployeeData!$F:$F,L$5)&gt;0,"PT","")</f>
        <v/>
      </c>
      <c r="M11" s="30" t="str">
        <f>IF(COUNTIFS(EmployeeData!$A:$A,$A11,EmployeeData!$F:$F,M$5)&gt;0,"PT","")</f>
        <v/>
      </c>
      <c r="N11" s="30" t="str">
        <f>IF(COUNTIFS(EmployeeData!$A:$A,$A11,EmployeeData!$F:$F,N$5)&gt;0,"PT","")</f>
        <v/>
      </c>
      <c r="O11" s="30" t="str">
        <f>IF(COUNTIFS(EmployeeData!$A:$A,$A11,EmployeeData!$F:$F,O$5)&gt;0,"PT","")</f>
        <v/>
      </c>
      <c r="P11" s="30" t="str">
        <f>IF(COUNTIFS(EmployeeData!$A:$A,$A11,EmployeeData!$F:$F,P$5)&gt;0,"PT","")</f>
        <v/>
      </c>
      <c r="Q11" s="30" t="str">
        <f>IF(COUNTIFS(EmployeeData!$A:$A,$A11,EmployeeData!$F:$F,Q$5)&gt;0,"PT","")</f>
        <v/>
      </c>
      <c r="R11" s="30" t="str">
        <f>IF(COUNTIFS(EmployeeData!$A:$A,$A11,EmployeeData!$F:$F,R$5)&gt;0,"PT","")</f>
        <v/>
      </c>
      <c r="S11" s="30" t="str">
        <f>IF(COUNTIFS(EmployeeData!$A:$A,$A11,EmployeeData!$F:$F,S$5)&gt;0,"PT","")</f>
        <v/>
      </c>
      <c r="T11" s="30" t="str">
        <f>IF(COUNTIFS(EmployeeData!$A:$A,$A11,EmployeeData!$F:$F,T$5)&gt;0,"PT","")</f>
        <v/>
      </c>
      <c r="U11" s="30" t="str">
        <f>IF(COUNTIFS(EmployeeData!$A:$A,$A11,EmployeeData!$F:$F,U$5)&gt;0,"PT","")</f>
        <v/>
      </c>
      <c r="V11" s="30" t="str">
        <f>IF(COUNTIFS(EmployeeData!$A:$A,$A11,EmployeeData!$F:$F,V$5)&gt;0,"PT","")</f>
        <v/>
      </c>
      <c r="W11" s="30" t="str">
        <f>IF(COUNTIFS(EmployeeData!$A:$A,$A11,EmployeeData!$F:$F,W$5)&gt;0,"PT","")</f>
        <v/>
      </c>
      <c r="X11" s="30" t="str">
        <f>IF(COUNTIFS(EmployeeData!$A:$A,$A11,EmployeeData!$F:$F,X$5)&gt;0,"PT","")</f>
        <v/>
      </c>
      <c r="Y11" s="30" t="str">
        <f>IF(COUNTIFS(EmployeeData!$A:$A,$A11,EmployeeData!$F:$F,Y$5)&gt;0,"PT","")</f>
        <v/>
      </c>
      <c r="Z11" s="30" t="str">
        <f>IF(COUNTIFS(EmployeeData!$A:$A,$A11,EmployeeData!$F:$F,Z$5)&gt;0,"PT","")</f>
        <v/>
      </c>
      <c r="AA11" s="30" t="s">
        <v>126</v>
      </c>
      <c r="AB11" s="30" t="str">
        <f>IF(COUNTIFS(EmployeeData!$A:$A,$A11,EmployeeData!$F:$F,AB$5)&gt;0,"PT","")</f>
        <v/>
      </c>
      <c r="AC11" s="30" t="str">
        <f>IF(COUNTIFS(EmployeeData!$A:$A,$A11,EmployeeData!$F:$F,AC$5)&gt;0,"PT","")</f>
        <v/>
      </c>
      <c r="AD11" s="30" t="str">
        <f>IF(COUNTIFS(EmployeeData!$A:$A,$A11,EmployeeData!$F:$F,AD$5)&gt;0,"PT","")</f>
        <v/>
      </c>
      <c r="AE11" s="30" t="str">
        <f>IF(COUNTIFS(EmployeeData!$A:$A,$A11,EmployeeData!$F:$F,AE$5)&gt;0,"PT","")</f>
        <v/>
      </c>
      <c r="AF11" s="30" t="str">
        <f>IF(COUNTIFS(EmployeeData!$A:$A,$A11,EmployeeData!$F:$F,AF$5)&gt;0,"PT","")</f>
        <v/>
      </c>
      <c r="AG11" s="8">
        <f t="shared" si="5"/>
        <v>1</v>
      </c>
      <c r="AH11" s="8">
        <f t="shared" si="3"/>
        <v>0</v>
      </c>
      <c r="AI11" s="8">
        <f t="shared" si="1"/>
        <v>0</v>
      </c>
      <c r="AJ11" s="8">
        <f t="shared" si="4"/>
        <v>0</v>
      </c>
      <c r="AK11" s="8">
        <f t="shared" si="2"/>
        <v>0</v>
      </c>
      <c r="AL11" s="32"/>
      <c r="AM11" s="39" t="s">
        <v>116</v>
      </c>
      <c r="AN11" s="34" t="s">
        <v>127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s="3" customFormat="1" ht="25.15" customHeight="1" x14ac:dyDescent="0.55000000000000004">
      <c r="A12" s="10" t="s">
        <v>43</v>
      </c>
      <c r="B12" s="30" t="s">
        <v>126</v>
      </c>
      <c r="C12" s="30" t="str">
        <f>IF(COUNTIFS(EmployeeData!$A:$A,$A12,EmployeeData!$F:$F,C$5)&gt;0,"PT","")</f>
        <v>PT</v>
      </c>
      <c r="D12" s="30" t="str">
        <f>IF(COUNTIFS(EmployeeData!$A:$A,$A12,EmployeeData!$F:$F,D$5)&gt;0,"PT","")</f>
        <v/>
      </c>
      <c r="E12" s="30" t="str">
        <f>IF(COUNTIFS(EmployeeData!$A:$A,$A12,EmployeeData!$F:$F,E$5)&gt;0,"PT","")</f>
        <v/>
      </c>
      <c r="F12" s="30" t="str">
        <f>IF(COUNTIFS(EmployeeData!$A:$A,$A12,EmployeeData!$F:$F,F$5)&gt;0,"PT","")</f>
        <v/>
      </c>
      <c r="G12" s="30" t="str">
        <f>IF(COUNTIFS(EmployeeData!$A:$A,$A12,EmployeeData!$F:$F,G$5)&gt;0,"PT","")</f>
        <v/>
      </c>
      <c r="H12" s="30" t="str">
        <f>IF(COUNTIFS(EmployeeData!$A:$A,$A12,EmployeeData!$F:$F,H$5)&gt;0,"PT","")</f>
        <v/>
      </c>
      <c r="I12" s="30" t="str">
        <f>IF(COUNTIFS(EmployeeData!$A:$A,$A12,EmployeeData!$F:$F,I$5)&gt;0,"PT","")</f>
        <v/>
      </c>
      <c r="J12" s="30" t="str">
        <f>IF(COUNTIFS(EmployeeData!$A:$A,$A12,EmployeeData!$F:$F,J$5)&gt;0,"PT","")</f>
        <v/>
      </c>
      <c r="K12" s="30" t="str">
        <f>IF(COUNTIFS(EmployeeData!$A:$A,$A12,EmployeeData!$F:$F,K$5)&gt;0,"PT","")</f>
        <v/>
      </c>
      <c r="L12" s="30" t="str">
        <f>IF(COUNTIFS(EmployeeData!$A:$A,$A12,EmployeeData!$F:$F,L$5)&gt;0,"PT","")</f>
        <v/>
      </c>
      <c r="M12" s="30" t="str">
        <f>IF(COUNTIFS(EmployeeData!$A:$A,$A12,EmployeeData!$F:$F,M$5)&gt;0,"PT","")</f>
        <v/>
      </c>
      <c r="N12" s="30" t="str">
        <f>IF(COUNTIFS(EmployeeData!$A:$A,$A12,EmployeeData!$F:$F,N$5)&gt;0,"PT","")</f>
        <v/>
      </c>
      <c r="O12" s="30" t="str">
        <f>IF(COUNTIFS(EmployeeData!$A:$A,$A12,EmployeeData!$F:$F,O$5)&gt;0,"PT","")</f>
        <v/>
      </c>
      <c r="P12" s="30" t="str">
        <f>IF(COUNTIFS(EmployeeData!$A:$A,$A12,EmployeeData!$F:$F,P$5)&gt;0,"PT","")</f>
        <v/>
      </c>
      <c r="Q12" s="30" t="str">
        <f>IF(COUNTIFS(EmployeeData!$A:$A,$A12,EmployeeData!$F:$F,Q$5)&gt;0,"PT","")</f>
        <v>PT</v>
      </c>
      <c r="R12" s="30" t="str">
        <f>IF(COUNTIFS(EmployeeData!$A:$A,$A12,EmployeeData!$F:$F,R$5)&gt;0,"PT","")</f>
        <v/>
      </c>
      <c r="S12" s="30" t="str">
        <f>IF(COUNTIFS(EmployeeData!$A:$A,$A12,EmployeeData!$F:$F,S$5)&gt;0,"PT","")</f>
        <v/>
      </c>
      <c r="T12" s="30" t="str">
        <f>IF(COUNTIFS(EmployeeData!$A:$A,$A12,EmployeeData!$F:$F,T$5)&gt;0,"PT","")</f>
        <v/>
      </c>
      <c r="U12" s="30" t="str">
        <f>IF(COUNTIFS(EmployeeData!$A:$A,$A12,EmployeeData!$F:$F,U$5)&gt;0,"PT","")</f>
        <v/>
      </c>
      <c r="V12" s="30" t="str">
        <f>IF(COUNTIFS(EmployeeData!$A:$A,$A12,EmployeeData!$F:$F,V$5)&gt;0,"PT","")</f>
        <v/>
      </c>
      <c r="W12" s="30" t="str">
        <f>IF(COUNTIFS(EmployeeData!$A:$A,$A12,EmployeeData!$F:$F,W$5)&gt;0,"PT","")</f>
        <v/>
      </c>
      <c r="X12" s="30" t="str">
        <f>IF(COUNTIFS(EmployeeData!$A:$A,$A12,EmployeeData!$F:$F,X$5)&gt;0,"PT","")</f>
        <v/>
      </c>
      <c r="Y12" s="30" t="str">
        <f>IF(COUNTIFS(EmployeeData!$A:$A,$A12,EmployeeData!$F:$F,Y$5)&gt;0,"PT","")</f>
        <v/>
      </c>
      <c r="Z12" s="30" t="str">
        <f>IF(COUNTIFS(EmployeeData!$A:$A,$A12,EmployeeData!$F:$F,Z$5)&gt;0,"PT","")</f>
        <v/>
      </c>
      <c r="AA12" s="30" t="s">
        <v>126</v>
      </c>
      <c r="AB12" s="30" t="str">
        <f>IF(COUNTIFS(EmployeeData!$A:$A,$A12,EmployeeData!$F:$F,AB$5)&gt;0,"PT","")</f>
        <v/>
      </c>
      <c r="AC12" s="30" t="str">
        <f>IF(COUNTIFS(EmployeeData!$A:$A,$A12,EmployeeData!$F:$F,AC$5)&gt;0,"PT","")</f>
        <v/>
      </c>
      <c r="AD12" s="30" t="str">
        <f>IF(COUNTIFS(EmployeeData!$A:$A,$A12,EmployeeData!$F:$F,AD$5)&gt;0,"PT","")</f>
        <v/>
      </c>
      <c r="AE12" s="30" t="str">
        <f>IF(COUNTIFS(EmployeeData!$A:$A,$A12,EmployeeData!$F:$F,AE$5)&gt;0,"PT","")</f>
        <v/>
      </c>
      <c r="AF12" s="30" t="str">
        <f>IF(COUNTIFS(EmployeeData!$A:$A,$A12,EmployeeData!$F:$F,AF$5)&gt;0,"PT","")</f>
        <v/>
      </c>
      <c r="AG12" s="8">
        <f t="shared" si="5"/>
        <v>2</v>
      </c>
      <c r="AH12" s="8">
        <f t="shared" si="3"/>
        <v>0</v>
      </c>
      <c r="AI12" s="8">
        <f t="shared" si="1"/>
        <v>0</v>
      </c>
      <c r="AJ12" s="8">
        <f t="shared" si="4"/>
        <v>0</v>
      </c>
      <c r="AK12" s="8">
        <f t="shared" si="2"/>
        <v>0</v>
      </c>
      <c r="AL12" s="3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s="3" customFormat="1" ht="25.15" customHeight="1" x14ac:dyDescent="0.55000000000000004">
      <c r="A13" s="10" t="s">
        <v>47</v>
      </c>
      <c r="B13" s="30" t="s">
        <v>126</v>
      </c>
      <c r="C13" s="30" t="str">
        <f>IF(COUNTIFS(EmployeeData!$A:$A,$A13,EmployeeData!$F:$F,C$5)&gt;0,"PT","")</f>
        <v/>
      </c>
      <c r="D13" s="30" t="str">
        <f>IF(COUNTIFS(EmployeeData!$A:$A,$A13,EmployeeData!$F:$F,D$5)&gt;0,"PT","")</f>
        <v/>
      </c>
      <c r="E13" s="30" t="str">
        <f>IF(COUNTIFS(EmployeeData!$A:$A,$A13,EmployeeData!$F:$F,E$5)&gt;0,"PT","")</f>
        <v/>
      </c>
      <c r="F13" s="30" t="str">
        <f>IF(COUNTIFS(EmployeeData!$A:$A,$A13,EmployeeData!$F:$F,F$5)&gt;0,"PT","")</f>
        <v/>
      </c>
      <c r="G13" s="30" t="str">
        <f>IF(COUNTIFS(EmployeeData!$A:$A,$A13,EmployeeData!$F:$F,G$5)&gt;0,"PT","")</f>
        <v/>
      </c>
      <c r="H13" s="30" t="str">
        <f>IF(COUNTIFS(EmployeeData!$A:$A,$A13,EmployeeData!$F:$F,H$5)&gt;0,"PT","")</f>
        <v/>
      </c>
      <c r="I13" s="30" t="str">
        <f>IF(COUNTIFS(EmployeeData!$A:$A,$A13,EmployeeData!$F:$F,I$5)&gt;0,"PT","")</f>
        <v/>
      </c>
      <c r="J13" s="30" t="str">
        <f>IF(COUNTIFS(EmployeeData!$A:$A,$A13,EmployeeData!$F:$F,J$5)&gt;0,"PT","")</f>
        <v/>
      </c>
      <c r="K13" s="30" t="str">
        <f>IF(COUNTIFS(EmployeeData!$A:$A,$A13,EmployeeData!$F:$F,K$5)&gt;0,"PT","")</f>
        <v/>
      </c>
      <c r="L13" s="30" t="str">
        <f>IF(COUNTIFS(EmployeeData!$A:$A,$A13,EmployeeData!$F:$F,L$5)&gt;0,"PT","")</f>
        <v/>
      </c>
      <c r="M13" s="30" t="str">
        <f>IF(COUNTIFS(EmployeeData!$A:$A,$A13,EmployeeData!$F:$F,M$5)&gt;0,"PT","")</f>
        <v/>
      </c>
      <c r="N13" s="30" t="str">
        <f>IF(COUNTIFS(EmployeeData!$A:$A,$A13,EmployeeData!$F:$F,N$5)&gt;0,"PT","")</f>
        <v/>
      </c>
      <c r="O13" s="30" t="str">
        <f>IF(COUNTIFS(EmployeeData!$A:$A,$A13,EmployeeData!$F:$F,O$5)&gt;0,"PT","")</f>
        <v/>
      </c>
      <c r="P13" s="30" t="str">
        <f>IF(COUNTIFS(EmployeeData!$A:$A,$A13,EmployeeData!$F:$F,P$5)&gt;0,"PT","")</f>
        <v/>
      </c>
      <c r="Q13" s="30" t="str">
        <f>IF(COUNTIFS(EmployeeData!$A:$A,$A13,EmployeeData!$F:$F,Q$5)&gt;0,"PT","")</f>
        <v/>
      </c>
      <c r="R13" s="30" t="str">
        <f>IF(COUNTIFS(EmployeeData!$A:$A,$A13,EmployeeData!$F:$F,R$5)&gt;0,"PT","")</f>
        <v/>
      </c>
      <c r="S13" s="30" t="str">
        <f>IF(COUNTIFS(EmployeeData!$A:$A,$A13,EmployeeData!$F:$F,S$5)&gt;0,"PT","")</f>
        <v/>
      </c>
      <c r="T13" s="30" t="str">
        <f>IF(COUNTIFS(EmployeeData!$A:$A,$A13,EmployeeData!$F:$F,T$5)&gt;0,"PT","")</f>
        <v/>
      </c>
      <c r="U13" s="30" t="str">
        <f>IF(COUNTIFS(EmployeeData!$A:$A,$A13,EmployeeData!$F:$F,U$5)&gt;0,"PT","")</f>
        <v/>
      </c>
      <c r="V13" s="30" t="str">
        <f>IF(COUNTIFS(EmployeeData!$A:$A,$A13,EmployeeData!$F:$F,V$5)&gt;0,"PT","")</f>
        <v/>
      </c>
      <c r="W13" s="30" t="str">
        <f>IF(COUNTIFS(EmployeeData!$A:$A,$A13,EmployeeData!$F:$F,W$5)&gt;0,"PT","")</f>
        <v/>
      </c>
      <c r="X13" s="30" t="str">
        <f>IF(COUNTIFS(EmployeeData!$A:$A,$A13,EmployeeData!$F:$F,X$5)&gt;0,"PT","")</f>
        <v/>
      </c>
      <c r="Y13" s="30" t="str">
        <f>IF(COUNTIFS(EmployeeData!$A:$A,$A13,EmployeeData!$F:$F,Y$5)&gt;0,"PT","")</f>
        <v/>
      </c>
      <c r="Z13" s="30" t="str">
        <f>IF(COUNTIFS(EmployeeData!$A:$A,$A13,EmployeeData!$F:$F,Z$5)&gt;0,"PT","")</f>
        <v/>
      </c>
      <c r="AA13" s="30" t="s">
        <v>126</v>
      </c>
      <c r="AB13" s="30" t="str">
        <f>IF(COUNTIFS(EmployeeData!$A:$A,$A13,EmployeeData!$F:$F,AB$5)&gt;0,"PT","")</f>
        <v/>
      </c>
      <c r="AC13" s="30" t="str">
        <f>IF(COUNTIFS(EmployeeData!$A:$A,$A13,EmployeeData!$F:$F,AC$5)&gt;0,"PT","")</f>
        <v/>
      </c>
      <c r="AD13" s="30" t="str">
        <f>IF(COUNTIFS(EmployeeData!$A:$A,$A13,EmployeeData!$F:$F,AD$5)&gt;0,"PT","")</f>
        <v/>
      </c>
      <c r="AE13" s="30" t="str">
        <f>IF(COUNTIFS(EmployeeData!$A:$A,$A13,EmployeeData!$F:$F,AE$5)&gt;0,"PT","")</f>
        <v/>
      </c>
      <c r="AF13" s="30" t="str">
        <f>IF(COUNTIFS(EmployeeData!$A:$A,$A13,EmployeeData!$F:$F,AF$5)&gt;0,"PT","")</f>
        <v/>
      </c>
      <c r="AG13" s="8">
        <f t="shared" si="5"/>
        <v>0</v>
      </c>
      <c r="AH13" s="8">
        <f t="shared" si="3"/>
        <v>0</v>
      </c>
      <c r="AI13" s="8">
        <f t="shared" si="1"/>
        <v>0</v>
      </c>
      <c r="AJ13" s="8">
        <f t="shared" si="4"/>
        <v>0</v>
      </c>
      <c r="AK13" s="8">
        <f t="shared" si="2"/>
        <v>0</v>
      </c>
      <c r="AL13" s="3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s="3" customFormat="1" ht="25.15" customHeight="1" x14ac:dyDescent="0.55000000000000004">
      <c r="A14" s="10" t="s">
        <v>32</v>
      </c>
      <c r="B14" s="30" t="s">
        <v>126</v>
      </c>
      <c r="C14" s="30" t="str">
        <f>IF(COUNTIFS(EmployeeData!$A:$A,$A14,EmployeeData!$F:$F,C$5)&gt;0,"PT","")</f>
        <v/>
      </c>
      <c r="D14" s="30" t="str">
        <f>IF(COUNTIFS(EmployeeData!$A:$A,$A14,EmployeeData!$F:$F,D$5)&gt;0,"PT","")</f>
        <v/>
      </c>
      <c r="E14" s="30" t="str">
        <f>IF(COUNTIFS(EmployeeData!$A:$A,$A14,EmployeeData!$F:$F,E$5)&gt;0,"PT","")</f>
        <v/>
      </c>
      <c r="F14" s="30" t="str">
        <f>IF(COUNTIFS(EmployeeData!$A:$A,$A14,EmployeeData!$F:$F,F$5)&gt;0,"PT","")</f>
        <v/>
      </c>
      <c r="G14" s="30" t="str">
        <f>IF(COUNTIFS(EmployeeData!$A:$A,$A14,EmployeeData!$F:$F,G$5)&gt;0,"PT","")</f>
        <v/>
      </c>
      <c r="H14" s="30" t="str">
        <f>IF(COUNTIFS(EmployeeData!$A:$A,$A14,EmployeeData!$F:$F,H$5)&gt;0,"PT","")</f>
        <v/>
      </c>
      <c r="I14" s="30" t="str">
        <f>IF(COUNTIFS(EmployeeData!$A:$A,$A14,EmployeeData!$F:$F,I$5)&gt;0,"PT","")</f>
        <v/>
      </c>
      <c r="J14" s="30" t="str">
        <f>IF(COUNTIFS(EmployeeData!$A:$A,$A14,EmployeeData!$F:$F,J$5)&gt;0,"PT","")</f>
        <v/>
      </c>
      <c r="K14" s="30" t="str">
        <f>IF(COUNTIFS(EmployeeData!$A:$A,$A14,EmployeeData!$F:$F,K$5)&gt;0,"PT","")</f>
        <v/>
      </c>
      <c r="L14" s="30" t="str">
        <f>IF(COUNTIFS(EmployeeData!$A:$A,$A14,EmployeeData!$F:$F,L$5)&gt;0,"PT","")</f>
        <v/>
      </c>
      <c r="M14" s="30" t="str">
        <f>IF(COUNTIFS(EmployeeData!$A:$A,$A14,EmployeeData!$F:$F,M$5)&gt;0,"PT","")</f>
        <v/>
      </c>
      <c r="N14" s="30" t="str">
        <f>IF(COUNTIFS(EmployeeData!$A:$A,$A14,EmployeeData!$F:$F,N$5)&gt;0,"PT","")</f>
        <v/>
      </c>
      <c r="O14" s="30" t="str">
        <f>IF(COUNTIFS(EmployeeData!$A:$A,$A14,EmployeeData!$F:$F,O$5)&gt;0,"PT","")</f>
        <v/>
      </c>
      <c r="P14" s="30" t="str">
        <f>IF(COUNTIFS(EmployeeData!$A:$A,$A14,EmployeeData!$F:$F,P$5)&gt;0,"PT","")</f>
        <v/>
      </c>
      <c r="Q14" s="30" t="str">
        <f>IF(COUNTIFS(EmployeeData!$A:$A,$A14,EmployeeData!$F:$F,Q$5)&gt;0,"PT","")</f>
        <v/>
      </c>
      <c r="R14" s="30" t="str">
        <f>IF(COUNTIFS(EmployeeData!$A:$A,$A14,EmployeeData!$F:$F,R$5)&gt;0,"PT","")</f>
        <v/>
      </c>
      <c r="S14" s="30" t="str">
        <f>IF(COUNTIFS(EmployeeData!$A:$A,$A14,EmployeeData!$F:$F,S$5)&gt;0,"PT","")</f>
        <v/>
      </c>
      <c r="T14" s="30" t="str">
        <f>IF(COUNTIFS(EmployeeData!$A:$A,$A14,EmployeeData!$F:$F,T$5)&gt;0,"PT","")</f>
        <v/>
      </c>
      <c r="U14" s="30" t="str">
        <f>IF(COUNTIFS(EmployeeData!$A:$A,$A14,EmployeeData!$F:$F,U$5)&gt;0,"PT","")</f>
        <v/>
      </c>
      <c r="V14" s="30" t="str">
        <f>IF(COUNTIFS(EmployeeData!$A:$A,$A14,EmployeeData!$F:$F,V$5)&gt;0,"PT","")</f>
        <v/>
      </c>
      <c r="W14" s="30" t="str">
        <f>IF(COUNTIFS(EmployeeData!$A:$A,$A14,EmployeeData!$F:$F,W$5)&gt;0,"PT","")</f>
        <v/>
      </c>
      <c r="X14" s="30" t="str">
        <f>IF(COUNTIFS(EmployeeData!$A:$A,$A14,EmployeeData!$F:$F,X$5)&gt;0,"PT","")</f>
        <v/>
      </c>
      <c r="Y14" s="30" t="str">
        <f>IF(COUNTIFS(EmployeeData!$A:$A,$A14,EmployeeData!$F:$F,Y$5)&gt;0,"PT","")</f>
        <v/>
      </c>
      <c r="Z14" s="30" t="str">
        <f>IF(COUNTIFS(EmployeeData!$A:$A,$A14,EmployeeData!$F:$F,Z$5)&gt;0,"PT","")</f>
        <v/>
      </c>
      <c r="AA14" s="30" t="s">
        <v>126</v>
      </c>
      <c r="AB14" s="30" t="str">
        <f>IF(COUNTIFS(EmployeeData!$A:$A,$A14,EmployeeData!$F:$F,AB$5)&gt;0,"PT","")</f>
        <v/>
      </c>
      <c r="AC14" s="30" t="str">
        <f>IF(COUNTIFS(EmployeeData!$A:$A,$A14,EmployeeData!$F:$F,AC$5)&gt;0,"PT","")</f>
        <v/>
      </c>
      <c r="AD14" s="30" t="str">
        <f>IF(COUNTIFS(EmployeeData!$A:$A,$A14,EmployeeData!$F:$F,AD$5)&gt;0,"PT","")</f>
        <v/>
      </c>
      <c r="AE14" s="30" t="str">
        <f>IF(COUNTIFS(EmployeeData!$A:$A,$A14,EmployeeData!$F:$F,AE$5)&gt;0,"PT","")</f>
        <v/>
      </c>
      <c r="AF14" s="30" t="str">
        <f>IF(COUNTIFS(EmployeeData!$A:$A,$A14,EmployeeData!$F:$F,AF$5)&gt;0,"PT","")</f>
        <v/>
      </c>
      <c r="AG14" s="8">
        <f t="shared" si="5"/>
        <v>0</v>
      </c>
      <c r="AH14" s="8">
        <f t="shared" si="3"/>
        <v>0</v>
      </c>
      <c r="AI14" s="8">
        <f t="shared" si="1"/>
        <v>0</v>
      </c>
      <c r="AJ14" s="8">
        <f t="shared" si="4"/>
        <v>0</v>
      </c>
      <c r="AK14" s="8">
        <f t="shared" si="2"/>
        <v>0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s="3" customFormat="1" ht="25.15" customHeight="1" x14ac:dyDescent="0.55000000000000004">
      <c r="A15" s="10" t="s">
        <v>40</v>
      </c>
      <c r="B15" s="30" t="s">
        <v>126</v>
      </c>
      <c r="C15" s="30" t="str">
        <f>IF(COUNTIFS(EmployeeData!$A:$A,$A15,EmployeeData!$F:$F,C$5)&gt;0,"PT","")</f>
        <v/>
      </c>
      <c r="D15" s="30" t="str">
        <f>IF(COUNTIFS(EmployeeData!$A:$A,$A15,EmployeeData!$F:$F,D$5)&gt;0,"PT","")</f>
        <v/>
      </c>
      <c r="E15" s="30" t="str">
        <f>IF(COUNTIFS(EmployeeData!$A:$A,$A15,EmployeeData!$F:$F,E$5)&gt;0,"PT","")</f>
        <v/>
      </c>
      <c r="F15" s="30" t="str">
        <f>IF(COUNTIFS(EmployeeData!$A:$A,$A15,EmployeeData!$F:$F,F$5)&gt;0,"PT","")</f>
        <v/>
      </c>
      <c r="G15" s="30" t="str">
        <f>IF(COUNTIFS(EmployeeData!$A:$A,$A15,EmployeeData!$F:$F,G$5)&gt;0,"PT","")</f>
        <v/>
      </c>
      <c r="H15" s="30" t="str">
        <f>IF(COUNTIFS(EmployeeData!$A:$A,$A15,EmployeeData!$F:$F,H$5)&gt;0,"PT","")</f>
        <v/>
      </c>
      <c r="I15" s="30" t="str">
        <f>IF(COUNTIFS(EmployeeData!$A:$A,$A15,EmployeeData!$F:$F,I$5)&gt;0,"PT","")</f>
        <v/>
      </c>
      <c r="J15" s="30" t="str">
        <f>IF(COUNTIFS(EmployeeData!$A:$A,$A15,EmployeeData!$F:$F,J$5)&gt;0,"PT","")</f>
        <v/>
      </c>
      <c r="K15" s="30" t="str">
        <f>IF(COUNTIFS(EmployeeData!$A:$A,$A15,EmployeeData!$F:$F,K$5)&gt;0,"PT","")</f>
        <v/>
      </c>
      <c r="L15" s="30" t="str">
        <f>IF(COUNTIFS(EmployeeData!$A:$A,$A15,EmployeeData!$F:$F,L$5)&gt;0,"PT","")</f>
        <v/>
      </c>
      <c r="M15" s="30" t="str">
        <f>IF(COUNTIFS(EmployeeData!$A:$A,$A15,EmployeeData!$F:$F,M$5)&gt;0,"PT","")</f>
        <v/>
      </c>
      <c r="N15" s="30" t="str">
        <f>IF(COUNTIFS(EmployeeData!$A:$A,$A15,EmployeeData!$F:$F,N$5)&gt;0,"PT","")</f>
        <v/>
      </c>
      <c r="O15" s="30" t="str">
        <f>IF(COUNTIFS(EmployeeData!$A:$A,$A15,EmployeeData!$F:$F,O$5)&gt;0,"PT","")</f>
        <v/>
      </c>
      <c r="P15" s="30" t="str">
        <f>IF(COUNTIFS(EmployeeData!$A:$A,$A15,EmployeeData!$F:$F,P$5)&gt;0,"PT","")</f>
        <v/>
      </c>
      <c r="Q15" s="30" t="str">
        <f>IF(COUNTIFS(EmployeeData!$A:$A,$A15,EmployeeData!$F:$F,Q$5)&gt;0,"PT","")</f>
        <v>PT</v>
      </c>
      <c r="R15" s="30" t="str">
        <f>IF(COUNTIFS(EmployeeData!$A:$A,$A15,EmployeeData!$F:$F,R$5)&gt;0,"PT","")</f>
        <v/>
      </c>
      <c r="S15" s="30" t="str">
        <f>IF(COUNTIFS(EmployeeData!$A:$A,$A15,EmployeeData!$F:$F,S$5)&gt;0,"PT","")</f>
        <v/>
      </c>
      <c r="T15" s="30" t="str">
        <f>IF(COUNTIFS(EmployeeData!$A:$A,$A15,EmployeeData!$F:$F,T$5)&gt;0,"PT","")</f>
        <v/>
      </c>
      <c r="U15" s="30" t="str">
        <f>IF(COUNTIFS(EmployeeData!$A:$A,$A15,EmployeeData!$F:$F,U$5)&gt;0,"PT","")</f>
        <v/>
      </c>
      <c r="V15" s="30" t="str">
        <f>IF(COUNTIFS(EmployeeData!$A:$A,$A15,EmployeeData!$F:$F,V$5)&gt;0,"PT","")</f>
        <v/>
      </c>
      <c r="W15" s="30" t="str">
        <f>IF(COUNTIFS(EmployeeData!$A:$A,$A15,EmployeeData!$F:$F,W$5)&gt;0,"PT","")</f>
        <v/>
      </c>
      <c r="X15" s="30" t="str">
        <f>IF(COUNTIFS(EmployeeData!$A:$A,$A15,EmployeeData!$F:$F,X$5)&gt;0,"PT","")</f>
        <v/>
      </c>
      <c r="Y15" s="30" t="str">
        <f>IF(COUNTIFS(EmployeeData!$A:$A,$A15,EmployeeData!$F:$F,Y$5)&gt;0,"PT","")</f>
        <v/>
      </c>
      <c r="Z15" s="30" t="str">
        <f>IF(COUNTIFS(EmployeeData!$A:$A,$A15,EmployeeData!$F:$F,Z$5)&gt;0,"PT","")</f>
        <v/>
      </c>
      <c r="AA15" s="30" t="s">
        <v>126</v>
      </c>
      <c r="AB15" s="30" t="str">
        <f>IF(COUNTIFS(EmployeeData!$A:$A,$A15,EmployeeData!$F:$F,AB$5)&gt;0,"PT","")</f>
        <v/>
      </c>
      <c r="AC15" s="30" t="str">
        <f>IF(COUNTIFS(EmployeeData!$A:$A,$A15,EmployeeData!$F:$F,AC$5)&gt;0,"PT","")</f>
        <v/>
      </c>
      <c r="AD15" s="30" t="str">
        <f>IF(COUNTIFS(EmployeeData!$A:$A,$A15,EmployeeData!$F:$F,AD$5)&gt;0,"PT","")</f>
        <v/>
      </c>
      <c r="AE15" s="30" t="str">
        <f>IF(COUNTIFS(EmployeeData!$A:$A,$A15,EmployeeData!$F:$F,AE$5)&gt;0,"PT","")</f>
        <v/>
      </c>
      <c r="AF15" s="30" t="str">
        <f>IF(COUNTIFS(EmployeeData!$A:$A,$A15,EmployeeData!$F:$F,AF$5)&gt;0,"PT","")</f>
        <v/>
      </c>
      <c r="AG15" s="8">
        <f t="shared" si="5"/>
        <v>1</v>
      </c>
      <c r="AH15" s="8">
        <f t="shared" si="3"/>
        <v>0</v>
      </c>
      <c r="AI15" s="8">
        <f t="shared" si="1"/>
        <v>0</v>
      </c>
      <c r="AJ15" s="8">
        <f t="shared" si="4"/>
        <v>0</v>
      </c>
      <c r="AK15" s="8">
        <f t="shared" si="2"/>
        <v>0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s="3" customFormat="1" ht="25.15" customHeight="1" x14ac:dyDescent="0.55000000000000004">
      <c r="A16" s="10" t="s">
        <v>34</v>
      </c>
      <c r="B16" s="30" t="s">
        <v>126</v>
      </c>
      <c r="C16" s="30" t="str">
        <f>IF(COUNTIFS(EmployeeData!$A:$A,$A16,EmployeeData!$F:$F,C$5)&gt;0,"PT","")</f>
        <v/>
      </c>
      <c r="D16" s="30" t="str">
        <f>IF(COUNTIFS(EmployeeData!$A:$A,$A16,EmployeeData!$F:$F,D$5)&gt;0,"PT","")</f>
        <v/>
      </c>
      <c r="E16" s="30" t="str">
        <f>IF(COUNTIFS(EmployeeData!$A:$A,$A16,EmployeeData!$F:$F,E$5)&gt;0,"PT","")</f>
        <v/>
      </c>
      <c r="F16" s="30" t="str">
        <f>IF(COUNTIFS(EmployeeData!$A:$A,$A16,EmployeeData!$F:$F,F$5)&gt;0,"PT","")</f>
        <v/>
      </c>
      <c r="G16" s="30" t="str">
        <f>IF(COUNTIFS(EmployeeData!$A:$A,$A16,EmployeeData!$F:$F,G$5)&gt;0,"PT","")</f>
        <v/>
      </c>
      <c r="H16" s="30" t="str">
        <f>IF(COUNTIFS(EmployeeData!$A:$A,$A16,EmployeeData!$F:$F,H$5)&gt;0,"PT","")</f>
        <v/>
      </c>
      <c r="I16" s="30" t="str">
        <f>IF(COUNTIFS(EmployeeData!$A:$A,$A16,EmployeeData!$F:$F,I$5)&gt;0,"PT","")</f>
        <v/>
      </c>
      <c r="J16" s="30" t="str">
        <f>IF(COUNTIFS(EmployeeData!$A:$A,$A16,EmployeeData!$F:$F,J$5)&gt;0,"PT","")</f>
        <v/>
      </c>
      <c r="K16" s="30" t="str">
        <f>IF(COUNTIFS(EmployeeData!$A:$A,$A16,EmployeeData!$F:$F,K$5)&gt;0,"PT","")</f>
        <v/>
      </c>
      <c r="L16" s="30" t="str">
        <f>IF(COUNTIFS(EmployeeData!$A:$A,$A16,EmployeeData!$F:$F,L$5)&gt;0,"PT","")</f>
        <v/>
      </c>
      <c r="M16" s="30" t="str">
        <f>IF(COUNTIFS(EmployeeData!$A:$A,$A16,EmployeeData!$F:$F,M$5)&gt;0,"PT","")</f>
        <v/>
      </c>
      <c r="N16" s="30" t="str">
        <f>IF(COUNTIFS(EmployeeData!$A:$A,$A16,EmployeeData!$F:$F,N$5)&gt;0,"PT","")</f>
        <v/>
      </c>
      <c r="O16" s="30" t="str">
        <f>IF(COUNTIFS(EmployeeData!$A:$A,$A16,EmployeeData!$F:$F,O$5)&gt;0,"PT","")</f>
        <v/>
      </c>
      <c r="P16" s="30" t="str">
        <f>IF(COUNTIFS(EmployeeData!$A:$A,$A16,EmployeeData!$F:$F,P$5)&gt;0,"PT","")</f>
        <v/>
      </c>
      <c r="Q16" s="30" t="str">
        <f>IF(COUNTIFS(EmployeeData!$A:$A,$A16,EmployeeData!$F:$F,Q$5)&gt;0,"PT","")</f>
        <v/>
      </c>
      <c r="R16" s="30" t="str">
        <f>IF(COUNTIFS(EmployeeData!$A:$A,$A16,EmployeeData!$F:$F,R$5)&gt;0,"PT","")</f>
        <v/>
      </c>
      <c r="S16" s="30" t="str">
        <f>IF(COUNTIFS(EmployeeData!$A:$A,$A16,EmployeeData!$F:$F,S$5)&gt;0,"PT","")</f>
        <v/>
      </c>
      <c r="T16" s="30" t="str">
        <f>IF(COUNTIFS(EmployeeData!$A:$A,$A16,EmployeeData!$F:$F,T$5)&gt;0,"PT","")</f>
        <v/>
      </c>
      <c r="U16" s="30" t="str">
        <f>IF(COUNTIFS(EmployeeData!$A:$A,$A16,EmployeeData!$F:$F,U$5)&gt;0,"PT","")</f>
        <v/>
      </c>
      <c r="V16" s="30" t="str">
        <f>IF(COUNTIFS(EmployeeData!$A:$A,$A16,EmployeeData!$F:$F,V$5)&gt;0,"PT","")</f>
        <v/>
      </c>
      <c r="W16" s="30" t="str">
        <f>IF(COUNTIFS(EmployeeData!$A:$A,$A16,EmployeeData!$F:$F,W$5)&gt;0,"PT","")</f>
        <v/>
      </c>
      <c r="X16" s="30" t="str">
        <f>IF(COUNTIFS(EmployeeData!$A:$A,$A16,EmployeeData!$F:$F,X$5)&gt;0,"PT","")</f>
        <v/>
      </c>
      <c r="Y16" s="30" t="str">
        <f>IF(COUNTIFS(EmployeeData!$A:$A,$A16,EmployeeData!$F:$F,Y$5)&gt;0,"PT","")</f>
        <v/>
      </c>
      <c r="Z16" s="30" t="str">
        <f>IF(COUNTIFS(EmployeeData!$A:$A,$A16,EmployeeData!$F:$F,Z$5)&gt;0,"PT","")</f>
        <v/>
      </c>
      <c r="AA16" s="30" t="s">
        <v>126</v>
      </c>
      <c r="AB16" s="30" t="str">
        <f>IF(COUNTIFS(EmployeeData!$A:$A,$A16,EmployeeData!$F:$F,AB$5)&gt;0,"PT","")</f>
        <v/>
      </c>
      <c r="AC16" s="30" t="str">
        <f>IF(COUNTIFS(EmployeeData!$A:$A,$A16,EmployeeData!$F:$F,AC$5)&gt;0,"PT","")</f>
        <v/>
      </c>
      <c r="AD16" s="30" t="str">
        <f>IF(COUNTIFS(EmployeeData!$A:$A,$A16,EmployeeData!$F:$F,AD$5)&gt;0,"PT","")</f>
        <v/>
      </c>
      <c r="AE16" s="30" t="str">
        <f>IF(COUNTIFS(EmployeeData!$A:$A,$A16,EmployeeData!$F:$F,AE$5)&gt;0,"PT","")</f>
        <v/>
      </c>
      <c r="AF16" s="30" t="str">
        <f>IF(COUNTIFS(EmployeeData!$A:$A,$A16,EmployeeData!$F:$F,AF$5)&gt;0,"PT","")</f>
        <v/>
      </c>
      <c r="AG16" s="8">
        <f t="shared" si="5"/>
        <v>0</v>
      </c>
      <c r="AH16" s="8">
        <f t="shared" si="3"/>
        <v>0</v>
      </c>
      <c r="AI16" s="8">
        <f t="shared" si="1"/>
        <v>0</v>
      </c>
      <c r="AJ16" s="8">
        <f t="shared" si="4"/>
        <v>0</v>
      </c>
      <c r="AK16" s="8">
        <f t="shared" si="2"/>
        <v>0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s="3" customFormat="1" ht="25.15" customHeight="1" x14ac:dyDescent="0.55000000000000004">
      <c r="A17" s="10" t="s">
        <v>29</v>
      </c>
      <c r="B17" s="30" t="s">
        <v>126</v>
      </c>
      <c r="C17" s="30" t="str">
        <f>IF(COUNTIFS(EmployeeData!$A:$A,$A17,EmployeeData!$F:$F,C$5)&gt;0,"PT","")</f>
        <v/>
      </c>
      <c r="D17" s="30" t="str">
        <f>IF(COUNTIFS(EmployeeData!$A:$A,$A17,EmployeeData!$F:$F,D$5)&gt;0,"PT","")</f>
        <v/>
      </c>
      <c r="E17" s="30" t="str">
        <f>IF(COUNTIFS(EmployeeData!$A:$A,$A17,EmployeeData!$F:$F,E$5)&gt;0,"PT","")</f>
        <v/>
      </c>
      <c r="F17" s="30" t="str">
        <f>IF(COUNTIFS(EmployeeData!$A:$A,$A17,EmployeeData!$F:$F,F$5)&gt;0,"PT","")</f>
        <v/>
      </c>
      <c r="G17" s="30" t="str">
        <f>IF(COUNTIFS(EmployeeData!$A:$A,$A17,EmployeeData!$F:$F,G$5)&gt;0,"PT","")</f>
        <v/>
      </c>
      <c r="H17" s="30" t="str">
        <f>IF(COUNTIFS(EmployeeData!$A:$A,$A17,EmployeeData!$F:$F,H$5)&gt;0,"PT","")</f>
        <v/>
      </c>
      <c r="I17" s="30" t="str">
        <f>IF(COUNTIFS(EmployeeData!$A:$A,$A17,EmployeeData!$F:$F,I$5)&gt;0,"PT","")</f>
        <v/>
      </c>
      <c r="J17" s="30" t="str">
        <f>IF(COUNTIFS(EmployeeData!$A:$A,$A17,EmployeeData!$F:$F,J$5)&gt;0,"PT","")</f>
        <v/>
      </c>
      <c r="K17" s="30" t="str">
        <f>IF(COUNTIFS(EmployeeData!$A:$A,$A17,EmployeeData!$F:$F,K$5)&gt;0,"PT","")</f>
        <v/>
      </c>
      <c r="L17" s="30" t="str">
        <f>IF(COUNTIFS(EmployeeData!$A:$A,$A17,EmployeeData!$F:$F,L$5)&gt;0,"PT","")</f>
        <v/>
      </c>
      <c r="M17" s="30" t="str">
        <f>IF(COUNTIFS(EmployeeData!$A:$A,$A17,EmployeeData!$F:$F,M$5)&gt;0,"PT","")</f>
        <v/>
      </c>
      <c r="N17" s="30" t="str">
        <f>IF(COUNTIFS(EmployeeData!$A:$A,$A17,EmployeeData!$F:$F,N$5)&gt;0,"PT","")</f>
        <v/>
      </c>
      <c r="O17" s="30" t="str">
        <f>IF(COUNTIFS(EmployeeData!$A:$A,$A17,EmployeeData!$F:$F,O$5)&gt;0,"PT","")</f>
        <v/>
      </c>
      <c r="P17" s="30" t="str">
        <f>IF(COUNTIFS(EmployeeData!$A:$A,$A17,EmployeeData!$F:$F,P$5)&gt;0,"PT","")</f>
        <v/>
      </c>
      <c r="Q17" s="30" t="str">
        <f>IF(COUNTIFS(EmployeeData!$A:$A,$A17,EmployeeData!$F:$F,Q$5)&gt;0,"PT","")</f>
        <v/>
      </c>
      <c r="R17" s="30" t="str">
        <f>IF(COUNTIFS(EmployeeData!$A:$A,$A17,EmployeeData!$F:$F,R$5)&gt;0,"PT","")</f>
        <v/>
      </c>
      <c r="S17" s="30" t="str">
        <f>IF(COUNTIFS(EmployeeData!$A:$A,$A17,EmployeeData!$F:$F,S$5)&gt;0,"PT","")</f>
        <v/>
      </c>
      <c r="T17" s="30" t="str">
        <f>IF(COUNTIFS(EmployeeData!$A:$A,$A17,EmployeeData!$F:$F,T$5)&gt;0,"PT","")</f>
        <v/>
      </c>
      <c r="U17" s="30" t="str">
        <f>IF(COUNTIFS(EmployeeData!$A:$A,$A17,EmployeeData!$F:$F,U$5)&gt;0,"PT","")</f>
        <v>PT</v>
      </c>
      <c r="V17" s="30" t="str">
        <f>IF(COUNTIFS(EmployeeData!$A:$A,$A17,EmployeeData!$F:$F,V$5)&gt;0,"PT","")</f>
        <v/>
      </c>
      <c r="W17" s="30" t="str">
        <f>IF(COUNTIFS(EmployeeData!$A:$A,$A17,EmployeeData!$F:$F,W$5)&gt;0,"PT","")</f>
        <v/>
      </c>
      <c r="X17" s="30" t="str">
        <f>IF(COUNTIFS(EmployeeData!$A:$A,$A17,EmployeeData!$F:$F,X$5)&gt;0,"PT","")</f>
        <v/>
      </c>
      <c r="Y17" s="30" t="str">
        <f>IF(COUNTIFS(EmployeeData!$A:$A,$A17,EmployeeData!$F:$F,Y$5)&gt;0,"PT","")</f>
        <v/>
      </c>
      <c r="Z17" s="30" t="str">
        <f>IF(COUNTIFS(EmployeeData!$A:$A,$A17,EmployeeData!$F:$F,Z$5)&gt;0,"PT","")</f>
        <v/>
      </c>
      <c r="AA17" s="30" t="s">
        <v>126</v>
      </c>
      <c r="AB17" s="30" t="str">
        <f>IF(COUNTIFS(EmployeeData!$A:$A,$A17,EmployeeData!$F:$F,AB$5)&gt;0,"PT","")</f>
        <v/>
      </c>
      <c r="AC17" s="30" t="str">
        <f>IF(COUNTIFS(EmployeeData!$A:$A,$A17,EmployeeData!$F:$F,AC$5)&gt;0,"PT","")</f>
        <v/>
      </c>
      <c r="AD17" s="30" t="str">
        <f>IF(COUNTIFS(EmployeeData!$A:$A,$A17,EmployeeData!$F:$F,AD$5)&gt;0,"PT","")</f>
        <v/>
      </c>
      <c r="AE17" s="30" t="str">
        <f>IF(COUNTIFS(EmployeeData!$A:$A,$A17,EmployeeData!$F:$F,AE$5)&gt;0,"PT","")</f>
        <v/>
      </c>
      <c r="AF17" s="30" t="str">
        <f>IF(COUNTIFS(EmployeeData!$A:$A,$A17,EmployeeData!$F:$F,AF$5)&gt;0,"PT","")</f>
        <v/>
      </c>
      <c r="AG17" s="8">
        <f t="shared" si="5"/>
        <v>1</v>
      </c>
      <c r="AH17" s="8">
        <f t="shared" si="3"/>
        <v>0</v>
      </c>
      <c r="AI17" s="8">
        <f t="shared" si="1"/>
        <v>0</v>
      </c>
      <c r="AJ17" s="8">
        <f t="shared" si="4"/>
        <v>0</v>
      </c>
      <c r="AK17" s="8">
        <f t="shared" si="2"/>
        <v>0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s="3" customFormat="1" ht="25.15" customHeight="1" x14ac:dyDescent="0.55000000000000004">
      <c r="A18" s="10" t="s">
        <v>128</v>
      </c>
      <c r="B18" s="30" t="s">
        <v>126</v>
      </c>
      <c r="C18" s="30" t="str">
        <f>IF(COUNTIFS(EmployeeData!$A:$A,$A18,EmployeeData!$F:$F,C$5)&gt;0,"PT","")</f>
        <v/>
      </c>
      <c r="D18" s="30" t="str">
        <f>IF(COUNTIFS(EmployeeData!$A:$A,$A18,EmployeeData!$F:$F,D$5)&gt;0,"PT","")</f>
        <v/>
      </c>
      <c r="E18" s="30" t="str">
        <f>IF(COUNTIFS(EmployeeData!$A:$A,$A18,EmployeeData!$F:$F,E$5)&gt;0,"PT","")</f>
        <v/>
      </c>
      <c r="F18" s="30" t="str">
        <f>IF(COUNTIFS(EmployeeData!$A:$A,$A18,EmployeeData!$F:$F,F$5)&gt;0,"PT","")</f>
        <v/>
      </c>
      <c r="G18" s="30" t="str">
        <f>IF(COUNTIFS(EmployeeData!$A:$A,$A18,EmployeeData!$F:$F,G$5)&gt;0,"PT","")</f>
        <v/>
      </c>
      <c r="H18" s="30" t="str">
        <f>IF(COUNTIFS(EmployeeData!$A:$A,$A18,EmployeeData!$F:$F,H$5)&gt;0,"PT","")</f>
        <v>PT</v>
      </c>
      <c r="I18" s="30" t="str">
        <f>IF(COUNTIFS(EmployeeData!$A:$A,$A18,EmployeeData!$F:$F,I$5)&gt;0,"PT","")</f>
        <v/>
      </c>
      <c r="J18" s="30" t="str">
        <f>IF(COUNTIFS(EmployeeData!$A:$A,$A18,EmployeeData!$F:$F,J$5)&gt;0,"PT","")</f>
        <v/>
      </c>
      <c r="K18" s="30" t="str">
        <f>IF(COUNTIFS(EmployeeData!$A:$A,$A18,EmployeeData!$F:$F,K$5)&gt;0,"PT","")</f>
        <v/>
      </c>
      <c r="L18" s="30" t="str">
        <f>IF(COUNTIFS(EmployeeData!$A:$A,$A18,EmployeeData!$F:$F,L$5)&gt;0,"PT","")</f>
        <v/>
      </c>
      <c r="M18" s="30" t="str">
        <f>IF(COUNTIFS(EmployeeData!$A:$A,$A18,EmployeeData!$F:$F,M$5)&gt;0,"PT","")</f>
        <v/>
      </c>
      <c r="N18" s="30" t="str">
        <f>IF(COUNTIFS(EmployeeData!$A:$A,$A18,EmployeeData!$F:$F,N$5)&gt;0,"PT","")</f>
        <v/>
      </c>
      <c r="O18" s="30" t="str">
        <f>IF(COUNTIFS(EmployeeData!$A:$A,$A18,EmployeeData!$F:$F,O$5)&gt;0,"PT","")</f>
        <v/>
      </c>
      <c r="P18" s="30" t="str">
        <f>IF(COUNTIFS(EmployeeData!$A:$A,$A18,EmployeeData!$F:$F,P$5)&gt;0,"PT","")</f>
        <v/>
      </c>
      <c r="Q18" s="30" t="str">
        <f>IF(COUNTIFS(EmployeeData!$A:$A,$A18,EmployeeData!$F:$F,Q$5)&gt;0,"PT","")</f>
        <v/>
      </c>
      <c r="R18" s="30" t="str">
        <f>IF(COUNTIFS(EmployeeData!$A:$A,$A18,EmployeeData!$F:$F,R$5)&gt;0,"PT","")</f>
        <v/>
      </c>
      <c r="S18" s="30" t="str">
        <f>IF(COUNTIFS(EmployeeData!$A:$A,$A18,EmployeeData!$F:$F,S$5)&gt;0,"PT","")</f>
        <v/>
      </c>
      <c r="T18" s="30" t="str">
        <f>IF(COUNTIFS(EmployeeData!$A:$A,$A18,EmployeeData!$F:$F,T$5)&gt;0,"PT","")</f>
        <v/>
      </c>
      <c r="U18" s="30" t="str">
        <f>IF(COUNTIFS(EmployeeData!$A:$A,$A18,EmployeeData!$F:$F,U$5)&gt;0,"PT","")</f>
        <v/>
      </c>
      <c r="V18" s="30" t="str">
        <f>IF(COUNTIFS(EmployeeData!$A:$A,$A18,EmployeeData!$F:$F,V$5)&gt;0,"PT","")</f>
        <v/>
      </c>
      <c r="W18" s="30" t="str">
        <f>IF(COUNTIFS(EmployeeData!$A:$A,$A18,EmployeeData!$F:$F,W$5)&gt;0,"PT","")</f>
        <v/>
      </c>
      <c r="X18" s="30" t="str">
        <f>IF(COUNTIFS(EmployeeData!$A:$A,$A18,EmployeeData!$F:$F,X$5)&gt;0,"PT","")</f>
        <v/>
      </c>
      <c r="Y18" s="30" t="str">
        <f>IF(COUNTIFS(EmployeeData!$A:$A,$A18,EmployeeData!$F:$F,Y$5)&gt;0,"PT","")</f>
        <v/>
      </c>
      <c r="Z18" s="30" t="str">
        <f>IF(COUNTIFS(EmployeeData!$A:$A,$A18,EmployeeData!$F:$F,Z$5)&gt;0,"PT","")</f>
        <v/>
      </c>
      <c r="AA18" s="30" t="s">
        <v>126</v>
      </c>
      <c r="AB18" s="30" t="str">
        <f>IF(COUNTIFS(EmployeeData!$A:$A,$A18,EmployeeData!$F:$F,AB$5)&gt;0,"PT","")</f>
        <v/>
      </c>
      <c r="AC18" s="30" t="str">
        <f>IF(COUNTIFS(EmployeeData!$A:$A,$A18,EmployeeData!$F:$F,AC$5)&gt;0,"PT","")</f>
        <v/>
      </c>
      <c r="AD18" s="30" t="str">
        <f>IF(COUNTIFS(EmployeeData!$A:$A,$A18,EmployeeData!$F:$F,AD$5)&gt;0,"PT","")</f>
        <v/>
      </c>
      <c r="AE18" s="30" t="str">
        <f>IF(COUNTIFS(EmployeeData!$A:$A,$A18,EmployeeData!$F:$F,AE$5)&gt;0,"PT","")</f>
        <v/>
      </c>
      <c r="AF18" s="30" t="str">
        <f>IF(COUNTIFS(EmployeeData!$A:$A,$A18,EmployeeData!$F:$F,AF$5)&gt;0,"PT","")</f>
        <v/>
      </c>
      <c r="AG18" s="8">
        <f t="shared" si="5"/>
        <v>1</v>
      </c>
      <c r="AH18" s="8">
        <f t="shared" si="3"/>
        <v>0</v>
      </c>
      <c r="AI18" s="8">
        <f t="shared" si="1"/>
        <v>0</v>
      </c>
      <c r="AJ18" s="8">
        <f t="shared" si="4"/>
        <v>0</v>
      </c>
      <c r="AK18" s="8">
        <f t="shared" si="2"/>
        <v>0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s="3" customFormat="1" ht="25.15" customHeight="1" x14ac:dyDescent="0.55000000000000004">
      <c r="A19" s="10" t="s">
        <v>22</v>
      </c>
      <c r="B19" s="30" t="s">
        <v>126</v>
      </c>
      <c r="C19" s="30" t="str">
        <f>IF(COUNTIFS(EmployeeData!$A:$A,$A19,EmployeeData!$F:$F,C$5)&gt;0,"PT","")</f>
        <v/>
      </c>
      <c r="D19" s="30" t="str">
        <f>IF(COUNTIFS(EmployeeData!$A:$A,$A19,EmployeeData!$F:$F,D$5)&gt;0,"PT","")</f>
        <v/>
      </c>
      <c r="E19" s="30" t="str">
        <f>IF(COUNTIFS(EmployeeData!$A:$A,$A19,EmployeeData!$F:$F,E$5)&gt;0,"PT","")</f>
        <v/>
      </c>
      <c r="F19" s="30" t="str">
        <f>IF(COUNTIFS(EmployeeData!$A:$A,$A19,EmployeeData!$F:$F,F$5)&gt;0,"PT","")</f>
        <v/>
      </c>
      <c r="G19" s="30" t="str">
        <f>IF(COUNTIFS(EmployeeData!$A:$A,$A19,EmployeeData!$F:$F,G$5)&gt;0,"PT","")</f>
        <v/>
      </c>
      <c r="H19" s="30" t="str">
        <f>IF(COUNTIFS(EmployeeData!$A:$A,$A19,EmployeeData!$F:$F,H$5)&gt;0,"PT","")</f>
        <v/>
      </c>
      <c r="I19" s="30" t="str">
        <f>IF(COUNTIFS(EmployeeData!$A:$A,$A19,EmployeeData!$F:$F,I$5)&gt;0,"PT","")</f>
        <v/>
      </c>
      <c r="J19" s="30" t="str">
        <f>IF(COUNTIFS(EmployeeData!$A:$A,$A19,EmployeeData!$F:$F,J$5)&gt;0,"PT","")</f>
        <v/>
      </c>
      <c r="K19" s="30" t="str">
        <f>IF(COUNTIFS(EmployeeData!$A:$A,$A19,EmployeeData!$F:$F,K$5)&gt;0,"PT","")</f>
        <v/>
      </c>
      <c r="L19" s="30" t="str">
        <f>IF(COUNTIFS(EmployeeData!$A:$A,$A19,EmployeeData!$F:$F,L$5)&gt;0,"PT","")</f>
        <v/>
      </c>
      <c r="M19" s="30" t="str">
        <f>IF(COUNTIFS(EmployeeData!$A:$A,$A19,EmployeeData!$F:$F,M$5)&gt;0,"PT","")</f>
        <v/>
      </c>
      <c r="N19" s="30" t="str">
        <f>IF(COUNTIFS(EmployeeData!$A:$A,$A19,EmployeeData!$F:$F,N$5)&gt;0,"PT","")</f>
        <v/>
      </c>
      <c r="O19" s="30" t="str">
        <f>IF(COUNTIFS(EmployeeData!$A:$A,$A19,EmployeeData!$F:$F,O$5)&gt;0,"PT","")</f>
        <v/>
      </c>
      <c r="P19" s="30" t="str">
        <f>IF(COUNTIFS(EmployeeData!$A:$A,$A19,EmployeeData!$F:$F,P$5)&gt;0,"PT","")</f>
        <v/>
      </c>
      <c r="Q19" s="30" t="str">
        <f>IF(COUNTIFS(EmployeeData!$A:$A,$A19,EmployeeData!$F:$F,Q$5)&gt;0,"PT","")</f>
        <v/>
      </c>
      <c r="R19" s="30" t="str">
        <f>IF(COUNTIFS(EmployeeData!$A:$A,$A19,EmployeeData!$F:$F,R$5)&gt;0,"PT","")</f>
        <v/>
      </c>
      <c r="S19" s="30" t="str">
        <f>IF(COUNTIFS(EmployeeData!$A:$A,$A19,EmployeeData!$F:$F,S$5)&gt;0,"PT","")</f>
        <v/>
      </c>
      <c r="T19" s="30" t="str">
        <f>IF(COUNTIFS(EmployeeData!$A:$A,$A19,EmployeeData!$F:$F,T$5)&gt;0,"PT","")</f>
        <v/>
      </c>
      <c r="U19" s="30" t="str">
        <f>IF(COUNTIFS(EmployeeData!$A:$A,$A19,EmployeeData!$F:$F,U$5)&gt;0,"PT","")</f>
        <v/>
      </c>
      <c r="V19" s="30" t="str">
        <f>IF(COUNTIFS(EmployeeData!$A:$A,$A19,EmployeeData!$F:$F,V$5)&gt;0,"PT","")</f>
        <v/>
      </c>
      <c r="W19" s="30" t="str">
        <f>IF(COUNTIFS(EmployeeData!$A:$A,$A19,EmployeeData!$F:$F,W$5)&gt;0,"PT","")</f>
        <v/>
      </c>
      <c r="X19" s="30" t="str">
        <f>IF(COUNTIFS(EmployeeData!$A:$A,$A19,EmployeeData!$F:$F,X$5)&gt;0,"PT","")</f>
        <v/>
      </c>
      <c r="Y19" s="30" t="str">
        <f>IF(COUNTIFS(EmployeeData!$A:$A,$A19,EmployeeData!$F:$F,Y$5)&gt;0,"PT","")</f>
        <v/>
      </c>
      <c r="Z19" s="30" t="str">
        <f>IF(COUNTIFS(EmployeeData!$A:$A,$A19,EmployeeData!$F:$F,Z$5)&gt;0,"PT","")</f>
        <v/>
      </c>
      <c r="AA19" s="30" t="s">
        <v>126</v>
      </c>
      <c r="AB19" s="30" t="str">
        <f>IF(COUNTIFS(EmployeeData!$A:$A,$A19,EmployeeData!$F:$F,AB$5)&gt;0,"PT","")</f>
        <v/>
      </c>
      <c r="AC19" s="30" t="str">
        <f>IF(COUNTIFS(EmployeeData!$A:$A,$A19,EmployeeData!$F:$F,AC$5)&gt;0,"PT","")</f>
        <v/>
      </c>
      <c r="AD19" s="30" t="str">
        <f>IF(COUNTIFS(EmployeeData!$A:$A,$A19,EmployeeData!$F:$F,AD$5)&gt;0,"PT","")</f>
        <v/>
      </c>
      <c r="AE19" s="30" t="str">
        <f>IF(COUNTIFS(EmployeeData!$A:$A,$A19,EmployeeData!$F:$F,AE$5)&gt;0,"PT","")</f>
        <v/>
      </c>
      <c r="AF19" s="30" t="str">
        <f>IF(COUNTIFS(EmployeeData!$A:$A,$A19,EmployeeData!$F:$F,AF$5)&gt;0,"PT","")</f>
        <v/>
      </c>
      <c r="AG19" s="8">
        <f t="shared" si="5"/>
        <v>0</v>
      </c>
      <c r="AH19" s="8">
        <f t="shared" si="3"/>
        <v>0</v>
      </c>
      <c r="AI19" s="8">
        <f t="shared" si="1"/>
        <v>0</v>
      </c>
      <c r="AJ19" s="8">
        <f t="shared" si="4"/>
        <v>0</v>
      </c>
      <c r="AK19" s="8">
        <f t="shared" si="2"/>
        <v>0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s="3" customFormat="1" ht="25.15" customHeight="1" x14ac:dyDescent="0.55000000000000004">
      <c r="A20" s="10" t="s">
        <v>39</v>
      </c>
      <c r="B20" s="30" t="s">
        <v>126</v>
      </c>
      <c r="C20" s="30" t="str">
        <f>IF(COUNTIFS(EmployeeData!$A:$A,$A20,EmployeeData!$F:$F,C$5)&gt;0,"PT","")</f>
        <v/>
      </c>
      <c r="D20" s="30" t="str">
        <f>IF(COUNTIFS(EmployeeData!$A:$A,$A20,EmployeeData!$F:$F,D$5)&gt;0,"PT","")</f>
        <v/>
      </c>
      <c r="E20" s="30" t="str">
        <f>IF(COUNTIFS(EmployeeData!$A:$A,$A20,EmployeeData!$F:$F,E$5)&gt;0,"PT","")</f>
        <v/>
      </c>
      <c r="F20" s="30" t="str">
        <f>IF(COUNTIFS(EmployeeData!$A:$A,$A20,EmployeeData!$F:$F,F$5)&gt;0,"PT","")</f>
        <v/>
      </c>
      <c r="G20" s="30" t="str">
        <f>IF(COUNTIFS(EmployeeData!$A:$A,$A20,EmployeeData!$F:$F,G$5)&gt;0,"PT","")</f>
        <v/>
      </c>
      <c r="H20" s="30" t="str">
        <f>IF(COUNTIFS(EmployeeData!$A:$A,$A20,EmployeeData!$F:$F,H$5)&gt;0,"PT","")</f>
        <v/>
      </c>
      <c r="I20" s="30" t="str">
        <f>IF(COUNTIFS(EmployeeData!$A:$A,$A20,EmployeeData!$F:$F,I$5)&gt;0,"PT","")</f>
        <v>PT</v>
      </c>
      <c r="J20" s="30" t="str">
        <f>IF(COUNTIFS(EmployeeData!$A:$A,$A20,EmployeeData!$F:$F,J$5)&gt;0,"PT","")</f>
        <v/>
      </c>
      <c r="K20" s="30" t="str">
        <f>IF(COUNTIFS(EmployeeData!$A:$A,$A20,EmployeeData!$F:$F,K$5)&gt;0,"PT","")</f>
        <v/>
      </c>
      <c r="L20" s="30" t="str">
        <f>IF(COUNTIFS(EmployeeData!$A:$A,$A20,EmployeeData!$F:$F,L$5)&gt;0,"PT","")</f>
        <v/>
      </c>
      <c r="M20" s="30" t="str">
        <f>IF(COUNTIFS(EmployeeData!$A:$A,$A20,EmployeeData!$F:$F,M$5)&gt;0,"PT","")</f>
        <v/>
      </c>
      <c r="N20" s="30" t="str">
        <f>IF(COUNTIFS(EmployeeData!$A:$A,$A20,EmployeeData!$F:$F,N$5)&gt;0,"PT","")</f>
        <v/>
      </c>
      <c r="O20" s="30" t="str">
        <f>IF(COUNTIFS(EmployeeData!$A:$A,$A20,EmployeeData!$F:$F,O$5)&gt;0,"PT","")</f>
        <v/>
      </c>
      <c r="P20" s="30" t="str">
        <f>IF(COUNTIFS(EmployeeData!$A:$A,$A20,EmployeeData!$F:$F,P$5)&gt;0,"PT","")</f>
        <v/>
      </c>
      <c r="Q20" s="30" t="str">
        <f>IF(COUNTIFS(EmployeeData!$A:$A,$A20,EmployeeData!$F:$F,Q$5)&gt;0,"PT","")</f>
        <v/>
      </c>
      <c r="R20" s="30" t="str">
        <f>IF(COUNTIFS(EmployeeData!$A:$A,$A20,EmployeeData!$F:$F,R$5)&gt;0,"PT","")</f>
        <v/>
      </c>
      <c r="S20" s="30" t="str">
        <f>IF(COUNTIFS(EmployeeData!$A:$A,$A20,EmployeeData!$F:$F,S$5)&gt;0,"PT","")</f>
        <v/>
      </c>
      <c r="T20" s="30" t="str">
        <f>IF(COUNTIFS(EmployeeData!$A:$A,$A20,EmployeeData!$F:$F,T$5)&gt;0,"PT","")</f>
        <v/>
      </c>
      <c r="U20" s="30" t="str">
        <f>IF(COUNTIFS(EmployeeData!$A:$A,$A20,EmployeeData!$F:$F,U$5)&gt;0,"PT","")</f>
        <v/>
      </c>
      <c r="V20" s="30" t="str">
        <f>IF(COUNTIFS(EmployeeData!$A:$A,$A20,EmployeeData!$F:$F,V$5)&gt;0,"PT","")</f>
        <v/>
      </c>
      <c r="W20" s="30" t="str">
        <f>IF(COUNTIFS(EmployeeData!$A:$A,$A20,EmployeeData!$F:$F,W$5)&gt;0,"PT","")</f>
        <v/>
      </c>
      <c r="X20" s="30" t="str">
        <f>IF(COUNTIFS(EmployeeData!$A:$A,$A20,EmployeeData!$F:$F,X$5)&gt;0,"PT","")</f>
        <v/>
      </c>
      <c r="Y20" s="30" t="str">
        <f>IF(COUNTIFS(EmployeeData!$A:$A,$A20,EmployeeData!$F:$F,Y$5)&gt;0,"PT","")</f>
        <v/>
      </c>
      <c r="Z20" s="30" t="str">
        <f>IF(COUNTIFS(EmployeeData!$A:$A,$A20,EmployeeData!$F:$F,Z$5)&gt;0,"PT","")</f>
        <v/>
      </c>
      <c r="AA20" s="30" t="s">
        <v>126</v>
      </c>
      <c r="AB20" s="30" t="str">
        <f>IF(COUNTIFS(EmployeeData!$A:$A,$A20,EmployeeData!$F:$F,AB$5)&gt;0,"PT","")</f>
        <v/>
      </c>
      <c r="AC20" s="30" t="str">
        <f>IF(COUNTIFS(EmployeeData!$A:$A,$A20,EmployeeData!$F:$F,AC$5)&gt;0,"PT","")</f>
        <v/>
      </c>
      <c r="AD20" s="30" t="str">
        <f>IF(COUNTIFS(EmployeeData!$A:$A,$A20,EmployeeData!$F:$F,AD$5)&gt;0,"PT","")</f>
        <v/>
      </c>
      <c r="AE20" s="30" t="str">
        <f>IF(COUNTIFS(EmployeeData!$A:$A,$A20,EmployeeData!$F:$F,AE$5)&gt;0,"PT","")</f>
        <v/>
      </c>
      <c r="AF20" s="30" t="str">
        <f>IF(COUNTIFS(EmployeeData!$A:$A,$A20,EmployeeData!$F:$F,AF$5)&gt;0,"PT","")</f>
        <v/>
      </c>
      <c r="AG20" s="8">
        <f t="shared" si="5"/>
        <v>1</v>
      </c>
      <c r="AH20" s="8">
        <f t="shared" si="3"/>
        <v>0</v>
      </c>
      <c r="AI20" s="8">
        <f t="shared" si="1"/>
        <v>0</v>
      </c>
      <c r="AJ20" s="8">
        <f t="shared" si="4"/>
        <v>0</v>
      </c>
      <c r="AK20" s="8">
        <f t="shared" si="2"/>
        <v>0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s="3" customFormat="1" ht="25.15" customHeight="1" x14ac:dyDescent="0.55000000000000004">
      <c r="A21" s="10" t="s">
        <v>50</v>
      </c>
      <c r="B21" s="30" t="s">
        <v>126</v>
      </c>
      <c r="C21" s="30" t="str">
        <f>IF(COUNTIFS(EmployeeData!$A:$A,$A21,EmployeeData!$F:$F,C$5)&gt;0,"PT","")</f>
        <v/>
      </c>
      <c r="D21" s="30" t="str">
        <f>IF(COUNTIFS(EmployeeData!$A:$A,$A21,EmployeeData!$F:$F,D$5)&gt;0,"PT","")</f>
        <v/>
      </c>
      <c r="E21" s="30" t="str">
        <f>IF(COUNTIFS(EmployeeData!$A:$A,$A21,EmployeeData!$F:$F,E$5)&gt;0,"PT","")</f>
        <v/>
      </c>
      <c r="F21" s="30" t="str">
        <f>IF(COUNTIFS(EmployeeData!$A:$A,$A21,EmployeeData!$F:$F,F$5)&gt;0,"PT","")</f>
        <v/>
      </c>
      <c r="G21" s="30" t="str">
        <f>IF(COUNTIFS(EmployeeData!$A:$A,$A21,EmployeeData!$F:$F,G$5)&gt;0,"PT","")</f>
        <v/>
      </c>
      <c r="H21" s="30" t="str">
        <f>IF(COUNTIFS(EmployeeData!$A:$A,$A21,EmployeeData!$F:$F,H$5)&gt;0,"PT","")</f>
        <v/>
      </c>
      <c r="I21" s="30" t="str">
        <f>IF(COUNTIFS(EmployeeData!$A:$A,$A21,EmployeeData!$F:$F,I$5)&gt;0,"PT","")</f>
        <v/>
      </c>
      <c r="J21" s="30" t="str">
        <f>IF(COUNTIFS(EmployeeData!$A:$A,$A21,EmployeeData!$F:$F,J$5)&gt;0,"PT","")</f>
        <v/>
      </c>
      <c r="K21" s="30" t="str">
        <f>IF(COUNTIFS(EmployeeData!$A:$A,$A21,EmployeeData!$F:$F,K$5)&gt;0,"PT","")</f>
        <v/>
      </c>
      <c r="L21" s="30" t="str">
        <f>IF(COUNTIFS(EmployeeData!$A:$A,$A21,EmployeeData!$F:$F,L$5)&gt;0,"PT","")</f>
        <v/>
      </c>
      <c r="M21" s="30" t="str">
        <f>IF(COUNTIFS(EmployeeData!$A:$A,$A21,EmployeeData!$F:$F,M$5)&gt;0,"PT","")</f>
        <v/>
      </c>
      <c r="N21" s="30" t="str">
        <f>IF(COUNTIFS(EmployeeData!$A:$A,$A21,EmployeeData!$F:$F,N$5)&gt;0,"PT","")</f>
        <v/>
      </c>
      <c r="O21" s="30" t="str">
        <f>IF(COUNTIFS(EmployeeData!$A:$A,$A21,EmployeeData!$F:$F,O$5)&gt;0,"PT","")</f>
        <v/>
      </c>
      <c r="P21" s="30" t="str">
        <f>IF(COUNTIFS(EmployeeData!$A:$A,$A21,EmployeeData!$F:$F,P$5)&gt;0,"PT","")</f>
        <v/>
      </c>
      <c r="Q21" s="30" t="str">
        <f>IF(COUNTIFS(EmployeeData!$A:$A,$A21,EmployeeData!$F:$F,Q$5)&gt;0,"PT","")</f>
        <v/>
      </c>
      <c r="R21" s="30" t="str">
        <f>IF(COUNTIFS(EmployeeData!$A:$A,$A21,EmployeeData!$F:$F,R$5)&gt;0,"PT","")</f>
        <v/>
      </c>
      <c r="S21" s="30" t="str">
        <f>IF(COUNTIFS(EmployeeData!$A:$A,$A21,EmployeeData!$F:$F,S$5)&gt;0,"PT","")</f>
        <v/>
      </c>
      <c r="T21" s="30" t="str">
        <f>IF(COUNTIFS(EmployeeData!$A:$A,$A21,EmployeeData!$F:$F,T$5)&gt;0,"PT","")</f>
        <v/>
      </c>
      <c r="U21" s="30" t="str">
        <f>IF(COUNTIFS(EmployeeData!$A:$A,$A21,EmployeeData!$F:$F,U$5)&gt;0,"PT","")</f>
        <v/>
      </c>
      <c r="V21" s="30" t="str">
        <f>IF(COUNTIFS(EmployeeData!$A:$A,$A21,EmployeeData!$F:$F,V$5)&gt;0,"PT","")</f>
        <v/>
      </c>
      <c r="W21" s="30" t="str">
        <f>IF(COUNTIFS(EmployeeData!$A:$A,$A21,EmployeeData!$F:$F,W$5)&gt;0,"PT","")</f>
        <v/>
      </c>
      <c r="X21" s="30" t="str">
        <f>IF(COUNTIFS(EmployeeData!$A:$A,$A21,EmployeeData!$F:$F,X$5)&gt;0,"PT","")</f>
        <v/>
      </c>
      <c r="Y21" s="30" t="str">
        <f>IF(COUNTIFS(EmployeeData!$A:$A,$A21,EmployeeData!$F:$F,Y$5)&gt;0,"PT","")</f>
        <v/>
      </c>
      <c r="Z21" s="30" t="str">
        <f>IF(COUNTIFS(EmployeeData!$A:$A,$A21,EmployeeData!$F:$F,Z$5)&gt;0,"PT","")</f>
        <v/>
      </c>
      <c r="AA21" s="30" t="s">
        <v>126</v>
      </c>
      <c r="AB21" s="30" t="str">
        <f>IF(COUNTIFS(EmployeeData!$A:$A,$A21,EmployeeData!$F:$F,AB$5)&gt;0,"PT","")</f>
        <v/>
      </c>
      <c r="AC21" s="30" t="str">
        <f>IF(COUNTIFS(EmployeeData!$A:$A,$A21,EmployeeData!$F:$F,AC$5)&gt;0,"PT","")</f>
        <v/>
      </c>
      <c r="AD21" s="30" t="str">
        <f>IF(COUNTIFS(EmployeeData!$A:$A,$A21,EmployeeData!$F:$F,AD$5)&gt;0,"PT","")</f>
        <v/>
      </c>
      <c r="AE21" s="30" t="str">
        <f>IF(COUNTIFS(EmployeeData!$A:$A,$A21,EmployeeData!$F:$F,AE$5)&gt;0,"PT","")</f>
        <v/>
      </c>
      <c r="AF21" s="30" t="str">
        <f>IF(COUNTIFS(EmployeeData!$A:$A,$A21,EmployeeData!$F:$F,AF$5)&gt;0,"PT","")</f>
        <v/>
      </c>
      <c r="AG21" s="8">
        <f t="shared" si="5"/>
        <v>0</v>
      </c>
      <c r="AH21" s="8">
        <f t="shared" si="3"/>
        <v>0</v>
      </c>
      <c r="AI21" s="8">
        <f t="shared" si="1"/>
        <v>0</v>
      </c>
      <c r="AJ21" s="8">
        <f t="shared" si="4"/>
        <v>0</v>
      </c>
      <c r="AK21" s="8">
        <f t="shared" si="2"/>
        <v>0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s="3" customFormat="1" ht="25.15" customHeight="1" x14ac:dyDescent="0.55000000000000004">
      <c r="A22" s="10" t="s">
        <v>129</v>
      </c>
      <c r="B22" s="30" t="s">
        <v>126</v>
      </c>
      <c r="C22" s="30" t="str">
        <f>IF(COUNTIFS(EmployeeData!$A:$A,$A22,EmployeeData!$F:$F,C$5)&gt;0,"PT","")</f>
        <v/>
      </c>
      <c r="D22" s="30" t="str">
        <f>IF(COUNTIFS(EmployeeData!$A:$A,$A22,EmployeeData!$F:$F,D$5)&gt;0,"PT","")</f>
        <v/>
      </c>
      <c r="E22" s="30" t="str">
        <f>IF(COUNTIFS(EmployeeData!$A:$A,$A22,EmployeeData!$F:$F,E$5)&gt;0,"PT","")</f>
        <v/>
      </c>
      <c r="F22" s="30" t="str">
        <f>IF(COUNTIFS(EmployeeData!$A:$A,$A22,EmployeeData!$F:$F,F$5)&gt;0,"PT","")</f>
        <v/>
      </c>
      <c r="G22" s="30" t="str">
        <f>IF(COUNTIFS(EmployeeData!$A:$A,$A22,EmployeeData!$F:$F,G$5)&gt;0,"PT","")</f>
        <v/>
      </c>
      <c r="H22" s="30" t="str">
        <f>IF(COUNTIFS(EmployeeData!$A:$A,$A22,EmployeeData!$F:$F,H$5)&gt;0,"PT","")</f>
        <v/>
      </c>
      <c r="I22" s="30" t="str">
        <f>IF(COUNTIFS(EmployeeData!$A:$A,$A22,EmployeeData!$F:$F,I$5)&gt;0,"PT","")</f>
        <v/>
      </c>
      <c r="J22" s="30" t="str">
        <f>IF(COUNTIFS(EmployeeData!$A:$A,$A22,EmployeeData!$F:$F,J$5)&gt;0,"PT","")</f>
        <v/>
      </c>
      <c r="K22" s="30" t="str">
        <f>IF(COUNTIFS(EmployeeData!$A:$A,$A22,EmployeeData!$F:$F,K$5)&gt;0,"PT","")</f>
        <v/>
      </c>
      <c r="L22" s="30" t="str">
        <f>IF(COUNTIFS(EmployeeData!$A:$A,$A22,EmployeeData!$F:$F,L$5)&gt;0,"PT","")</f>
        <v/>
      </c>
      <c r="M22" s="30" t="str">
        <f>IF(COUNTIFS(EmployeeData!$A:$A,$A22,EmployeeData!$F:$F,M$5)&gt;0,"PT","")</f>
        <v/>
      </c>
      <c r="N22" s="30" t="str">
        <f>IF(COUNTIFS(EmployeeData!$A:$A,$A22,EmployeeData!$F:$F,N$5)&gt;0,"PT","")</f>
        <v/>
      </c>
      <c r="O22" s="30" t="str">
        <f>IF(COUNTIFS(EmployeeData!$A:$A,$A22,EmployeeData!$F:$F,O$5)&gt;0,"PT","")</f>
        <v/>
      </c>
      <c r="P22" s="30" t="str">
        <f>IF(COUNTIFS(EmployeeData!$A:$A,$A22,EmployeeData!$F:$F,P$5)&gt;0,"PT","")</f>
        <v/>
      </c>
      <c r="Q22" s="30" t="str">
        <f>IF(COUNTIFS(EmployeeData!$A:$A,$A22,EmployeeData!$F:$F,Q$5)&gt;0,"PT","")</f>
        <v/>
      </c>
      <c r="R22" s="30" t="str">
        <f>IF(COUNTIFS(EmployeeData!$A:$A,$A22,EmployeeData!$F:$F,R$5)&gt;0,"PT","")</f>
        <v/>
      </c>
      <c r="S22" s="30" t="str">
        <f>IF(COUNTIFS(EmployeeData!$A:$A,$A22,EmployeeData!$F:$F,S$5)&gt;0,"PT","")</f>
        <v/>
      </c>
      <c r="T22" s="30" t="str">
        <f>IF(COUNTIFS(EmployeeData!$A:$A,$A22,EmployeeData!$F:$F,T$5)&gt;0,"PT","")</f>
        <v/>
      </c>
      <c r="U22" s="30" t="str">
        <f>IF(COUNTIFS(EmployeeData!$A:$A,$A22,EmployeeData!$F:$F,U$5)&gt;0,"PT","")</f>
        <v/>
      </c>
      <c r="V22" s="30" t="str">
        <f>IF(COUNTIFS(EmployeeData!$A:$A,$A22,EmployeeData!$F:$F,V$5)&gt;0,"PT","")</f>
        <v/>
      </c>
      <c r="W22" s="30" t="str">
        <f>IF(COUNTIFS(EmployeeData!$A:$A,$A22,EmployeeData!$F:$F,W$5)&gt;0,"PT","")</f>
        <v/>
      </c>
      <c r="X22" s="30" t="str">
        <f>IF(COUNTIFS(EmployeeData!$A:$A,$A22,EmployeeData!$F:$F,X$5)&gt;0,"PT","")</f>
        <v/>
      </c>
      <c r="Y22" s="30" t="str">
        <f>IF(COUNTIFS(EmployeeData!$A:$A,$A22,EmployeeData!$F:$F,Y$5)&gt;0,"PT","")</f>
        <v/>
      </c>
      <c r="Z22" s="30" t="str">
        <f>IF(COUNTIFS(EmployeeData!$A:$A,$A22,EmployeeData!$F:$F,Z$5)&gt;0,"PT","")</f>
        <v/>
      </c>
      <c r="AA22" s="30" t="s">
        <v>126</v>
      </c>
      <c r="AB22" s="30" t="str">
        <f>IF(COUNTIFS(EmployeeData!$A:$A,$A22,EmployeeData!$F:$F,AB$5)&gt;0,"PT","")</f>
        <v>PT</v>
      </c>
      <c r="AC22" s="30" t="str">
        <f>IF(COUNTIFS(EmployeeData!$A:$A,$A22,EmployeeData!$F:$F,AC$5)&gt;0,"PT","")</f>
        <v/>
      </c>
      <c r="AD22" s="30" t="str">
        <f>IF(COUNTIFS(EmployeeData!$A:$A,$A22,EmployeeData!$F:$F,AD$5)&gt;0,"PT","")</f>
        <v/>
      </c>
      <c r="AE22" s="30" t="str">
        <f>IF(COUNTIFS(EmployeeData!$A:$A,$A22,EmployeeData!$F:$F,AE$5)&gt;0,"PT","")</f>
        <v/>
      </c>
      <c r="AF22" s="30" t="str">
        <f>IF(COUNTIFS(EmployeeData!$A:$A,$A22,EmployeeData!$F:$F,AF$5)&gt;0,"PT","")</f>
        <v/>
      </c>
      <c r="AG22" s="8">
        <f t="shared" si="5"/>
        <v>1</v>
      </c>
      <c r="AH22" s="8">
        <f t="shared" si="3"/>
        <v>0</v>
      </c>
      <c r="AI22" s="8">
        <f t="shared" si="1"/>
        <v>0</v>
      </c>
      <c r="AJ22" s="8">
        <f t="shared" si="4"/>
        <v>0</v>
      </c>
      <c r="AK22" s="8">
        <f t="shared" si="2"/>
        <v>0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s="3" customFormat="1" ht="25.15" customHeight="1" x14ac:dyDescent="0.55000000000000004">
      <c r="A23" s="10" t="s">
        <v>27</v>
      </c>
      <c r="B23" s="30" t="s">
        <v>126</v>
      </c>
      <c r="C23" s="30" t="str">
        <f>IF(COUNTIFS(EmployeeData!$A:$A,$A23,EmployeeData!$F:$F,C$5)&gt;0,"PT","")</f>
        <v>PT</v>
      </c>
      <c r="D23" s="30" t="str">
        <f>IF(COUNTIFS(EmployeeData!$A:$A,$A23,EmployeeData!$F:$F,D$5)&gt;0,"PT","")</f>
        <v/>
      </c>
      <c r="E23" s="30" t="str">
        <f>IF(COUNTIFS(EmployeeData!$A:$A,$A23,EmployeeData!$F:$F,E$5)&gt;0,"PT","")</f>
        <v/>
      </c>
      <c r="F23" s="30" t="str">
        <f>IF(COUNTIFS(EmployeeData!$A:$A,$A23,EmployeeData!$F:$F,F$5)&gt;0,"PT","")</f>
        <v/>
      </c>
      <c r="G23" s="30" t="str">
        <f>IF(COUNTIFS(EmployeeData!$A:$A,$A23,EmployeeData!$F:$F,G$5)&gt;0,"PT","")</f>
        <v/>
      </c>
      <c r="H23" s="30" t="str">
        <f>IF(COUNTIFS(EmployeeData!$A:$A,$A23,EmployeeData!$F:$F,H$5)&gt;0,"PT","")</f>
        <v/>
      </c>
      <c r="I23" s="30" t="str">
        <f>IF(COUNTIFS(EmployeeData!$A:$A,$A23,EmployeeData!$F:$F,I$5)&gt;0,"PT","")</f>
        <v/>
      </c>
      <c r="J23" s="30" t="str">
        <f>IF(COUNTIFS(EmployeeData!$A:$A,$A23,EmployeeData!$F:$F,J$5)&gt;0,"PT","")</f>
        <v/>
      </c>
      <c r="K23" s="30" t="str">
        <f>IF(COUNTIFS(EmployeeData!$A:$A,$A23,EmployeeData!$F:$F,K$5)&gt;0,"PT","")</f>
        <v/>
      </c>
      <c r="L23" s="30" t="str">
        <f>IF(COUNTIFS(EmployeeData!$A:$A,$A23,EmployeeData!$F:$F,L$5)&gt;0,"PT","")</f>
        <v/>
      </c>
      <c r="M23" s="30" t="str">
        <f>IF(COUNTIFS(EmployeeData!$A:$A,$A23,EmployeeData!$F:$F,M$5)&gt;0,"PT","")</f>
        <v/>
      </c>
      <c r="N23" s="30" t="str">
        <f>IF(COUNTIFS(EmployeeData!$A:$A,$A23,EmployeeData!$F:$F,N$5)&gt;0,"PT","")</f>
        <v/>
      </c>
      <c r="O23" s="30" t="str">
        <f>IF(COUNTIFS(EmployeeData!$A:$A,$A23,EmployeeData!$F:$F,O$5)&gt;0,"PT","")</f>
        <v/>
      </c>
      <c r="P23" s="30" t="str">
        <f>IF(COUNTIFS(EmployeeData!$A:$A,$A23,EmployeeData!$F:$F,P$5)&gt;0,"PT","")</f>
        <v/>
      </c>
      <c r="Q23" s="30" t="str">
        <f>IF(COUNTIFS(EmployeeData!$A:$A,$A23,EmployeeData!$F:$F,Q$5)&gt;0,"PT","")</f>
        <v/>
      </c>
      <c r="R23" s="30" t="str">
        <f>IF(COUNTIFS(EmployeeData!$A:$A,$A23,EmployeeData!$F:$F,R$5)&gt;0,"PT","")</f>
        <v/>
      </c>
      <c r="S23" s="30" t="str">
        <f>IF(COUNTIFS(EmployeeData!$A:$A,$A23,EmployeeData!$F:$F,S$5)&gt;0,"PT","")</f>
        <v/>
      </c>
      <c r="T23" s="30" t="str">
        <f>IF(COUNTIFS(EmployeeData!$A:$A,$A23,EmployeeData!$F:$F,T$5)&gt;0,"PT","")</f>
        <v/>
      </c>
      <c r="U23" s="30" t="str">
        <f>IF(COUNTIFS(EmployeeData!$A:$A,$A23,EmployeeData!$F:$F,U$5)&gt;0,"PT","")</f>
        <v/>
      </c>
      <c r="V23" s="30" t="str">
        <f>IF(COUNTIFS(EmployeeData!$A:$A,$A23,EmployeeData!$F:$F,V$5)&gt;0,"PT","")</f>
        <v/>
      </c>
      <c r="W23" s="30" t="str">
        <f>IF(COUNTIFS(EmployeeData!$A:$A,$A23,EmployeeData!$F:$F,W$5)&gt;0,"PT","")</f>
        <v/>
      </c>
      <c r="X23" s="30" t="str">
        <f>IF(COUNTIFS(EmployeeData!$A:$A,$A23,EmployeeData!$F:$F,X$5)&gt;0,"PT","")</f>
        <v/>
      </c>
      <c r="Y23" s="30" t="str">
        <f>IF(COUNTIFS(EmployeeData!$A:$A,$A23,EmployeeData!$F:$F,Y$5)&gt;0,"PT","")</f>
        <v/>
      </c>
      <c r="Z23" s="30" t="str">
        <f>IF(COUNTIFS(EmployeeData!$A:$A,$A23,EmployeeData!$F:$F,Z$5)&gt;0,"PT","")</f>
        <v/>
      </c>
      <c r="AA23" s="30" t="s">
        <v>126</v>
      </c>
      <c r="AB23" s="30" t="str">
        <f>IF(COUNTIFS(EmployeeData!$A:$A,$A23,EmployeeData!$F:$F,AB$5)&gt;0,"PT","")</f>
        <v/>
      </c>
      <c r="AC23" s="30" t="str">
        <f>IF(COUNTIFS(EmployeeData!$A:$A,$A23,EmployeeData!$F:$F,AC$5)&gt;0,"PT","")</f>
        <v/>
      </c>
      <c r="AD23" s="30" t="str">
        <f>IF(COUNTIFS(EmployeeData!$A:$A,$A23,EmployeeData!$F:$F,AD$5)&gt;0,"PT","")</f>
        <v/>
      </c>
      <c r="AE23" s="30" t="str">
        <f>IF(COUNTIFS(EmployeeData!$A:$A,$A23,EmployeeData!$F:$F,AE$5)&gt;0,"PT","")</f>
        <v/>
      </c>
      <c r="AF23" s="30" t="str">
        <f>IF(COUNTIFS(EmployeeData!$A:$A,$A23,EmployeeData!$F:$F,AF$5)&gt;0,"PT","")</f>
        <v/>
      </c>
      <c r="AG23" s="8">
        <f t="shared" si="5"/>
        <v>1</v>
      </c>
      <c r="AH23" s="8">
        <f t="shared" si="3"/>
        <v>0</v>
      </c>
      <c r="AI23" s="8">
        <f t="shared" si="1"/>
        <v>0</v>
      </c>
      <c r="AJ23" s="8">
        <f t="shared" si="4"/>
        <v>0</v>
      </c>
      <c r="AK23" s="8">
        <f t="shared" si="2"/>
        <v>0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s="3" customFormat="1" ht="25.15" customHeight="1" x14ac:dyDescent="0.55000000000000004">
      <c r="A24" s="10" t="s">
        <v>28</v>
      </c>
      <c r="B24" s="30" t="s">
        <v>126</v>
      </c>
      <c r="C24" s="30" t="str">
        <f>IF(COUNTIFS(EmployeeData!$A:$A,$A24,EmployeeData!$F:$F,C$5)&gt;0,"PT","")</f>
        <v>PT</v>
      </c>
      <c r="D24" s="30" t="str">
        <f>IF(COUNTIFS(EmployeeData!$A:$A,$A24,EmployeeData!$F:$F,D$5)&gt;0,"PT","")</f>
        <v/>
      </c>
      <c r="E24" s="30" t="str">
        <f>IF(COUNTIFS(EmployeeData!$A:$A,$A24,EmployeeData!$F:$F,E$5)&gt;0,"PT","")</f>
        <v/>
      </c>
      <c r="F24" s="30" t="str">
        <f>IF(COUNTIFS(EmployeeData!$A:$A,$A24,EmployeeData!$F:$F,F$5)&gt;0,"PT","")</f>
        <v/>
      </c>
      <c r="G24" s="30" t="str">
        <f>IF(COUNTIFS(EmployeeData!$A:$A,$A24,EmployeeData!$F:$F,G$5)&gt;0,"PT","")</f>
        <v/>
      </c>
      <c r="H24" s="30" t="str">
        <f>IF(COUNTIFS(EmployeeData!$A:$A,$A24,EmployeeData!$F:$F,H$5)&gt;0,"PT","")</f>
        <v/>
      </c>
      <c r="I24" s="30" t="str">
        <f>IF(COUNTIFS(EmployeeData!$A:$A,$A24,EmployeeData!$F:$F,I$5)&gt;0,"PT","")</f>
        <v/>
      </c>
      <c r="J24" s="30" t="str">
        <f>IF(COUNTIFS(EmployeeData!$A:$A,$A24,EmployeeData!$F:$F,J$5)&gt;0,"PT","")</f>
        <v/>
      </c>
      <c r="K24" s="30" t="str">
        <f>IF(COUNTIFS(EmployeeData!$A:$A,$A24,EmployeeData!$F:$F,K$5)&gt;0,"PT","")</f>
        <v/>
      </c>
      <c r="L24" s="30" t="str">
        <f>IF(COUNTIFS(EmployeeData!$A:$A,$A24,EmployeeData!$F:$F,L$5)&gt;0,"PT","")</f>
        <v/>
      </c>
      <c r="M24" s="30" t="str">
        <f>IF(COUNTIFS(EmployeeData!$A:$A,$A24,EmployeeData!$F:$F,M$5)&gt;0,"PT","")</f>
        <v/>
      </c>
      <c r="N24" s="30" t="str">
        <f>IF(COUNTIFS(EmployeeData!$A:$A,$A24,EmployeeData!$F:$F,N$5)&gt;0,"PT","")</f>
        <v/>
      </c>
      <c r="O24" s="30" t="str">
        <f>IF(COUNTIFS(EmployeeData!$A:$A,$A24,EmployeeData!$F:$F,O$5)&gt;0,"PT","")</f>
        <v/>
      </c>
      <c r="P24" s="30" t="str">
        <f>IF(COUNTIFS(EmployeeData!$A:$A,$A24,EmployeeData!$F:$F,P$5)&gt;0,"PT","")</f>
        <v/>
      </c>
      <c r="Q24" s="30" t="str">
        <f>IF(COUNTIFS(EmployeeData!$A:$A,$A24,EmployeeData!$F:$F,Q$5)&gt;0,"PT","")</f>
        <v>PT</v>
      </c>
      <c r="R24" s="30" t="str">
        <f>IF(COUNTIFS(EmployeeData!$A:$A,$A24,EmployeeData!$F:$F,R$5)&gt;0,"PT","")</f>
        <v/>
      </c>
      <c r="S24" s="30" t="str">
        <f>IF(COUNTIFS(EmployeeData!$A:$A,$A24,EmployeeData!$F:$F,S$5)&gt;0,"PT","")</f>
        <v/>
      </c>
      <c r="T24" s="30" t="str">
        <f>IF(COUNTIFS(EmployeeData!$A:$A,$A24,EmployeeData!$F:$F,T$5)&gt;0,"PT","")</f>
        <v/>
      </c>
      <c r="U24" s="30" t="str">
        <f>IF(COUNTIFS(EmployeeData!$A:$A,$A24,EmployeeData!$F:$F,U$5)&gt;0,"PT","")</f>
        <v/>
      </c>
      <c r="V24" s="30" t="str">
        <f>IF(COUNTIFS(EmployeeData!$A:$A,$A24,EmployeeData!$F:$F,V$5)&gt;0,"PT","")</f>
        <v/>
      </c>
      <c r="W24" s="30" t="str">
        <f>IF(COUNTIFS(EmployeeData!$A:$A,$A24,EmployeeData!$F:$F,W$5)&gt;0,"PT","")</f>
        <v/>
      </c>
      <c r="X24" s="30" t="str">
        <f>IF(COUNTIFS(EmployeeData!$A:$A,$A24,EmployeeData!$F:$F,X$5)&gt;0,"PT","")</f>
        <v/>
      </c>
      <c r="Y24" s="30" t="str">
        <f>IF(COUNTIFS(EmployeeData!$A:$A,$A24,EmployeeData!$F:$F,Y$5)&gt;0,"PT","")</f>
        <v/>
      </c>
      <c r="Z24" s="30" t="str">
        <f>IF(COUNTIFS(EmployeeData!$A:$A,$A24,EmployeeData!$F:$F,Z$5)&gt;0,"PT","")</f>
        <v/>
      </c>
      <c r="AA24" s="30" t="s">
        <v>126</v>
      </c>
      <c r="AB24" s="30" t="str">
        <f>IF(COUNTIFS(EmployeeData!$A:$A,$A24,EmployeeData!$F:$F,AB$5)&gt;0,"PT","")</f>
        <v/>
      </c>
      <c r="AC24" s="30" t="str">
        <f>IF(COUNTIFS(EmployeeData!$A:$A,$A24,EmployeeData!$F:$F,AC$5)&gt;0,"PT","")</f>
        <v/>
      </c>
      <c r="AD24" s="30" t="str">
        <f>IF(COUNTIFS(EmployeeData!$A:$A,$A24,EmployeeData!$F:$F,AD$5)&gt;0,"PT","")</f>
        <v/>
      </c>
      <c r="AE24" s="30" t="str">
        <f>IF(COUNTIFS(EmployeeData!$A:$A,$A24,EmployeeData!$F:$F,AE$5)&gt;0,"PT","")</f>
        <v/>
      </c>
      <c r="AF24" s="30" t="str">
        <f>IF(COUNTIFS(EmployeeData!$A:$A,$A24,EmployeeData!$F:$F,AF$5)&gt;0,"PT","")</f>
        <v/>
      </c>
      <c r="AG24" s="8">
        <f t="shared" si="5"/>
        <v>2</v>
      </c>
      <c r="AH24" s="8">
        <f t="shared" si="3"/>
        <v>0</v>
      </c>
      <c r="AI24" s="8">
        <f t="shared" si="1"/>
        <v>0</v>
      </c>
      <c r="AJ24" s="8">
        <f t="shared" si="4"/>
        <v>0</v>
      </c>
      <c r="AK24" s="8">
        <f t="shared" si="2"/>
        <v>0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s="3" customFormat="1" ht="25.15" customHeight="1" x14ac:dyDescent="0.55000000000000004">
      <c r="A25" s="10" t="s">
        <v>21</v>
      </c>
      <c r="B25" s="30" t="s">
        <v>126</v>
      </c>
      <c r="C25" s="30" t="str">
        <f>IF(COUNTIFS(EmployeeData!$A:$A,$A25,EmployeeData!$F:$F,C$5)&gt;0,"PT","")</f>
        <v/>
      </c>
      <c r="D25" s="30" t="str">
        <f>IF(COUNTIFS(EmployeeData!$A:$A,$A25,EmployeeData!$F:$F,D$5)&gt;0,"PT","")</f>
        <v/>
      </c>
      <c r="E25" s="30" t="str">
        <f>IF(COUNTIFS(EmployeeData!$A:$A,$A25,EmployeeData!$F:$F,E$5)&gt;0,"PT","")</f>
        <v/>
      </c>
      <c r="F25" s="30" t="str">
        <f>IF(COUNTIFS(EmployeeData!$A:$A,$A25,EmployeeData!$F:$F,F$5)&gt;0,"PT","")</f>
        <v/>
      </c>
      <c r="G25" s="30" t="str">
        <f>IF(COUNTIFS(EmployeeData!$A:$A,$A25,EmployeeData!$F:$F,G$5)&gt;0,"PT","")</f>
        <v/>
      </c>
      <c r="H25" s="30" t="str">
        <f>IF(COUNTIFS(EmployeeData!$A:$A,$A25,EmployeeData!$F:$F,H$5)&gt;0,"PT","")</f>
        <v/>
      </c>
      <c r="I25" s="30" t="str">
        <f>IF(COUNTIFS(EmployeeData!$A:$A,$A25,EmployeeData!$F:$F,I$5)&gt;0,"PT","")</f>
        <v>PT</v>
      </c>
      <c r="J25" s="30" t="str">
        <f>IF(COUNTIFS(EmployeeData!$A:$A,$A25,EmployeeData!$F:$F,J$5)&gt;0,"PT","")</f>
        <v/>
      </c>
      <c r="K25" s="30" t="str">
        <f>IF(COUNTIFS(EmployeeData!$A:$A,$A25,EmployeeData!$F:$F,K$5)&gt;0,"PT","")</f>
        <v/>
      </c>
      <c r="L25" s="30" t="str">
        <f>IF(COUNTIFS(EmployeeData!$A:$A,$A25,EmployeeData!$F:$F,L$5)&gt;0,"PT","")</f>
        <v/>
      </c>
      <c r="M25" s="30" t="str">
        <f>IF(COUNTIFS(EmployeeData!$A:$A,$A25,EmployeeData!$F:$F,M$5)&gt;0,"PT","")</f>
        <v/>
      </c>
      <c r="N25" s="30" t="str">
        <f>IF(COUNTIFS(EmployeeData!$A:$A,$A25,EmployeeData!$F:$F,N$5)&gt;0,"PT","")</f>
        <v/>
      </c>
      <c r="O25" s="30" t="str">
        <f>IF(COUNTIFS(EmployeeData!$A:$A,$A25,EmployeeData!$F:$F,O$5)&gt;0,"PT","")</f>
        <v/>
      </c>
      <c r="P25" s="30" t="str">
        <f>IF(COUNTIFS(EmployeeData!$A:$A,$A25,EmployeeData!$F:$F,P$5)&gt;0,"PT","")</f>
        <v/>
      </c>
      <c r="Q25" s="30" t="str">
        <f>IF(COUNTIFS(EmployeeData!$A:$A,$A25,EmployeeData!$F:$F,Q$5)&gt;0,"PT","")</f>
        <v/>
      </c>
      <c r="R25" s="30" t="str">
        <f>IF(COUNTIFS(EmployeeData!$A:$A,$A25,EmployeeData!$F:$F,R$5)&gt;0,"PT","")</f>
        <v/>
      </c>
      <c r="S25" s="30" t="str">
        <f>IF(COUNTIFS(EmployeeData!$A:$A,$A25,EmployeeData!$F:$F,S$5)&gt;0,"PT","")</f>
        <v/>
      </c>
      <c r="T25" s="30" t="str">
        <f>IF(COUNTIFS(EmployeeData!$A:$A,$A25,EmployeeData!$F:$F,T$5)&gt;0,"PT","")</f>
        <v/>
      </c>
      <c r="U25" s="30" t="str">
        <f>IF(COUNTIFS(EmployeeData!$A:$A,$A25,EmployeeData!$F:$F,U$5)&gt;0,"PT","")</f>
        <v/>
      </c>
      <c r="V25" s="30" t="str">
        <f>IF(COUNTIFS(EmployeeData!$A:$A,$A25,EmployeeData!$F:$F,V$5)&gt;0,"PT","")</f>
        <v/>
      </c>
      <c r="W25" s="30" t="str">
        <f>IF(COUNTIFS(EmployeeData!$A:$A,$A25,EmployeeData!$F:$F,W$5)&gt;0,"PT","")</f>
        <v/>
      </c>
      <c r="X25" s="30" t="str">
        <f>IF(COUNTIFS(EmployeeData!$A:$A,$A25,EmployeeData!$F:$F,X$5)&gt;0,"PT","")</f>
        <v/>
      </c>
      <c r="Y25" s="30" t="str">
        <f>IF(COUNTIFS(EmployeeData!$A:$A,$A25,EmployeeData!$F:$F,Y$5)&gt;0,"PT","")</f>
        <v/>
      </c>
      <c r="Z25" s="30" t="str">
        <f>IF(COUNTIFS(EmployeeData!$A:$A,$A25,EmployeeData!$F:$F,Z$5)&gt;0,"PT","")</f>
        <v/>
      </c>
      <c r="AA25" s="30" t="s">
        <v>126</v>
      </c>
      <c r="AB25" s="30" t="str">
        <f>IF(COUNTIFS(EmployeeData!$A:$A,$A25,EmployeeData!$F:$F,AB$5)&gt;0,"PT","")</f>
        <v/>
      </c>
      <c r="AC25" s="30" t="str">
        <f>IF(COUNTIFS(EmployeeData!$A:$A,$A25,EmployeeData!$F:$F,AC$5)&gt;0,"PT","")</f>
        <v/>
      </c>
      <c r="AD25" s="30" t="str">
        <f>IF(COUNTIFS(EmployeeData!$A:$A,$A25,EmployeeData!$F:$F,AD$5)&gt;0,"PT","")</f>
        <v/>
      </c>
      <c r="AE25" s="30" t="str">
        <f>IF(COUNTIFS(EmployeeData!$A:$A,$A25,EmployeeData!$F:$F,AE$5)&gt;0,"PT","")</f>
        <v/>
      </c>
      <c r="AF25" s="30" t="str">
        <f>IF(COUNTIFS(EmployeeData!$A:$A,$A25,EmployeeData!$F:$F,AF$5)&gt;0,"PT","")</f>
        <v/>
      </c>
      <c r="AG25" s="8">
        <f t="shared" si="5"/>
        <v>1</v>
      </c>
      <c r="AH25" s="8">
        <f t="shared" si="3"/>
        <v>0</v>
      </c>
      <c r="AI25" s="8">
        <f t="shared" si="1"/>
        <v>0</v>
      </c>
      <c r="AJ25" s="8">
        <f t="shared" si="4"/>
        <v>0</v>
      </c>
      <c r="AK25" s="8">
        <f t="shared" si="2"/>
        <v>0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s="3" customFormat="1" ht="25.15" customHeight="1" x14ac:dyDescent="0.55000000000000004">
      <c r="A26" s="10" t="s">
        <v>42</v>
      </c>
      <c r="B26" s="30" t="s">
        <v>126</v>
      </c>
      <c r="C26" s="30" t="str">
        <f>IF(COUNTIFS(EmployeeData!$A:$A,$A26,EmployeeData!$F:$F,C$5)&gt;0,"PT","")</f>
        <v/>
      </c>
      <c r="D26" s="30" t="str">
        <f>IF(COUNTIFS(EmployeeData!$A:$A,$A26,EmployeeData!$F:$F,D$5)&gt;0,"PT","")</f>
        <v/>
      </c>
      <c r="E26" s="30" t="str">
        <f>IF(COUNTIFS(EmployeeData!$A:$A,$A26,EmployeeData!$F:$F,E$5)&gt;0,"PT","")</f>
        <v/>
      </c>
      <c r="F26" s="30" t="str">
        <f>IF(COUNTIFS(EmployeeData!$A:$A,$A26,EmployeeData!$F:$F,F$5)&gt;0,"PT","")</f>
        <v/>
      </c>
      <c r="G26" s="30" t="str">
        <f>IF(COUNTIFS(EmployeeData!$A:$A,$A26,EmployeeData!$F:$F,G$5)&gt;0,"PT","")</f>
        <v/>
      </c>
      <c r="H26" s="30" t="str">
        <f>IF(COUNTIFS(EmployeeData!$A:$A,$A26,EmployeeData!$F:$F,H$5)&gt;0,"PT","")</f>
        <v/>
      </c>
      <c r="I26" s="30" t="str">
        <f>IF(COUNTIFS(EmployeeData!$A:$A,$A26,EmployeeData!$F:$F,I$5)&gt;0,"PT","")</f>
        <v/>
      </c>
      <c r="J26" s="30" t="str">
        <f>IF(COUNTIFS(EmployeeData!$A:$A,$A26,EmployeeData!$F:$F,J$5)&gt;0,"PT","")</f>
        <v/>
      </c>
      <c r="K26" s="30" t="str">
        <f>IF(COUNTIFS(EmployeeData!$A:$A,$A26,EmployeeData!$F:$F,K$5)&gt;0,"PT","")</f>
        <v/>
      </c>
      <c r="L26" s="30" t="str">
        <f>IF(COUNTIFS(EmployeeData!$A:$A,$A26,EmployeeData!$F:$F,L$5)&gt;0,"PT","")</f>
        <v/>
      </c>
      <c r="M26" s="30" t="str">
        <f>IF(COUNTIFS(EmployeeData!$A:$A,$A26,EmployeeData!$F:$F,M$5)&gt;0,"PT","")</f>
        <v/>
      </c>
      <c r="N26" s="30" t="str">
        <f>IF(COUNTIFS(EmployeeData!$A:$A,$A26,EmployeeData!$F:$F,N$5)&gt;0,"PT","")</f>
        <v/>
      </c>
      <c r="O26" s="30" t="str">
        <f>IF(COUNTIFS(EmployeeData!$A:$A,$A26,EmployeeData!$F:$F,O$5)&gt;0,"PT","")</f>
        <v/>
      </c>
      <c r="P26" s="30" t="str">
        <f>IF(COUNTIFS(EmployeeData!$A:$A,$A26,EmployeeData!$F:$F,P$5)&gt;0,"PT","")</f>
        <v/>
      </c>
      <c r="Q26" s="30" t="str">
        <f>IF(COUNTIFS(EmployeeData!$A:$A,$A26,EmployeeData!$F:$F,Q$5)&gt;0,"PT","")</f>
        <v/>
      </c>
      <c r="R26" s="30" t="str">
        <f>IF(COUNTIFS(EmployeeData!$A:$A,$A26,EmployeeData!$F:$F,R$5)&gt;0,"PT","")</f>
        <v/>
      </c>
      <c r="S26" s="30" t="str">
        <f>IF(COUNTIFS(EmployeeData!$A:$A,$A26,EmployeeData!$F:$F,S$5)&gt;0,"PT","")</f>
        <v/>
      </c>
      <c r="T26" s="30" t="str">
        <f>IF(COUNTIFS(EmployeeData!$A:$A,$A26,EmployeeData!$F:$F,T$5)&gt;0,"PT","")</f>
        <v/>
      </c>
      <c r="U26" s="30" t="str">
        <f>IF(COUNTIFS(EmployeeData!$A:$A,$A26,EmployeeData!$F:$F,U$5)&gt;0,"PT","")</f>
        <v/>
      </c>
      <c r="V26" s="30" t="str">
        <f>IF(COUNTIFS(EmployeeData!$A:$A,$A26,EmployeeData!$F:$F,V$5)&gt;0,"PT","")</f>
        <v/>
      </c>
      <c r="W26" s="30" t="str">
        <f>IF(COUNTIFS(EmployeeData!$A:$A,$A26,EmployeeData!$F:$F,W$5)&gt;0,"PT","")</f>
        <v/>
      </c>
      <c r="X26" s="30" t="str">
        <f>IF(COUNTIFS(EmployeeData!$A:$A,$A26,EmployeeData!$F:$F,X$5)&gt;0,"PT","")</f>
        <v/>
      </c>
      <c r="Y26" s="30" t="str">
        <f>IF(COUNTIFS(EmployeeData!$A:$A,$A26,EmployeeData!$F:$F,Y$5)&gt;0,"PT","")</f>
        <v/>
      </c>
      <c r="Z26" s="30" t="str">
        <f>IF(COUNTIFS(EmployeeData!$A:$A,$A26,EmployeeData!$F:$F,Z$5)&gt;0,"PT","")</f>
        <v/>
      </c>
      <c r="AA26" s="30" t="s">
        <v>126</v>
      </c>
      <c r="AB26" s="30" t="str">
        <f>IF(COUNTIFS(EmployeeData!$A:$A,$A26,EmployeeData!$F:$F,AB$5)&gt;0,"PT","")</f>
        <v/>
      </c>
      <c r="AC26" s="30" t="str">
        <f>IF(COUNTIFS(EmployeeData!$A:$A,$A26,EmployeeData!$F:$F,AC$5)&gt;0,"PT","")</f>
        <v>PT</v>
      </c>
      <c r="AD26" s="30" t="str">
        <f>IF(COUNTIFS(EmployeeData!$A:$A,$A26,EmployeeData!$F:$F,AD$5)&gt;0,"PT","")</f>
        <v/>
      </c>
      <c r="AE26" s="30" t="str">
        <f>IF(COUNTIFS(EmployeeData!$A:$A,$A26,EmployeeData!$F:$F,AE$5)&gt;0,"PT","")</f>
        <v/>
      </c>
      <c r="AF26" s="30" t="str">
        <f>IF(COUNTIFS(EmployeeData!$A:$A,$A26,EmployeeData!$F:$F,AF$5)&gt;0,"PT","")</f>
        <v/>
      </c>
      <c r="AG26" s="8">
        <f t="shared" si="5"/>
        <v>1</v>
      </c>
      <c r="AH26" s="8">
        <f t="shared" si="3"/>
        <v>0</v>
      </c>
      <c r="AI26" s="8">
        <f t="shared" si="1"/>
        <v>0</v>
      </c>
      <c r="AJ26" s="8">
        <f t="shared" si="4"/>
        <v>0</v>
      </c>
      <c r="AK26" s="8">
        <f t="shared" si="2"/>
        <v>0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s="3" customFormat="1" ht="25.15" customHeight="1" x14ac:dyDescent="0.55000000000000004">
      <c r="A27" s="10" t="s">
        <v>26</v>
      </c>
      <c r="B27" s="30" t="s">
        <v>126</v>
      </c>
      <c r="C27" s="30" t="str">
        <f>IF(COUNTIFS(EmployeeData!$A:$A,$A27,EmployeeData!$F:$F,C$5)&gt;0,"PT","")</f>
        <v>PT</v>
      </c>
      <c r="D27" s="30" t="str">
        <f>IF(COUNTIFS(EmployeeData!$A:$A,$A27,EmployeeData!$F:$F,D$5)&gt;0,"PT","")</f>
        <v/>
      </c>
      <c r="E27" s="30" t="str">
        <f>IF(COUNTIFS(EmployeeData!$A:$A,$A27,EmployeeData!$F:$F,E$5)&gt;0,"PT","")</f>
        <v/>
      </c>
      <c r="F27" s="30" t="str">
        <f>IF(COUNTIFS(EmployeeData!$A:$A,$A27,EmployeeData!$F:$F,F$5)&gt;0,"PT","")</f>
        <v/>
      </c>
      <c r="G27" s="30" t="str">
        <f>IF(COUNTIFS(EmployeeData!$A:$A,$A27,EmployeeData!$F:$F,G$5)&gt;0,"PT","")</f>
        <v/>
      </c>
      <c r="H27" s="30" t="str">
        <f>IF(COUNTIFS(EmployeeData!$A:$A,$A27,EmployeeData!$F:$F,H$5)&gt;0,"PT","")</f>
        <v/>
      </c>
      <c r="I27" s="30" t="str">
        <f>IF(COUNTIFS(EmployeeData!$A:$A,$A27,EmployeeData!$F:$F,I$5)&gt;0,"PT","")</f>
        <v/>
      </c>
      <c r="J27" s="30" t="str">
        <f>IF(COUNTIFS(EmployeeData!$A:$A,$A27,EmployeeData!$F:$F,J$5)&gt;0,"PT","")</f>
        <v/>
      </c>
      <c r="K27" s="30" t="str">
        <f>IF(COUNTIFS(EmployeeData!$A:$A,$A27,EmployeeData!$F:$F,K$5)&gt;0,"PT","")</f>
        <v/>
      </c>
      <c r="L27" s="30" t="str">
        <f>IF(COUNTIFS(EmployeeData!$A:$A,$A27,EmployeeData!$F:$F,L$5)&gt;0,"PT","")</f>
        <v/>
      </c>
      <c r="M27" s="30" t="str">
        <f>IF(COUNTIFS(EmployeeData!$A:$A,$A27,EmployeeData!$F:$F,M$5)&gt;0,"PT","")</f>
        <v/>
      </c>
      <c r="N27" s="30" t="str">
        <f>IF(COUNTIFS(EmployeeData!$A:$A,$A27,EmployeeData!$F:$F,N$5)&gt;0,"PT","")</f>
        <v/>
      </c>
      <c r="O27" s="30" t="str">
        <f>IF(COUNTIFS(EmployeeData!$A:$A,$A27,EmployeeData!$F:$F,O$5)&gt;0,"PT","")</f>
        <v/>
      </c>
      <c r="P27" s="30" t="str">
        <f>IF(COUNTIFS(EmployeeData!$A:$A,$A27,EmployeeData!$F:$F,P$5)&gt;0,"PT","")</f>
        <v/>
      </c>
      <c r="Q27" s="30" t="str">
        <f>IF(COUNTIFS(EmployeeData!$A:$A,$A27,EmployeeData!$F:$F,Q$5)&gt;0,"PT","")</f>
        <v/>
      </c>
      <c r="R27" s="30" t="str">
        <f>IF(COUNTIFS(EmployeeData!$A:$A,$A27,EmployeeData!$F:$F,R$5)&gt;0,"PT","")</f>
        <v/>
      </c>
      <c r="S27" s="30" t="str">
        <f>IF(COUNTIFS(EmployeeData!$A:$A,$A27,EmployeeData!$F:$F,S$5)&gt;0,"PT","")</f>
        <v/>
      </c>
      <c r="T27" s="30" t="str">
        <f>IF(COUNTIFS(EmployeeData!$A:$A,$A27,EmployeeData!$F:$F,T$5)&gt;0,"PT","")</f>
        <v/>
      </c>
      <c r="U27" s="30" t="str">
        <f>IF(COUNTIFS(EmployeeData!$A:$A,$A27,EmployeeData!$F:$F,U$5)&gt;0,"PT","")</f>
        <v/>
      </c>
      <c r="V27" s="30" t="str">
        <f>IF(COUNTIFS(EmployeeData!$A:$A,$A27,EmployeeData!$F:$F,V$5)&gt;0,"PT","")</f>
        <v/>
      </c>
      <c r="W27" s="30" t="str">
        <f>IF(COUNTIFS(EmployeeData!$A:$A,$A27,EmployeeData!$F:$F,W$5)&gt;0,"PT","")</f>
        <v/>
      </c>
      <c r="X27" s="30" t="str">
        <f>IF(COUNTIFS(EmployeeData!$A:$A,$A27,EmployeeData!$F:$F,X$5)&gt;0,"PT","")</f>
        <v/>
      </c>
      <c r="Y27" s="30" t="str">
        <f>IF(COUNTIFS(EmployeeData!$A:$A,$A27,EmployeeData!$F:$F,Y$5)&gt;0,"PT","")</f>
        <v/>
      </c>
      <c r="Z27" s="30" t="str">
        <f>IF(COUNTIFS(EmployeeData!$A:$A,$A27,EmployeeData!$F:$F,Z$5)&gt;0,"PT","")</f>
        <v/>
      </c>
      <c r="AA27" s="30" t="s">
        <v>126</v>
      </c>
      <c r="AB27" s="30" t="str">
        <f>IF(COUNTIFS(EmployeeData!$A:$A,$A27,EmployeeData!$F:$F,AB$5)&gt;0,"PT","")</f>
        <v/>
      </c>
      <c r="AC27" s="30" t="str">
        <f>IF(COUNTIFS(EmployeeData!$A:$A,$A27,EmployeeData!$F:$F,AC$5)&gt;0,"PT","")</f>
        <v/>
      </c>
      <c r="AD27" s="30" t="str">
        <f>IF(COUNTIFS(EmployeeData!$A:$A,$A27,EmployeeData!$F:$F,AD$5)&gt;0,"PT","")</f>
        <v/>
      </c>
      <c r="AE27" s="30" t="str">
        <f>IF(COUNTIFS(EmployeeData!$A:$A,$A27,EmployeeData!$F:$F,AE$5)&gt;0,"PT","")</f>
        <v/>
      </c>
      <c r="AF27" s="30" t="str">
        <f>IF(COUNTIFS(EmployeeData!$A:$A,$A27,EmployeeData!$F:$F,AF$5)&gt;0,"PT","")</f>
        <v/>
      </c>
      <c r="AG27" s="8">
        <f t="shared" si="5"/>
        <v>1</v>
      </c>
      <c r="AH27" s="8">
        <f t="shared" si="3"/>
        <v>0</v>
      </c>
      <c r="AI27" s="8">
        <f t="shared" si="1"/>
        <v>0</v>
      </c>
      <c r="AJ27" s="8">
        <f t="shared" si="4"/>
        <v>0</v>
      </c>
      <c r="AK27" s="8">
        <f t="shared" si="2"/>
        <v>0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s="3" customFormat="1" ht="25.15" customHeight="1" x14ac:dyDescent="0.55000000000000004">
      <c r="A28" s="10" t="s">
        <v>44</v>
      </c>
      <c r="B28" s="30" t="s">
        <v>126</v>
      </c>
      <c r="C28" s="30" t="str">
        <f>IF(COUNTIFS(EmployeeData!$A:$A,$A28,EmployeeData!$F:$F,C$5)&gt;0,"PT","")</f>
        <v/>
      </c>
      <c r="D28" s="30" t="str">
        <f>IF(COUNTIFS(EmployeeData!$A:$A,$A28,EmployeeData!$F:$F,D$5)&gt;0,"PT","")</f>
        <v/>
      </c>
      <c r="E28" s="30" t="str">
        <f>IF(COUNTIFS(EmployeeData!$A:$A,$A28,EmployeeData!$F:$F,E$5)&gt;0,"PT","")</f>
        <v/>
      </c>
      <c r="F28" s="30" t="str">
        <f>IF(COUNTIFS(EmployeeData!$A:$A,$A28,EmployeeData!$F:$F,F$5)&gt;0,"PT","")</f>
        <v/>
      </c>
      <c r="G28" s="30" t="str">
        <f>IF(COUNTIFS(EmployeeData!$A:$A,$A28,EmployeeData!$F:$F,G$5)&gt;0,"PT","")</f>
        <v/>
      </c>
      <c r="H28" s="30" t="str">
        <f>IF(COUNTIFS(EmployeeData!$A:$A,$A28,EmployeeData!$F:$F,H$5)&gt;0,"PT","")</f>
        <v/>
      </c>
      <c r="I28" s="30" t="str">
        <f>IF(COUNTIFS(EmployeeData!$A:$A,$A28,EmployeeData!$F:$F,I$5)&gt;0,"PT","")</f>
        <v/>
      </c>
      <c r="J28" s="30" t="str">
        <f>IF(COUNTIFS(EmployeeData!$A:$A,$A28,EmployeeData!$F:$F,J$5)&gt;0,"PT","")</f>
        <v/>
      </c>
      <c r="K28" s="30" t="str">
        <f>IF(COUNTIFS(EmployeeData!$A:$A,$A28,EmployeeData!$F:$F,K$5)&gt;0,"PT","")</f>
        <v/>
      </c>
      <c r="L28" s="30" t="str">
        <f>IF(COUNTIFS(EmployeeData!$A:$A,$A28,EmployeeData!$F:$F,L$5)&gt;0,"PT","")</f>
        <v/>
      </c>
      <c r="M28" s="30" t="str">
        <f>IF(COUNTIFS(EmployeeData!$A:$A,$A28,EmployeeData!$F:$F,M$5)&gt;0,"PT","")</f>
        <v/>
      </c>
      <c r="N28" s="30" t="str">
        <f>IF(COUNTIFS(EmployeeData!$A:$A,$A28,EmployeeData!$F:$F,N$5)&gt;0,"PT","")</f>
        <v/>
      </c>
      <c r="O28" s="30" t="str">
        <f>IF(COUNTIFS(EmployeeData!$A:$A,$A28,EmployeeData!$F:$F,O$5)&gt;0,"PT","")</f>
        <v/>
      </c>
      <c r="P28" s="30" t="str">
        <f>IF(COUNTIFS(EmployeeData!$A:$A,$A28,EmployeeData!$F:$F,P$5)&gt;0,"PT","")</f>
        <v/>
      </c>
      <c r="Q28" s="30" t="str">
        <f>IF(COUNTIFS(EmployeeData!$A:$A,$A28,EmployeeData!$F:$F,Q$5)&gt;0,"PT","")</f>
        <v/>
      </c>
      <c r="R28" s="30" t="str">
        <f>IF(COUNTIFS(EmployeeData!$A:$A,$A28,EmployeeData!$F:$F,R$5)&gt;0,"PT","")</f>
        <v/>
      </c>
      <c r="S28" s="30" t="str">
        <f>IF(COUNTIFS(EmployeeData!$A:$A,$A28,EmployeeData!$F:$F,S$5)&gt;0,"PT","")</f>
        <v/>
      </c>
      <c r="T28" s="30" t="str">
        <f>IF(COUNTIFS(EmployeeData!$A:$A,$A28,EmployeeData!$F:$F,T$5)&gt;0,"PT","")</f>
        <v/>
      </c>
      <c r="U28" s="30" t="str">
        <f>IF(COUNTIFS(EmployeeData!$A:$A,$A28,EmployeeData!$F:$F,U$5)&gt;0,"PT","")</f>
        <v/>
      </c>
      <c r="V28" s="30" t="str">
        <f>IF(COUNTIFS(EmployeeData!$A:$A,$A28,EmployeeData!$F:$F,V$5)&gt;0,"PT","")</f>
        <v/>
      </c>
      <c r="W28" s="30" t="str">
        <f>IF(COUNTIFS(EmployeeData!$A:$A,$A28,EmployeeData!$F:$F,W$5)&gt;0,"PT","")</f>
        <v/>
      </c>
      <c r="X28" s="30" t="str">
        <f>IF(COUNTIFS(EmployeeData!$A:$A,$A28,EmployeeData!$F:$F,X$5)&gt;0,"PT","")</f>
        <v/>
      </c>
      <c r="Y28" s="30" t="str">
        <f>IF(COUNTIFS(EmployeeData!$A:$A,$A28,EmployeeData!$F:$F,Y$5)&gt;0,"PT","")</f>
        <v/>
      </c>
      <c r="Z28" s="30" t="str">
        <f>IF(COUNTIFS(EmployeeData!$A:$A,$A28,EmployeeData!$F:$F,Z$5)&gt;0,"PT","")</f>
        <v/>
      </c>
      <c r="AA28" s="30" t="s">
        <v>126</v>
      </c>
      <c r="AB28" s="30" t="str">
        <f>IF(COUNTIFS(EmployeeData!$A:$A,$A28,EmployeeData!$F:$F,AB$5)&gt;0,"PT","")</f>
        <v>PT</v>
      </c>
      <c r="AC28" s="30" t="str">
        <f>IF(COUNTIFS(EmployeeData!$A:$A,$A28,EmployeeData!$F:$F,AC$5)&gt;0,"PT","")</f>
        <v/>
      </c>
      <c r="AD28" s="30" t="str">
        <f>IF(COUNTIFS(EmployeeData!$A:$A,$A28,EmployeeData!$F:$F,AD$5)&gt;0,"PT","")</f>
        <v/>
      </c>
      <c r="AE28" s="30" t="str">
        <f>IF(COUNTIFS(EmployeeData!$A:$A,$A28,EmployeeData!$F:$F,AE$5)&gt;0,"PT","")</f>
        <v/>
      </c>
      <c r="AF28" s="30" t="str">
        <f>IF(COUNTIFS(EmployeeData!$A:$A,$A28,EmployeeData!$F:$F,AF$5)&gt;0,"PT","")</f>
        <v/>
      </c>
      <c r="AG28" s="8">
        <f t="shared" si="5"/>
        <v>1</v>
      </c>
      <c r="AH28" s="8">
        <f t="shared" si="3"/>
        <v>0</v>
      </c>
      <c r="AI28" s="8">
        <f t="shared" si="1"/>
        <v>0</v>
      </c>
      <c r="AJ28" s="8">
        <f t="shared" si="4"/>
        <v>0</v>
      </c>
      <c r="AK28" s="8">
        <f t="shared" si="2"/>
        <v>0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s="3" customFormat="1" ht="25.15" customHeight="1" x14ac:dyDescent="0.55000000000000004">
      <c r="A29" s="10" t="s">
        <v>25</v>
      </c>
      <c r="B29" s="30" t="s">
        <v>126</v>
      </c>
      <c r="C29" s="30" t="str">
        <f>IF(COUNTIFS(EmployeeData!$A:$A,$A29,EmployeeData!$F:$F,C$5)&gt;0,"PT","")</f>
        <v>PT</v>
      </c>
      <c r="D29" s="30" t="str">
        <f>IF(COUNTIFS(EmployeeData!$A:$A,$A29,EmployeeData!$F:$F,D$5)&gt;0,"PT","")</f>
        <v/>
      </c>
      <c r="E29" s="30" t="str">
        <f>IF(COUNTIFS(EmployeeData!$A:$A,$A29,EmployeeData!$F:$F,E$5)&gt;0,"PT","")</f>
        <v/>
      </c>
      <c r="F29" s="30" t="str">
        <f>IF(COUNTIFS(EmployeeData!$A:$A,$A29,EmployeeData!$F:$F,F$5)&gt;0,"PT","")</f>
        <v/>
      </c>
      <c r="G29" s="30" t="str">
        <f>IF(COUNTIFS(EmployeeData!$A:$A,$A29,EmployeeData!$F:$F,G$5)&gt;0,"PT","")</f>
        <v/>
      </c>
      <c r="H29" s="30" t="str">
        <f>IF(COUNTIFS(EmployeeData!$A:$A,$A29,EmployeeData!$F:$F,H$5)&gt;0,"PT","")</f>
        <v/>
      </c>
      <c r="I29" s="30" t="str">
        <f>IF(COUNTIFS(EmployeeData!$A:$A,$A29,EmployeeData!$F:$F,I$5)&gt;0,"PT","")</f>
        <v/>
      </c>
      <c r="J29" s="30" t="str">
        <f>IF(COUNTIFS(EmployeeData!$A:$A,$A29,EmployeeData!$F:$F,J$5)&gt;0,"PT","")</f>
        <v/>
      </c>
      <c r="K29" s="30" t="str">
        <f>IF(COUNTIFS(EmployeeData!$A:$A,$A29,EmployeeData!$F:$F,K$5)&gt;0,"PT","")</f>
        <v/>
      </c>
      <c r="L29" s="30" t="str">
        <f>IF(COUNTIFS(EmployeeData!$A:$A,$A29,EmployeeData!$F:$F,L$5)&gt;0,"PT","")</f>
        <v/>
      </c>
      <c r="M29" s="30" t="str">
        <f>IF(COUNTIFS(EmployeeData!$A:$A,$A29,EmployeeData!$F:$F,M$5)&gt;0,"PT","")</f>
        <v/>
      </c>
      <c r="N29" s="30" t="str">
        <f>IF(COUNTIFS(EmployeeData!$A:$A,$A29,EmployeeData!$F:$F,N$5)&gt;0,"PT","")</f>
        <v/>
      </c>
      <c r="O29" s="30" t="str">
        <f>IF(COUNTIFS(EmployeeData!$A:$A,$A29,EmployeeData!$F:$F,O$5)&gt;0,"PT","")</f>
        <v/>
      </c>
      <c r="P29" s="30" t="str">
        <f>IF(COUNTIFS(EmployeeData!$A:$A,$A29,EmployeeData!$F:$F,P$5)&gt;0,"PT","")</f>
        <v/>
      </c>
      <c r="Q29" s="30" t="str">
        <f>IF(COUNTIFS(EmployeeData!$A:$A,$A29,EmployeeData!$F:$F,Q$5)&gt;0,"PT","")</f>
        <v/>
      </c>
      <c r="R29" s="30" t="str">
        <f>IF(COUNTIFS(EmployeeData!$A:$A,$A29,EmployeeData!$F:$F,R$5)&gt;0,"PT","")</f>
        <v/>
      </c>
      <c r="S29" s="30" t="str">
        <f>IF(COUNTIFS(EmployeeData!$A:$A,$A29,EmployeeData!$F:$F,S$5)&gt;0,"PT","")</f>
        <v/>
      </c>
      <c r="T29" s="30" t="str">
        <f>IF(COUNTIFS(EmployeeData!$A:$A,$A29,EmployeeData!$F:$F,T$5)&gt;0,"PT","")</f>
        <v/>
      </c>
      <c r="U29" s="30" t="str">
        <f>IF(COUNTIFS(EmployeeData!$A:$A,$A29,EmployeeData!$F:$F,U$5)&gt;0,"PT","")</f>
        <v/>
      </c>
      <c r="V29" s="30" t="str">
        <f>IF(COUNTIFS(EmployeeData!$A:$A,$A29,EmployeeData!$F:$F,V$5)&gt;0,"PT","")</f>
        <v/>
      </c>
      <c r="W29" s="30" t="str">
        <f>IF(COUNTIFS(EmployeeData!$A:$A,$A29,EmployeeData!$F:$F,W$5)&gt;0,"PT","")</f>
        <v/>
      </c>
      <c r="X29" s="30" t="str">
        <f>IF(COUNTIFS(EmployeeData!$A:$A,$A29,EmployeeData!$F:$F,X$5)&gt;0,"PT","")</f>
        <v/>
      </c>
      <c r="Y29" s="30" t="str">
        <f>IF(COUNTIFS(EmployeeData!$A:$A,$A29,EmployeeData!$F:$F,Y$5)&gt;0,"PT","")</f>
        <v/>
      </c>
      <c r="Z29" s="30" t="str">
        <f>IF(COUNTIFS(EmployeeData!$A:$A,$A29,EmployeeData!$F:$F,Z$5)&gt;0,"PT","")</f>
        <v/>
      </c>
      <c r="AA29" s="30" t="s">
        <v>126</v>
      </c>
      <c r="AB29" s="30" t="str">
        <f>IF(COUNTIFS(EmployeeData!$A:$A,$A29,EmployeeData!$F:$F,AB$5)&gt;0,"PT","")</f>
        <v/>
      </c>
      <c r="AC29" s="30" t="str">
        <f>IF(COUNTIFS(EmployeeData!$A:$A,$A29,EmployeeData!$F:$F,AC$5)&gt;0,"PT","")</f>
        <v/>
      </c>
      <c r="AD29" s="30" t="str">
        <f>IF(COUNTIFS(EmployeeData!$A:$A,$A29,EmployeeData!$F:$F,AD$5)&gt;0,"PT","")</f>
        <v/>
      </c>
      <c r="AE29" s="30" t="str">
        <f>IF(COUNTIFS(EmployeeData!$A:$A,$A29,EmployeeData!$F:$F,AE$5)&gt;0,"PT","")</f>
        <v/>
      </c>
      <c r="AF29" s="30" t="str">
        <f>IF(COUNTIFS(EmployeeData!$A:$A,$A29,EmployeeData!$F:$F,AF$5)&gt;0,"PT","")</f>
        <v/>
      </c>
      <c r="AG29" s="8">
        <f t="shared" si="5"/>
        <v>1</v>
      </c>
      <c r="AH29" s="8">
        <f t="shared" si="3"/>
        <v>0</v>
      </c>
      <c r="AI29" s="8">
        <f t="shared" si="1"/>
        <v>0</v>
      </c>
      <c r="AJ29" s="8">
        <f t="shared" si="4"/>
        <v>0</v>
      </c>
      <c r="AK29" s="8">
        <f t="shared" si="2"/>
        <v>0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s="3" customFormat="1" ht="25.15" customHeight="1" x14ac:dyDescent="0.55000000000000004">
      <c r="A30" s="10" t="s">
        <v>24</v>
      </c>
      <c r="B30" s="30" t="s">
        <v>126</v>
      </c>
      <c r="C30" s="30" t="str">
        <f>IF(COUNTIFS(EmployeeData!$A:$A,$A30,EmployeeData!$F:$F,C$5)&gt;0,"PT","")</f>
        <v/>
      </c>
      <c r="D30" s="30" t="str">
        <f>IF(COUNTIFS(EmployeeData!$A:$A,$A30,EmployeeData!$F:$F,D$5)&gt;0,"PT","")</f>
        <v/>
      </c>
      <c r="E30" s="30" t="str">
        <f>IF(COUNTIFS(EmployeeData!$A:$A,$A30,EmployeeData!$F:$F,E$5)&gt;0,"PT","")</f>
        <v/>
      </c>
      <c r="F30" s="30" t="str">
        <f>IF(COUNTIFS(EmployeeData!$A:$A,$A30,EmployeeData!$F:$F,F$5)&gt;0,"PT","")</f>
        <v/>
      </c>
      <c r="G30" s="30" t="str">
        <f>IF(COUNTIFS(EmployeeData!$A:$A,$A30,EmployeeData!$F:$F,G$5)&gt;0,"PT","")</f>
        <v/>
      </c>
      <c r="H30" s="30" t="str">
        <f>IF(COUNTIFS(EmployeeData!$A:$A,$A30,EmployeeData!$F:$F,H$5)&gt;0,"PT","")</f>
        <v/>
      </c>
      <c r="I30" s="30" t="str">
        <f>IF(COUNTIFS(EmployeeData!$A:$A,$A30,EmployeeData!$F:$F,I$5)&gt;0,"PT","")</f>
        <v/>
      </c>
      <c r="J30" s="30" t="str">
        <f>IF(COUNTIFS(EmployeeData!$A:$A,$A30,EmployeeData!$F:$F,J$5)&gt;0,"PT","")</f>
        <v/>
      </c>
      <c r="K30" s="30" t="str">
        <f>IF(COUNTIFS(EmployeeData!$A:$A,$A30,EmployeeData!$F:$F,K$5)&gt;0,"PT","")</f>
        <v/>
      </c>
      <c r="L30" s="30" t="str">
        <f>IF(COUNTIFS(EmployeeData!$A:$A,$A30,EmployeeData!$F:$F,L$5)&gt;0,"PT","")</f>
        <v/>
      </c>
      <c r="M30" s="30" t="str">
        <f>IF(COUNTIFS(EmployeeData!$A:$A,$A30,EmployeeData!$F:$F,M$5)&gt;0,"PT","")</f>
        <v/>
      </c>
      <c r="N30" s="30" t="str">
        <f>IF(COUNTIFS(EmployeeData!$A:$A,$A30,EmployeeData!$F:$F,N$5)&gt;0,"PT","")</f>
        <v/>
      </c>
      <c r="O30" s="30" t="str">
        <f>IF(COUNTIFS(EmployeeData!$A:$A,$A30,EmployeeData!$F:$F,O$5)&gt;0,"PT","")</f>
        <v/>
      </c>
      <c r="P30" s="30" t="str">
        <f>IF(COUNTIFS(EmployeeData!$A:$A,$A30,EmployeeData!$F:$F,P$5)&gt;0,"PT","")</f>
        <v/>
      </c>
      <c r="Q30" s="30" t="str">
        <f>IF(COUNTIFS(EmployeeData!$A:$A,$A30,EmployeeData!$F:$F,Q$5)&gt;0,"PT","")</f>
        <v>PT</v>
      </c>
      <c r="R30" s="30" t="str">
        <f>IF(COUNTIFS(EmployeeData!$A:$A,$A30,EmployeeData!$F:$F,R$5)&gt;0,"PT","")</f>
        <v/>
      </c>
      <c r="S30" s="30" t="str">
        <f>IF(COUNTIFS(EmployeeData!$A:$A,$A30,EmployeeData!$F:$F,S$5)&gt;0,"PT","")</f>
        <v/>
      </c>
      <c r="T30" s="30" t="str">
        <f>IF(COUNTIFS(EmployeeData!$A:$A,$A30,EmployeeData!$F:$F,T$5)&gt;0,"PT","")</f>
        <v/>
      </c>
      <c r="U30" s="30" t="str">
        <f>IF(COUNTIFS(EmployeeData!$A:$A,$A30,EmployeeData!$F:$F,U$5)&gt;0,"PT","")</f>
        <v/>
      </c>
      <c r="V30" s="30" t="str">
        <f>IF(COUNTIFS(EmployeeData!$A:$A,$A30,EmployeeData!$F:$F,V$5)&gt;0,"PT","")</f>
        <v/>
      </c>
      <c r="W30" s="30" t="str">
        <f>IF(COUNTIFS(EmployeeData!$A:$A,$A30,EmployeeData!$F:$F,W$5)&gt;0,"PT","")</f>
        <v/>
      </c>
      <c r="X30" s="30" t="str">
        <f>IF(COUNTIFS(EmployeeData!$A:$A,$A30,EmployeeData!$F:$F,X$5)&gt;0,"PT","")</f>
        <v/>
      </c>
      <c r="Y30" s="30" t="str">
        <f>IF(COUNTIFS(EmployeeData!$A:$A,$A30,EmployeeData!$F:$F,Y$5)&gt;0,"PT","")</f>
        <v/>
      </c>
      <c r="Z30" s="30" t="str">
        <f>IF(COUNTIFS(EmployeeData!$A:$A,$A30,EmployeeData!$F:$F,Z$5)&gt;0,"PT","")</f>
        <v/>
      </c>
      <c r="AA30" s="30" t="s">
        <v>126</v>
      </c>
      <c r="AB30" s="30" t="str">
        <f>IF(COUNTIFS(EmployeeData!$A:$A,$A30,EmployeeData!$F:$F,AB$5)&gt;0,"PT","")</f>
        <v/>
      </c>
      <c r="AC30" s="30" t="str">
        <f>IF(COUNTIFS(EmployeeData!$A:$A,$A30,EmployeeData!$F:$F,AC$5)&gt;0,"PT","")</f>
        <v/>
      </c>
      <c r="AD30" s="30" t="str">
        <f>IF(COUNTIFS(EmployeeData!$A:$A,$A30,EmployeeData!$F:$F,AD$5)&gt;0,"PT","")</f>
        <v/>
      </c>
      <c r="AE30" s="30" t="str">
        <f>IF(COUNTIFS(EmployeeData!$A:$A,$A30,EmployeeData!$F:$F,AE$5)&gt;0,"PT","")</f>
        <v/>
      </c>
      <c r="AF30" s="30" t="str">
        <f>IF(COUNTIFS(EmployeeData!$A:$A,$A30,EmployeeData!$F:$F,AF$5)&gt;0,"PT","")</f>
        <v/>
      </c>
      <c r="AG30" s="8">
        <f t="shared" si="5"/>
        <v>1</v>
      </c>
      <c r="AH30" s="8">
        <f t="shared" si="3"/>
        <v>0</v>
      </c>
      <c r="AI30" s="8">
        <f t="shared" si="1"/>
        <v>0</v>
      </c>
      <c r="AJ30" s="8">
        <f t="shared" si="4"/>
        <v>0</v>
      </c>
      <c r="AK30" s="8">
        <f t="shared" si="2"/>
        <v>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s="3" customFormat="1" ht="25.15" customHeight="1" x14ac:dyDescent="0.55000000000000004">
      <c r="A31" s="10" t="s">
        <v>60</v>
      </c>
      <c r="B31" s="30" t="s">
        <v>126</v>
      </c>
      <c r="C31" s="30" t="str">
        <f>IF(COUNTIFS(EmployeeData!$A:$A,$A31,EmployeeData!$F:$F,C$5)&gt;0,"PT","")</f>
        <v/>
      </c>
      <c r="D31" s="30" t="str">
        <f>IF(COUNTIFS(EmployeeData!$A:$A,$A31,EmployeeData!$F:$F,D$5)&gt;0,"PT","")</f>
        <v/>
      </c>
      <c r="E31" s="30" t="str">
        <f>IF(COUNTIFS(EmployeeData!$A:$A,$A31,EmployeeData!$F:$F,E$5)&gt;0,"PT","")</f>
        <v/>
      </c>
      <c r="F31" s="30" t="str">
        <f>IF(COUNTIFS(EmployeeData!$A:$A,$A31,EmployeeData!$F:$F,F$5)&gt;0,"PT","")</f>
        <v/>
      </c>
      <c r="G31" s="30" t="str">
        <f>IF(COUNTIFS(EmployeeData!$A:$A,$A31,EmployeeData!$F:$F,G$5)&gt;0,"PT","")</f>
        <v/>
      </c>
      <c r="H31" s="30" t="str">
        <f>IF(COUNTIFS(EmployeeData!$A:$A,$A31,EmployeeData!$F:$F,H$5)&gt;0,"PT","")</f>
        <v/>
      </c>
      <c r="I31" s="30" t="str">
        <f>IF(COUNTIFS(EmployeeData!$A:$A,$A31,EmployeeData!$F:$F,I$5)&gt;0,"PT","")</f>
        <v/>
      </c>
      <c r="J31" s="30" t="str">
        <f>IF(COUNTIFS(EmployeeData!$A:$A,$A31,EmployeeData!$F:$F,J$5)&gt;0,"PT","")</f>
        <v/>
      </c>
      <c r="K31" s="30" t="str">
        <f>IF(COUNTIFS(EmployeeData!$A:$A,$A31,EmployeeData!$F:$F,K$5)&gt;0,"PT","")</f>
        <v/>
      </c>
      <c r="L31" s="30" t="str">
        <f>IF(COUNTIFS(EmployeeData!$A:$A,$A31,EmployeeData!$F:$F,L$5)&gt;0,"PT","")</f>
        <v/>
      </c>
      <c r="M31" s="30" t="str">
        <f>IF(COUNTIFS(EmployeeData!$A:$A,$A31,EmployeeData!$F:$F,M$5)&gt;0,"PT","")</f>
        <v/>
      </c>
      <c r="N31" s="30" t="str">
        <f>IF(COUNTIFS(EmployeeData!$A:$A,$A31,EmployeeData!$F:$F,N$5)&gt;0,"PT","")</f>
        <v/>
      </c>
      <c r="O31" s="30" t="str">
        <f>IF(COUNTIFS(EmployeeData!$A:$A,$A31,EmployeeData!$F:$F,O$5)&gt;0,"PT","")</f>
        <v/>
      </c>
      <c r="P31" s="30" t="str">
        <f>IF(COUNTIFS(EmployeeData!$A:$A,$A31,EmployeeData!$F:$F,P$5)&gt;0,"PT","")</f>
        <v/>
      </c>
      <c r="Q31" s="30" t="str">
        <f>IF(COUNTIFS(EmployeeData!$A:$A,$A31,EmployeeData!$F:$F,Q$5)&gt;0,"PT","")</f>
        <v/>
      </c>
      <c r="R31" s="30" t="str">
        <f>IF(COUNTIFS(EmployeeData!$A:$A,$A31,EmployeeData!$F:$F,R$5)&gt;0,"PT","")</f>
        <v/>
      </c>
      <c r="S31" s="30" t="str">
        <f>IF(COUNTIFS(EmployeeData!$A:$A,$A31,EmployeeData!$F:$F,S$5)&gt;0,"PT","")</f>
        <v/>
      </c>
      <c r="T31" s="30" t="str">
        <f>IF(COUNTIFS(EmployeeData!$A:$A,$A31,EmployeeData!$F:$F,T$5)&gt;0,"PT","")</f>
        <v/>
      </c>
      <c r="U31" s="30" t="str">
        <f>IF(COUNTIFS(EmployeeData!$A:$A,$A31,EmployeeData!$F:$F,U$5)&gt;0,"PT","")</f>
        <v/>
      </c>
      <c r="V31" s="30" t="str">
        <f>IF(COUNTIFS(EmployeeData!$A:$A,$A31,EmployeeData!$F:$F,V$5)&gt;0,"PT","")</f>
        <v/>
      </c>
      <c r="W31" s="30" t="str">
        <f>IF(COUNTIFS(EmployeeData!$A:$A,$A31,EmployeeData!$F:$F,W$5)&gt;0,"PT","")</f>
        <v/>
      </c>
      <c r="X31" s="30" t="str">
        <f>IF(COUNTIFS(EmployeeData!$A:$A,$A31,EmployeeData!$F:$F,X$5)&gt;0,"PT","")</f>
        <v/>
      </c>
      <c r="Y31" s="30" t="str">
        <f>IF(COUNTIFS(EmployeeData!$A:$A,$A31,EmployeeData!$F:$F,Y$5)&gt;0,"PT","")</f>
        <v/>
      </c>
      <c r="Z31" s="30" t="str">
        <f>IF(COUNTIFS(EmployeeData!$A:$A,$A31,EmployeeData!$F:$F,Z$5)&gt;0,"PT","")</f>
        <v/>
      </c>
      <c r="AA31" s="30" t="s">
        <v>126</v>
      </c>
      <c r="AB31" s="30" t="str">
        <f>IF(COUNTIFS(EmployeeData!$A:$A,$A31,EmployeeData!$F:$F,AB$5)&gt;0,"PT","")</f>
        <v>PT</v>
      </c>
      <c r="AC31" s="30" t="str">
        <f>IF(COUNTIFS(EmployeeData!$A:$A,$A31,EmployeeData!$F:$F,AC$5)&gt;0,"PT","")</f>
        <v/>
      </c>
      <c r="AD31" s="30" t="str">
        <f>IF(COUNTIFS(EmployeeData!$A:$A,$A31,EmployeeData!$F:$F,AD$5)&gt;0,"PT","")</f>
        <v/>
      </c>
      <c r="AE31" s="30" t="str">
        <f>IF(COUNTIFS(EmployeeData!$A:$A,$A31,EmployeeData!$F:$F,AE$5)&gt;0,"PT","")</f>
        <v/>
      </c>
      <c r="AF31" s="30" t="str">
        <f>IF(COUNTIFS(EmployeeData!$A:$A,$A31,EmployeeData!$F:$F,AF$5)&gt;0,"PT","")</f>
        <v/>
      </c>
      <c r="AG31" s="8">
        <f t="shared" si="5"/>
        <v>1</v>
      </c>
      <c r="AH31" s="8">
        <f t="shared" si="3"/>
        <v>0</v>
      </c>
      <c r="AI31" s="8">
        <f t="shared" si="1"/>
        <v>0</v>
      </c>
      <c r="AJ31" s="8">
        <f t="shared" si="4"/>
        <v>0</v>
      </c>
      <c r="AK31" s="8">
        <f t="shared" si="2"/>
        <v>0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s="3" customFormat="1" ht="25.15" customHeight="1" x14ac:dyDescent="0.55000000000000004">
      <c r="A32" s="10" t="s">
        <v>52</v>
      </c>
      <c r="B32" s="30" t="s">
        <v>126</v>
      </c>
      <c r="C32" s="30" t="str">
        <f>IF(COUNTIFS(EmployeeData!$A:$A,$A32,EmployeeData!$F:$F,C$5)&gt;0,"PT","")</f>
        <v>PT</v>
      </c>
      <c r="D32" s="30" t="str">
        <f>IF(COUNTIFS(EmployeeData!$A:$A,$A32,EmployeeData!$F:$F,D$5)&gt;0,"PT","")</f>
        <v/>
      </c>
      <c r="E32" s="30" t="str">
        <f>IF(COUNTIFS(EmployeeData!$A:$A,$A32,EmployeeData!$F:$F,E$5)&gt;0,"PT","")</f>
        <v/>
      </c>
      <c r="F32" s="30" t="str">
        <f>IF(COUNTIFS(EmployeeData!$A:$A,$A32,EmployeeData!$F:$F,F$5)&gt;0,"PT","")</f>
        <v/>
      </c>
      <c r="G32" s="30" t="str">
        <f>IF(COUNTIFS(EmployeeData!$A:$A,$A32,EmployeeData!$F:$F,G$5)&gt;0,"PT","")</f>
        <v/>
      </c>
      <c r="H32" s="30" t="str">
        <f>IF(COUNTIFS(EmployeeData!$A:$A,$A32,EmployeeData!$F:$F,H$5)&gt;0,"PT","")</f>
        <v/>
      </c>
      <c r="I32" s="30" t="str">
        <f>IF(COUNTIFS(EmployeeData!$A:$A,$A32,EmployeeData!$F:$F,I$5)&gt;0,"PT","")</f>
        <v/>
      </c>
      <c r="J32" s="30" t="str">
        <f>IF(COUNTIFS(EmployeeData!$A:$A,$A32,EmployeeData!$F:$F,J$5)&gt;0,"PT","")</f>
        <v/>
      </c>
      <c r="K32" s="30" t="str">
        <f>IF(COUNTIFS(EmployeeData!$A:$A,$A32,EmployeeData!$F:$F,K$5)&gt;0,"PT","")</f>
        <v/>
      </c>
      <c r="L32" s="30" t="str">
        <f>IF(COUNTIFS(EmployeeData!$A:$A,$A32,EmployeeData!$F:$F,L$5)&gt;0,"PT","")</f>
        <v/>
      </c>
      <c r="M32" s="30" t="str">
        <f>IF(COUNTIFS(EmployeeData!$A:$A,$A32,EmployeeData!$F:$F,M$5)&gt;0,"PT","")</f>
        <v/>
      </c>
      <c r="N32" s="30" t="str">
        <f>IF(COUNTIFS(EmployeeData!$A:$A,$A32,EmployeeData!$F:$F,N$5)&gt;0,"PT","")</f>
        <v/>
      </c>
      <c r="O32" s="30" t="str">
        <f>IF(COUNTIFS(EmployeeData!$A:$A,$A32,EmployeeData!$F:$F,O$5)&gt;0,"PT","")</f>
        <v/>
      </c>
      <c r="P32" s="30" t="str">
        <f>IF(COUNTIFS(EmployeeData!$A:$A,$A32,EmployeeData!$F:$F,P$5)&gt;0,"PT","")</f>
        <v/>
      </c>
      <c r="Q32" s="30" t="str">
        <f>IF(COUNTIFS(EmployeeData!$A:$A,$A32,EmployeeData!$F:$F,Q$5)&gt;0,"PT","")</f>
        <v/>
      </c>
      <c r="R32" s="30" t="str">
        <f>IF(COUNTIFS(EmployeeData!$A:$A,$A32,EmployeeData!$F:$F,R$5)&gt;0,"PT","")</f>
        <v/>
      </c>
      <c r="S32" s="30" t="str">
        <f>IF(COUNTIFS(EmployeeData!$A:$A,$A32,EmployeeData!$F:$F,S$5)&gt;0,"PT","")</f>
        <v/>
      </c>
      <c r="T32" s="30" t="str">
        <f>IF(COUNTIFS(EmployeeData!$A:$A,$A32,EmployeeData!$F:$F,T$5)&gt;0,"PT","")</f>
        <v/>
      </c>
      <c r="U32" s="30" t="str">
        <f>IF(COUNTIFS(EmployeeData!$A:$A,$A32,EmployeeData!$F:$F,U$5)&gt;0,"PT","")</f>
        <v/>
      </c>
      <c r="V32" s="30" t="str">
        <f>IF(COUNTIFS(EmployeeData!$A:$A,$A32,EmployeeData!$F:$F,V$5)&gt;0,"PT","")</f>
        <v/>
      </c>
      <c r="W32" s="30" t="str">
        <f>IF(COUNTIFS(EmployeeData!$A:$A,$A32,EmployeeData!$F:$F,W$5)&gt;0,"PT","")</f>
        <v/>
      </c>
      <c r="X32" s="30" t="str">
        <f>IF(COUNTIFS(EmployeeData!$A:$A,$A32,EmployeeData!$F:$F,X$5)&gt;0,"PT","")</f>
        <v/>
      </c>
      <c r="Y32" s="30" t="str">
        <f>IF(COUNTIFS(EmployeeData!$A:$A,$A32,EmployeeData!$F:$F,Y$5)&gt;0,"PT","")</f>
        <v/>
      </c>
      <c r="Z32" s="30" t="str">
        <f>IF(COUNTIFS(EmployeeData!$A:$A,$A32,EmployeeData!$F:$F,Z$5)&gt;0,"PT","")</f>
        <v/>
      </c>
      <c r="AA32" s="30" t="s">
        <v>126</v>
      </c>
      <c r="AB32" s="30" t="str">
        <f>IF(COUNTIFS(EmployeeData!$A:$A,$A32,EmployeeData!$F:$F,AB$5)&gt;0,"PT","")</f>
        <v/>
      </c>
      <c r="AC32" s="30" t="str">
        <f>IF(COUNTIFS(EmployeeData!$A:$A,$A32,EmployeeData!$F:$F,AC$5)&gt;0,"PT","")</f>
        <v/>
      </c>
      <c r="AD32" s="30" t="str">
        <f>IF(COUNTIFS(EmployeeData!$A:$A,$A32,EmployeeData!$F:$F,AD$5)&gt;0,"PT","")</f>
        <v/>
      </c>
      <c r="AE32" s="30" t="str">
        <f>IF(COUNTIFS(EmployeeData!$A:$A,$A32,EmployeeData!$F:$F,AE$5)&gt;0,"PT","")</f>
        <v/>
      </c>
      <c r="AF32" s="30" t="str">
        <f>IF(COUNTIFS(EmployeeData!$A:$A,$A32,EmployeeData!$F:$F,AF$5)&gt;0,"PT","")</f>
        <v/>
      </c>
      <c r="AG32" s="8">
        <f t="shared" si="5"/>
        <v>1</v>
      </c>
      <c r="AH32" s="8">
        <f t="shared" si="3"/>
        <v>0</v>
      </c>
      <c r="AI32" s="8">
        <f t="shared" si="1"/>
        <v>0</v>
      </c>
      <c r="AJ32" s="8">
        <f t="shared" si="4"/>
        <v>0</v>
      </c>
      <c r="AK32" s="8">
        <f t="shared" si="2"/>
        <v>0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s="3" customFormat="1" ht="25.15" customHeight="1" x14ac:dyDescent="0.55000000000000004">
      <c r="A33" s="10" t="s">
        <v>130</v>
      </c>
      <c r="B33" s="30" t="s">
        <v>126</v>
      </c>
      <c r="C33" s="30" t="str">
        <f>IF(COUNTIFS(EmployeeData!$A:$A,$A33,EmployeeData!$F:$F,C$5)&gt;0,"PT","")</f>
        <v/>
      </c>
      <c r="D33" s="30" t="str">
        <f>IF(COUNTIFS(EmployeeData!$A:$A,$A33,EmployeeData!$F:$F,D$5)&gt;0,"PT","")</f>
        <v/>
      </c>
      <c r="E33" s="30" t="str">
        <f>IF(COUNTIFS(EmployeeData!$A:$A,$A33,EmployeeData!$F:$F,E$5)&gt;0,"PT","")</f>
        <v/>
      </c>
      <c r="F33" s="30" t="str">
        <f>IF(COUNTIFS(EmployeeData!$A:$A,$A33,EmployeeData!$F:$F,F$5)&gt;0,"PT","")</f>
        <v/>
      </c>
      <c r="G33" s="30" t="str">
        <f>IF(COUNTIFS(EmployeeData!$A:$A,$A33,EmployeeData!$F:$F,G$5)&gt;0,"PT","")</f>
        <v/>
      </c>
      <c r="H33" s="30" t="str">
        <f>IF(COUNTIFS(EmployeeData!$A:$A,$A33,EmployeeData!$F:$F,H$5)&gt;0,"PT","")</f>
        <v/>
      </c>
      <c r="I33" s="30" t="str">
        <f>IF(COUNTIFS(EmployeeData!$A:$A,$A33,EmployeeData!$F:$F,I$5)&gt;0,"PT","")</f>
        <v/>
      </c>
      <c r="J33" s="30" t="str">
        <f>IF(COUNTIFS(EmployeeData!$A:$A,$A33,EmployeeData!$F:$F,J$5)&gt;0,"PT","")</f>
        <v/>
      </c>
      <c r="K33" s="30" t="str">
        <f>IF(COUNTIFS(EmployeeData!$A:$A,$A33,EmployeeData!$F:$F,K$5)&gt;0,"PT","")</f>
        <v/>
      </c>
      <c r="L33" s="30" t="str">
        <f>IF(COUNTIFS(EmployeeData!$A:$A,$A33,EmployeeData!$F:$F,L$5)&gt;0,"PT","")</f>
        <v/>
      </c>
      <c r="M33" s="30" t="str">
        <f>IF(COUNTIFS(EmployeeData!$A:$A,$A33,EmployeeData!$F:$F,M$5)&gt;0,"PT","")</f>
        <v/>
      </c>
      <c r="N33" s="30" t="str">
        <f>IF(COUNTIFS(EmployeeData!$A:$A,$A33,EmployeeData!$F:$F,N$5)&gt;0,"PT","")</f>
        <v/>
      </c>
      <c r="O33" s="30" t="str">
        <f>IF(COUNTIFS(EmployeeData!$A:$A,$A33,EmployeeData!$F:$F,O$5)&gt;0,"PT","")</f>
        <v/>
      </c>
      <c r="P33" s="30" t="str">
        <f>IF(COUNTIFS(EmployeeData!$A:$A,$A33,EmployeeData!$F:$F,P$5)&gt;0,"PT","")</f>
        <v/>
      </c>
      <c r="Q33" s="30" t="str">
        <f>IF(COUNTIFS(EmployeeData!$A:$A,$A33,EmployeeData!$F:$F,Q$5)&gt;0,"PT","")</f>
        <v/>
      </c>
      <c r="R33" s="30" t="str">
        <f>IF(COUNTIFS(EmployeeData!$A:$A,$A33,EmployeeData!$F:$F,R$5)&gt;0,"PT","")</f>
        <v/>
      </c>
      <c r="S33" s="30" t="str">
        <f>IF(COUNTIFS(EmployeeData!$A:$A,$A33,EmployeeData!$F:$F,S$5)&gt;0,"PT","")</f>
        <v/>
      </c>
      <c r="T33" s="30" t="str">
        <f>IF(COUNTIFS(EmployeeData!$A:$A,$A33,EmployeeData!$F:$F,T$5)&gt;0,"PT","")</f>
        <v/>
      </c>
      <c r="U33" s="30" t="str">
        <f>IF(COUNTIFS(EmployeeData!$A:$A,$A33,EmployeeData!$F:$F,U$5)&gt;0,"PT","")</f>
        <v/>
      </c>
      <c r="V33" s="30" t="str">
        <f>IF(COUNTIFS(EmployeeData!$A:$A,$A33,EmployeeData!$F:$F,V$5)&gt;0,"PT","")</f>
        <v/>
      </c>
      <c r="W33" s="30" t="str">
        <f>IF(COUNTIFS(EmployeeData!$A:$A,$A33,EmployeeData!$F:$F,W$5)&gt;0,"PT","")</f>
        <v/>
      </c>
      <c r="X33" s="30" t="str">
        <f>IF(COUNTIFS(EmployeeData!$A:$A,$A33,EmployeeData!$F:$F,X$5)&gt;0,"PT","")</f>
        <v/>
      </c>
      <c r="Y33" s="30" t="str">
        <f>IF(COUNTIFS(EmployeeData!$A:$A,$A33,EmployeeData!$F:$F,Y$5)&gt;0,"PT","")</f>
        <v/>
      </c>
      <c r="Z33" s="30" t="str">
        <f>IF(COUNTIFS(EmployeeData!$A:$A,$A33,EmployeeData!$F:$F,Z$5)&gt;0,"PT","")</f>
        <v/>
      </c>
      <c r="AA33" s="30" t="s">
        <v>126</v>
      </c>
      <c r="AB33" s="30" t="str">
        <f>IF(COUNTIFS(EmployeeData!$A:$A,$A33,EmployeeData!$F:$F,AB$5)&gt;0,"PT","")</f>
        <v/>
      </c>
      <c r="AC33" s="30" t="str">
        <f>IF(COUNTIFS(EmployeeData!$A:$A,$A33,EmployeeData!$F:$F,AC$5)&gt;0,"PT","")</f>
        <v/>
      </c>
      <c r="AD33" s="30" t="str">
        <f>IF(COUNTIFS(EmployeeData!$A:$A,$A33,EmployeeData!$F:$F,AD$5)&gt;0,"PT","")</f>
        <v/>
      </c>
      <c r="AE33" s="30" t="str">
        <f>IF(COUNTIFS(EmployeeData!$A:$A,$A33,EmployeeData!$F:$F,AE$5)&gt;0,"PT","")</f>
        <v/>
      </c>
      <c r="AF33" s="30" t="str">
        <f>IF(COUNTIFS(EmployeeData!$A:$A,$A33,EmployeeData!$F:$F,AF$5)&gt;0,"PT","")</f>
        <v/>
      </c>
      <c r="AG33" s="8">
        <f t="shared" si="5"/>
        <v>0</v>
      </c>
      <c r="AH33" s="8">
        <f t="shared" si="3"/>
        <v>0</v>
      </c>
      <c r="AI33" s="8">
        <f t="shared" si="1"/>
        <v>0</v>
      </c>
      <c r="AJ33" s="8">
        <f t="shared" si="4"/>
        <v>0</v>
      </c>
      <c r="AK33" s="8">
        <f t="shared" si="2"/>
        <v>0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s="3" customFormat="1" ht="25.15" customHeight="1" x14ac:dyDescent="0.55000000000000004">
      <c r="A34" s="10" t="s">
        <v>53</v>
      </c>
      <c r="B34" s="30" t="s">
        <v>126</v>
      </c>
      <c r="C34" s="30" t="str">
        <f>IF(COUNTIFS(EmployeeData!$A:$A,$A34,EmployeeData!$F:$F,C$5)&gt;0,"PT","")</f>
        <v>PT</v>
      </c>
      <c r="D34" s="30" t="str">
        <f>IF(COUNTIFS(EmployeeData!$A:$A,$A34,EmployeeData!$F:$F,D$5)&gt;0,"PT","")</f>
        <v/>
      </c>
      <c r="E34" s="30" t="str">
        <f>IF(COUNTIFS(EmployeeData!$A:$A,$A34,EmployeeData!$F:$F,E$5)&gt;0,"PT","")</f>
        <v/>
      </c>
      <c r="F34" s="30" t="str">
        <f>IF(COUNTIFS(EmployeeData!$A:$A,$A34,EmployeeData!$F:$F,F$5)&gt;0,"PT","")</f>
        <v/>
      </c>
      <c r="G34" s="30" t="str">
        <f>IF(COUNTIFS(EmployeeData!$A:$A,$A34,EmployeeData!$F:$F,G$5)&gt;0,"PT","")</f>
        <v/>
      </c>
      <c r="H34" s="30" t="str">
        <f>IF(COUNTIFS(EmployeeData!$A:$A,$A34,EmployeeData!$F:$F,H$5)&gt;0,"PT","")</f>
        <v/>
      </c>
      <c r="I34" s="30" t="str">
        <f>IF(COUNTIFS(EmployeeData!$A:$A,$A34,EmployeeData!$F:$F,I$5)&gt;0,"PT","")</f>
        <v/>
      </c>
      <c r="J34" s="30" t="str">
        <f>IF(COUNTIFS(EmployeeData!$A:$A,$A34,EmployeeData!$F:$F,J$5)&gt;0,"PT","")</f>
        <v/>
      </c>
      <c r="K34" s="30" t="str">
        <f>IF(COUNTIFS(EmployeeData!$A:$A,$A34,EmployeeData!$F:$F,K$5)&gt;0,"PT","")</f>
        <v/>
      </c>
      <c r="L34" s="30" t="str">
        <f>IF(COUNTIFS(EmployeeData!$A:$A,$A34,EmployeeData!$F:$F,L$5)&gt;0,"PT","")</f>
        <v/>
      </c>
      <c r="M34" s="30" t="str">
        <f>IF(COUNTIFS(EmployeeData!$A:$A,$A34,EmployeeData!$F:$F,M$5)&gt;0,"PT","")</f>
        <v/>
      </c>
      <c r="N34" s="30" t="str">
        <f>IF(COUNTIFS(EmployeeData!$A:$A,$A34,EmployeeData!$F:$F,N$5)&gt;0,"PT","")</f>
        <v/>
      </c>
      <c r="O34" s="30" t="str">
        <f>IF(COUNTIFS(EmployeeData!$A:$A,$A34,EmployeeData!$F:$F,O$5)&gt;0,"PT","")</f>
        <v/>
      </c>
      <c r="P34" s="30" t="str">
        <f>IF(COUNTIFS(EmployeeData!$A:$A,$A34,EmployeeData!$F:$F,P$5)&gt;0,"PT","")</f>
        <v/>
      </c>
      <c r="Q34" s="30" t="str">
        <f>IF(COUNTIFS(EmployeeData!$A:$A,$A34,EmployeeData!$F:$F,Q$5)&gt;0,"PT","")</f>
        <v/>
      </c>
      <c r="R34" s="30" t="str">
        <f>IF(COUNTIFS(EmployeeData!$A:$A,$A34,EmployeeData!$F:$F,R$5)&gt;0,"PT","")</f>
        <v/>
      </c>
      <c r="S34" s="30" t="str">
        <f>IF(COUNTIFS(EmployeeData!$A:$A,$A34,EmployeeData!$F:$F,S$5)&gt;0,"PT","")</f>
        <v/>
      </c>
      <c r="T34" s="30" t="str">
        <f>IF(COUNTIFS(EmployeeData!$A:$A,$A34,EmployeeData!$F:$F,T$5)&gt;0,"PT","")</f>
        <v/>
      </c>
      <c r="U34" s="30" t="str">
        <f>IF(COUNTIFS(EmployeeData!$A:$A,$A34,EmployeeData!$F:$F,U$5)&gt;0,"PT","")</f>
        <v/>
      </c>
      <c r="V34" s="30" t="str">
        <f>IF(COUNTIFS(EmployeeData!$A:$A,$A34,EmployeeData!$F:$F,V$5)&gt;0,"PT","")</f>
        <v/>
      </c>
      <c r="W34" s="30" t="str">
        <f>IF(COUNTIFS(EmployeeData!$A:$A,$A34,EmployeeData!$F:$F,W$5)&gt;0,"PT","")</f>
        <v/>
      </c>
      <c r="X34" s="30" t="str">
        <f>IF(COUNTIFS(EmployeeData!$A:$A,$A34,EmployeeData!$F:$F,X$5)&gt;0,"PT","")</f>
        <v/>
      </c>
      <c r="Y34" s="30" t="str">
        <f>IF(COUNTIFS(EmployeeData!$A:$A,$A34,EmployeeData!$F:$F,Y$5)&gt;0,"PT","")</f>
        <v/>
      </c>
      <c r="Z34" s="30" t="str">
        <f>IF(COUNTIFS(EmployeeData!$A:$A,$A34,EmployeeData!$F:$F,Z$5)&gt;0,"PT","")</f>
        <v/>
      </c>
      <c r="AA34" s="30" t="s">
        <v>126</v>
      </c>
      <c r="AB34" s="30" t="str">
        <f>IF(COUNTIFS(EmployeeData!$A:$A,$A34,EmployeeData!$F:$F,AB$5)&gt;0,"PT","")</f>
        <v/>
      </c>
      <c r="AC34" s="30" t="str">
        <f>IF(COUNTIFS(EmployeeData!$A:$A,$A34,EmployeeData!$F:$F,AC$5)&gt;0,"PT","")</f>
        <v/>
      </c>
      <c r="AD34" s="30" t="str">
        <f>IF(COUNTIFS(EmployeeData!$A:$A,$A34,EmployeeData!$F:$F,AD$5)&gt;0,"PT","")</f>
        <v/>
      </c>
      <c r="AE34" s="30" t="str">
        <f>IF(COUNTIFS(EmployeeData!$A:$A,$A34,EmployeeData!$F:$F,AE$5)&gt;0,"PT","")</f>
        <v/>
      </c>
      <c r="AF34" s="30" t="str">
        <f>IF(COUNTIFS(EmployeeData!$A:$A,$A34,EmployeeData!$F:$F,AF$5)&gt;0,"PT","")</f>
        <v/>
      </c>
      <c r="AG34" s="8">
        <f t="shared" si="5"/>
        <v>1</v>
      </c>
      <c r="AH34" s="8">
        <f t="shared" si="3"/>
        <v>0</v>
      </c>
      <c r="AI34" s="8">
        <f t="shared" si="1"/>
        <v>0</v>
      </c>
      <c r="AJ34" s="8">
        <f t="shared" si="4"/>
        <v>0</v>
      </c>
      <c r="AK34" s="8">
        <f t="shared" si="2"/>
        <v>0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s="3" customFormat="1" ht="25.15" customHeight="1" x14ac:dyDescent="0.55000000000000004">
      <c r="A35" s="10" t="s">
        <v>70</v>
      </c>
      <c r="B35" s="30" t="s">
        <v>126</v>
      </c>
      <c r="C35" s="30" t="str">
        <f>IF(COUNTIFS(EmployeeData!$A:$A,$A35,EmployeeData!$F:$F,C$5)&gt;0,"PT","")</f>
        <v/>
      </c>
      <c r="D35" s="30" t="str">
        <f>IF(COUNTIFS(EmployeeData!$A:$A,$A35,EmployeeData!$F:$F,D$5)&gt;0,"PT","")</f>
        <v/>
      </c>
      <c r="E35" s="30" t="str">
        <f>IF(COUNTIFS(EmployeeData!$A:$A,$A35,EmployeeData!$F:$F,E$5)&gt;0,"PT","")</f>
        <v/>
      </c>
      <c r="F35" s="30" t="str">
        <f>IF(COUNTIFS(EmployeeData!$A:$A,$A35,EmployeeData!$F:$F,F$5)&gt;0,"PT","")</f>
        <v/>
      </c>
      <c r="G35" s="30" t="str">
        <f>IF(COUNTIFS(EmployeeData!$A:$A,$A35,EmployeeData!$F:$F,G$5)&gt;0,"PT","")</f>
        <v/>
      </c>
      <c r="H35" s="30" t="str">
        <f>IF(COUNTIFS(EmployeeData!$A:$A,$A35,EmployeeData!$F:$F,H$5)&gt;0,"PT","")</f>
        <v/>
      </c>
      <c r="I35" s="30" t="str">
        <f>IF(COUNTIFS(EmployeeData!$A:$A,$A35,EmployeeData!$F:$F,I$5)&gt;0,"PT","")</f>
        <v/>
      </c>
      <c r="J35" s="30" t="str">
        <f>IF(COUNTIFS(EmployeeData!$A:$A,$A35,EmployeeData!$F:$F,J$5)&gt;0,"PT","")</f>
        <v/>
      </c>
      <c r="K35" s="30" t="str">
        <f>IF(COUNTIFS(EmployeeData!$A:$A,$A35,EmployeeData!$F:$F,K$5)&gt;0,"PT","")</f>
        <v/>
      </c>
      <c r="L35" s="30" t="str">
        <f>IF(COUNTIFS(EmployeeData!$A:$A,$A35,EmployeeData!$F:$F,L$5)&gt;0,"PT","")</f>
        <v/>
      </c>
      <c r="M35" s="30" t="str">
        <f>IF(COUNTIFS(EmployeeData!$A:$A,$A35,EmployeeData!$F:$F,M$5)&gt;0,"PT","")</f>
        <v>PT</v>
      </c>
      <c r="N35" s="30" t="str">
        <f>IF(COUNTIFS(EmployeeData!$A:$A,$A35,EmployeeData!$F:$F,N$5)&gt;0,"PT","")</f>
        <v/>
      </c>
      <c r="O35" s="30" t="str">
        <f>IF(COUNTIFS(EmployeeData!$A:$A,$A35,EmployeeData!$F:$F,O$5)&gt;0,"PT","")</f>
        <v/>
      </c>
      <c r="P35" s="30" t="str">
        <f>IF(COUNTIFS(EmployeeData!$A:$A,$A35,EmployeeData!$F:$F,P$5)&gt;0,"PT","")</f>
        <v/>
      </c>
      <c r="Q35" s="30" t="str">
        <f>IF(COUNTIFS(EmployeeData!$A:$A,$A35,EmployeeData!$F:$F,Q$5)&gt;0,"PT","")</f>
        <v/>
      </c>
      <c r="R35" s="30" t="str">
        <f>IF(COUNTIFS(EmployeeData!$A:$A,$A35,EmployeeData!$F:$F,R$5)&gt;0,"PT","")</f>
        <v/>
      </c>
      <c r="S35" s="30" t="str">
        <f>IF(COUNTIFS(EmployeeData!$A:$A,$A35,EmployeeData!$F:$F,S$5)&gt;0,"PT","")</f>
        <v/>
      </c>
      <c r="T35" s="30" t="str">
        <f>IF(COUNTIFS(EmployeeData!$A:$A,$A35,EmployeeData!$F:$F,T$5)&gt;0,"PT","")</f>
        <v/>
      </c>
      <c r="U35" s="30" t="str">
        <f>IF(COUNTIFS(EmployeeData!$A:$A,$A35,EmployeeData!$F:$F,U$5)&gt;0,"PT","")</f>
        <v/>
      </c>
      <c r="V35" s="30" t="str">
        <f>IF(COUNTIFS(EmployeeData!$A:$A,$A35,EmployeeData!$F:$F,V$5)&gt;0,"PT","")</f>
        <v/>
      </c>
      <c r="W35" s="30" t="str">
        <f>IF(COUNTIFS(EmployeeData!$A:$A,$A35,EmployeeData!$F:$F,W$5)&gt;0,"PT","")</f>
        <v/>
      </c>
      <c r="X35" s="30" t="str">
        <f>IF(COUNTIFS(EmployeeData!$A:$A,$A35,EmployeeData!$F:$F,X$5)&gt;0,"PT","")</f>
        <v/>
      </c>
      <c r="Y35" s="30" t="str">
        <f>IF(COUNTIFS(EmployeeData!$A:$A,$A35,EmployeeData!$F:$F,Y$5)&gt;0,"PT","")</f>
        <v/>
      </c>
      <c r="Z35" s="30" t="str">
        <f>IF(COUNTIFS(EmployeeData!$A:$A,$A35,EmployeeData!$F:$F,Z$5)&gt;0,"PT","")</f>
        <v/>
      </c>
      <c r="AA35" s="30" t="s">
        <v>126</v>
      </c>
      <c r="AB35" s="30" t="str">
        <f>IF(COUNTIFS(EmployeeData!$A:$A,$A35,EmployeeData!$F:$F,AB$5)&gt;0,"PT","")</f>
        <v/>
      </c>
      <c r="AC35" s="30" t="str">
        <f>IF(COUNTIFS(EmployeeData!$A:$A,$A35,EmployeeData!$F:$F,AC$5)&gt;0,"PT","")</f>
        <v/>
      </c>
      <c r="AD35" s="30" t="str">
        <f>IF(COUNTIFS(EmployeeData!$A:$A,$A35,EmployeeData!$F:$F,AD$5)&gt;0,"PT","")</f>
        <v/>
      </c>
      <c r="AE35" s="30" t="str">
        <f>IF(COUNTIFS(EmployeeData!$A:$A,$A35,EmployeeData!$F:$F,AE$5)&gt;0,"PT","")</f>
        <v/>
      </c>
      <c r="AF35" s="30" t="str">
        <f>IF(COUNTIFS(EmployeeData!$A:$A,$A35,EmployeeData!$F:$F,AF$5)&gt;0,"PT","")</f>
        <v/>
      </c>
      <c r="AG35" s="8">
        <f t="shared" si="5"/>
        <v>1</v>
      </c>
      <c r="AH35" s="8">
        <f t="shared" si="3"/>
        <v>0</v>
      </c>
      <c r="AI35" s="8">
        <f t="shared" si="1"/>
        <v>0</v>
      </c>
      <c r="AJ35" s="8">
        <f t="shared" si="4"/>
        <v>0</v>
      </c>
      <c r="AK35" s="8">
        <f t="shared" si="2"/>
        <v>0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s="3" customFormat="1" ht="25.15" customHeight="1" x14ac:dyDescent="0.55000000000000004">
      <c r="A36" s="10" t="s">
        <v>131</v>
      </c>
      <c r="B36" s="30" t="s">
        <v>126</v>
      </c>
      <c r="C36" s="30" t="str">
        <f>IF(COUNTIFS(EmployeeData!$A:$A,$A36,EmployeeData!$F:$F,C$5)&gt;0,"PT","")</f>
        <v/>
      </c>
      <c r="D36" s="30" t="str">
        <f>IF(COUNTIFS(EmployeeData!$A:$A,$A36,EmployeeData!$F:$F,D$5)&gt;0,"PT","")</f>
        <v/>
      </c>
      <c r="E36" s="30" t="str">
        <f>IF(COUNTIFS(EmployeeData!$A:$A,$A36,EmployeeData!$F:$F,E$5)&gt;0,"PT","")</f>
        <v/>
      </c>
      <c r="F36" s="30" t="str">
        <f>IF(COUNTIFS(EmployeeData!$A:$A,$A36,EmployeeData!$F:$F,F$5)&gt;0,"PT","")</f>
        <v/>
      </c>
      <c r="G36" s="30" t="str">
        <f>IF(COUNTIFS(EmployeeData!$A:$A,$A36,EmployeeData!$F:$F,G$5)&gt;0,"PT","")</f>
        <v/>
      </c>
      <c r="H36" s="30" t="str">
        <f>IF(COUNTIFS(EmployeeData!$A:$A,$A36,EmployeeData!$F:$F,H$5)&gt;0,"PT","")</f>
        <v/>
      </c>
      <c r="I36" s="30" t="str">
        <f>IF(COUNTIFS(EmployeeData!$A:$A,$A36,EmployeeData!$F:$F,I$5)&gt;0,"PT","")</f>
        <v/>
      </c>
      <c r="J36" s="30" t="str">
        <f>IF(COUNTIFS(EmployeeData!$A:$A,$A36,EmployeeData!$F:$F,J$5)&gt;0,"PT","")</f>
        <v/>
      </c>
      <c r="K36" s="30" t="str">
        <f>IF(COUNTIFS(EmployeeData!$A:$A,$A36,EmployeeData!$F:$F,K$5)&gt;0,"PT","")</f>
        <v/>
      </c>
      <c r="L36" s="30" t="str">
        <f>IF(COUNTIFS(EmployeeData!$A:$A,$A36,EmployeeData!$F:$F,L$5)&gt;0,"PT","")</f>
        <v/>
      </c>
      <c r="M36" s="30" t="str">
        <f>IF(COUNTIFS(EmployeeData!$A:$A,$A36,EmployeeData!$F:$F,M$5)&gt;0,"PT","")</f>
        <v/>
      </c>
      <c r="N36" s="30" t="str">
        <f>IF(COUNTIFS(EmployeeData!$A:$A,$A36,EmployeeData!$F:$F,N$5)&gt;0,"PT","")</f>
        <v/>
      </c>
      <c r="O36" s="30" t="str">
        <f>IF(COUNTIFS(EmployeeData!$A:$A,$A36,EmployeeData!$F:$F,O$5)&gt;0,"PT","")</f>
        <v/>
      </c>
      <c r="P36" s="30" t="str">
        <f>IF(COUNTIFS(EmployeeData!$A:$A,$A36,EmployeeData!$F:$F,P$5)&gt;0,"PT","")</f>
        <v/>
      </c>
      <c r="Q36" s="30" t="str">
        <f>IF(COUNTIFS(EmployeeData!$A:$A,$A36,EmployeeData!$F:$F,Q$5)&gt;0,"PT","")</f>
        <v/>
      </c>
      <c r="R36" s="30" t="str">
        <f>IF(COUNTIFS(EmployeeData!$A:$A,$A36,EmployeeData!$F:$F,R$5)&gt;0,"PT","")</f>
        <v/>
      </c>
      <c r="S36" s="30" t="str">
        <f>IF(COUNTIFS(EmployeeData!$A:$A,$A36,EmployeeData!$F:$F,S$5)&gt;0,"PT","")</f>
        <v/>
      </c>
      <c r="T36" s="30" t="str">
        <f>IF(COUNTIFS(EmployeeData!$A:$A,$A36,EmployeeData!$F:$F,T$5)&gt;0,"PT","")</f>
        <v/>
      </c>
      <c r="U36" s="30" t="str">
        <f>IF(COUNTIFS(EmployeeData!$A:$A,$A36,EmployeeData!$F:$F,U$5)&gt;0,"PT","")</f>
        <v/>
      </c>
      <c r="V36" s="30" t="str">
        <f>IF(COUNTIFS(EmployeeData!$A:$A,$A36,EmployeeData!$F:$F,V$5)&gt;0,"PT","")</f>
        <v/>
      </c>
      <c r="W36" s="30" t="str">
        <f>IF(COUNTIFS(EmployeeData!$A:$A,$A36,EmployeeData!$F:$F,W$5)&gt;0,"PT","")</f>
        <v/>
      </c>
      <c r="X36" s="30" t="str">
        <f>IF(COUNTIFS(EmployeeData!$A:$A,$A36,EmployeeData!$F:$F,X$5)&gt;0,"PT","")</f>
        <v/>
      </c>
      <c r="Y36" s="30" t="str">
        <f>IF(COUNTIFS(EmployeeData!$A:$A,$A36,EmployeeData!$F:$F,Y$5)&gt;0,"PT","")</f>
        <v/>
      </c>
      <c r="Z36" s="30" t="str">
        <f>IF(COUNTIFS(EmployeeData!$A:$A,$A36,EmployeeData!$F:$F,Z$5)&gt;0,"PT","")</f>
        <v/>
      </c>
      <c r="AA36" s="30" t="s">
        <v>126</v>
      </c>
      <c r="AB36" s="30" t="str">
        <f>IF(COUNTIFS(EmployeeData!$A:$A,$A36,EmployeeData!$F:$F,AB$5)&gt;0,"PT","")</f>
        <v/>
      </c>
      <c r="AC36" s="30" t="str">
        <f>IF(COUNTIFS(EmployeeData!$A:$A,$A36,EmployeeData!$F:$F,AC$5)&gt;0,"PT","")</f>
        <v/>
      </c>
      <c r="AD36" s="30" t="str">
        <f>IF(COUNTIFS(EmployeeData!$A:$A,$A36,EmployeeData!$F:$F,AD$5)&gt;0,"PT","")</f>
        <v/>
      </c>
      <c r="AE36" s="30" t="str">
        <f>IF(COUNTIFS(EmployeeData!$A:$A,$A36,EmployeeData!$F:$F,AE$5)&gt;0,"PT","")</f>
        <v/>
      </c>
      <c r="AF36" s="30" t="str">
        <f>IF(COUNTIFS(EmployeeData!$A:$A,$A36,EmployeeData!$F:$F,AF$5)&gt;0,"PT","")</f>
        <v/>
      </c>
      <c r="AG36" s="8">
        <f t="shared" si="5"/>
        <v>0</v>
      </c>
      <c r="AH36" s="8">
        <f t="shared" si="3"/>
        <v>0</v>
      </c>
      <c r="AI36" s="8">
        <f t="shared" si="1"/>
        <v>0</v>
      </c>
      <c r="AJ36" s="8">
        <f t="shared" si="4"/>
        <v>0</v>
      </c>
      <c r="AK36" s="8">
        <f t="shared" si="2"/>
        <v>0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s="3" customFormat="1" ht="25.15" customHeight="1" x14ac:dyDescent="0.35">
      <c r="A37" s="2"/>
      <c r="B37" s="2"/>
      <c r="C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s="3" customFormat="1" ht="25.15" customHeight="1" x14ac:dyDescent="0.35">
      <c r="A38" s="2"/>
      <c r="B38" s="2"/>
      <c r="C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s="3" customFormat="1" ht="25.15" customHeight="1" x14ac:dyDescent="0.35">
      <c r="A39" s="2"/>
      <c r="B39" s="2"/>
      <c r="C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s="3" customFormat="1" ht="25.1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s="3" customFormat="1" ht="25.1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s="3" customFormat="1" ht="25.1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s="3" customFormat="1" ht="25.1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7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s="3" customFormat="1" ht="25.1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 s="3" customFormat="1" ht="25.1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 s="3" customFormat="1" ht="25.1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 s="3" customFormat="1" ht="25.1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s="3" customFormat="1" ht="25.1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s="3" customFormat="1" ht="25.1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s="3" customFormat="1" ht="25.1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s="3" customFormat="1" ht="25.1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s="3" customFormat="1" ht="25.1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s="3" customFormat="1" ht="25.1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1:55" s="3" customFormat="1" ht="25.1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s="3" customFormat="1" ht="25.1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1:55" s="3" customFormat="1" ht="25.1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1:55" s="3" customFormat="1" ht="25.1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s="3" customFormat="1" ht="25.1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1:55" s="3" customFormat="1" ht="25.1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spans="1:55" s="3" customFormat="1" ht="25.1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1:55" s="3" customFormat="1" ht="25.1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s="3" customFormat="1" ht="25.1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1:55" s="3" customFormat="1" ht="25.1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5" s="3" customFormat="1" ht="25.1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1:55" s="3" customFormat="1" ht="25.1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 s="3" customFormat="1" ht="25.1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1:55" s="3" customFormat="1" ht="25.1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1:55" s="3" customFormat="1" ht="25.1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1:55" s="3" customFormat="1" ht="25.1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1:55" s="3" customFormat="1" ht="25.1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5" s="3" customFormat="1" ht="25.1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5" s="3" customFormat="1" ht="25.1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5" s="3" customFormat="1" ht="25.1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s="3" customFormat="1" ht="25.1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1:55" s="3" customFormat="1" ht="25.1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</sheetData>
  <mergeCells count="10">
    <mergeCell ref="AM4:AM5"/>
    <mergeCell ref="AN4:AN5"/>
    <mergeCell ref="A1:AK1"/>
    <mergeCell ref="A2:AK3"/>
    <mergeCell ref="A4:A5"/>
    <mergeCell ref="AG4:AG5"/>
    <mergeCell ref="AH4:AH5"/>
    <mergeCell ref="AI4:AI5"/>
    <mergeCell ref="AJ4:AJ5"/>
    <mergeCell ref="AK4:AK5"/>
  </mergeCells>
  <phoneticPr fontId="12" type="noConversion"/>
  <conditionalFormatting sqref="B6:AF36">
    <cfRule type="beginsWith" dxfId="62" priority="1" operator="beginsWith" text="H1">
      <formula>LEFT(B6,2)="H1"</formula>
    </cfRule>
    <cfRule type="beginsWith" dxfId="61" priority="2" operator="beginsWith" text="S">
      <formula>LEFT(B6,1)="S"</formula>
    </cfRule>
    <cfRule type="beginsWith" dxfId="60" priority="3" operator="beginsWith" text="PT">
      <formula>LEFT(B6,2)="PT"</formula>
    </cfRule>
    <cfRule type="beginsWith" dxfId="59" priority="4" operator="beginsWith" text="U">
      <formula>LEFT(B6,1)="U"</formula>
    </cfRule>
    <cfRule type="beginsWith" dxfId="58" priority="5" operator="beginsWith" text="FH">
      <formula>LEFT(B6,2)="FH"</formula>
    </cfRule>
    <cfRule type="beginsWith" dxfId="57" priority="6" operator="beginsWith" text="MT">
      <formula>LEFT(B6,2)="MT"</formula>
    </cfRule>
  </conditionalFormatting>
  <dataValidations count="1">
    <dataValidation type="list" allowBlank="1" showInputMessage="1" showErrorMessage="1" sqref="AM16" xr:uid="{00000000-0002-0000-0300-000000000000}">
      <formula1>$AN$6:$AN$11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C91-F598-4350-A0E5-6D36570928E2}">
  <sheetPr codeName="Sheet4"/>
  <dimension ref="A1:AM35"/>
  <sheetViews>
    <sheetView topLeftCell="A32" zoomScale="69" zoomScaleNormal="89" workbookViewId="0">
      <selection activeCell="G17" sqref="G17"/>
    </sheetView>
  </sheetViews>
  <sheetFormatPr defaultRowHeight="14.5" x14ac:dyDescent="0.35"/>
  <cols>
    <col min="1" max="1" width="35.1796875" customWidth="1"/>
    <col min="2" max="2" width="5.26953125" bestFit="1" customWidth="1"/>
    <col min="3" max="29" width="5.7265625" customWidth="1"/>
    <col min="30" max="30" width="15.26953125" customWidth="1"/>
    <col min="31" max="34" width="11.26953125" customWidth="1"/>
    <col min="35" max="35" width="9.1796875" customWidth="1"/>
    <col min="36" max="36" width="29.26953125" bestFit="1" customWidth="1"/>
  </cols>
  <sheetData>
    <row r="1" spans="1:39" s="3" customFormat="1" ht="25.15" customHeight="1" x14ac:dyDescent="0.35">
      <c r="A1" s="62" t="s">
        <v>132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2"/>
      <c r="AJ1" s="2"/>
      <c r="AK1" s="2"/>
      <c r="AL1" s="2"/>
      <c r="AM1" s="2"/>
    </row>
    <row r="2" spans="1:39" s="3" customFormat="1" ht="9.4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2"/>
      <c r="AJ2" s="2"/>
      <c r="AK2" s="2"/>
      <c r="AL2" s="2"/>
      <c r="AM2" s="2"/>
    </row>
    <row r="3" spans="1:39" s="3" customFormat="1" ht="25.15" customHeight="1" x14ac:dyDescent="0.35">
      <c r="A3" s="72" t="s">
        <v>111</v>
      </c>
      <c r="B3" s="27" t="str">
        <f>IF(B4="","",INDEX({"Sun";"Mon";"Tue";"Wed";"Thu";"Fri";"Sat"},WEEKDAY(B4,1)))</f>
        <v>Sun</v>
      </c>
      <c r="C3" s="27" t="str">
        <f>IF(C4="","",INDEX({"Sun";"Mon";"Tue";"Wed";"Thu";"Fri";"Sat"},WEEKDAY(C4,1)))</f>
        <v>Mon</v>
      </c>
      <c r="D3" s="27" t="str">
        <f>IF(D4="","",INDEX({"Sun";"Mon";"Tue";"Wed";"Thu";"Fri";"Sat"},WEEKDAY(D4,1)))</f>
        <v>Tue</v>
      </c>
      <c r="E3" s="27" t="str">
        <f>IF(E4="","",INDEX({"Sun";"Mon";"Tue";"Wed";"Thu";"Fri";"Sat"},WEEKDAY(E4,1)))</f>
        <v>Wed</v>
      </c>
      <c r="F3" s="27" t="str">
        <f>IF(F4="","",INDEX({"Sun";"Mon";"Tue";"Wed";"Thu";"Fri";"Sat"},WEEKDAY(F4,1)))</f>
        <v>Thu</v>
      </c>
      <c r="G3" s="27" t="str">
        <f>IF(G4="","",INDEX({"Sun";"Mon";"Tue";"Wed";"Thu";"Fri";"Sat"},WEEKDAY(G4,1)))</f>
        <v>Fri</v>
      </c>
      <c r="H3" s="27" t="str">
        <f>IF(H4="","",INDEX({"Sun";"Mon";"Tue";"Wed";"Thu";"Fri";"Sat"},WEEKDAY(H4,1)))</f>
        <v>Sat</v>
      </c>
      <c r="I3" s="27" t="str">
        <f>IF(I4="","",INDEX({"Sun";"Mon";"Tue";"Wed";"Thu";"Fri";"Sat"},WEEKDAY(I4,1)))</f>
        <v>Sun</v>
      </c>
      <c r="J3" s="27" t="str">
        <f>IF(J4="","",INDEX({"Sun";"Mon";"Tue";"Wed";"Thu";"Fri";"Sat"},WEEKDAY(J4,1)))</f>
        <v>Mon</v>
      </c>
      <c r="K3" s="27" t="str">
        <f>IF(K4="","",INDEX({"Sun";"Mon";"Tue";"Wed";"Thu";"Fri";"Sat"},WEEKDAY(K4,1)))</f>
        <v>Tue</v>
      </c>
      <c r="L3" s="27" t="str">
        <f>IF(L4="","",INDEX({"Sun";"Mon";"Tue";"Wed";"Thu";"Fri";"Sat"},WEEKDAY(L4,1)))</f>
        <v>Wed</v>
      </c>
      <c r="M3" s="27" t="str">
        <f>IF(M4="","",INDEX({"Sun";"Mon";"Tue";"Wed";"Thu";"Fri";"Sat"},WEEKDAY(M4,1)))</f>
        <v>Thu</v>
      </c>
      <c r="N3" s="27" t="str">
        <f>IF(N4="","",INDEX({"Sun";"Mon";"Tue";"Wed";"Thu";"Fri";"Sat"},WEEKDAY(N4,1)))</f>
        <v>Fri</v>
      </c>
      <c r="O3" s="27" t="str">
        <f>IF(O4="","",INDEX({"Sun";"Mon";"Tue";"Wed";"Thu";"Fri";"Sat"},WEEKDAY(O4,1)))</f>
        <v>Sat</v>
      </c>
      <c r="P3" s="27" t="str">
        <f>IF(P4="","",INDEX({"Sun";"Mon";"Tue";"Wed";"Thu";"Fri";"Sat"},WEEKDAY(P4,1)))</f>
        <v>Sun</v>
      </c>
      <c r="Q3" s="27" t="str">
        <f>IF(Q4="","",INDEX({"Sun";"Mon";"Tue";"Wed";"Thu";"Fri";"Sat"},WEEKDAY(Q4,1)))</f>
        <v>Mon</v>
      </c>
      <c r="R3" s="27" t="str">
        <f>IF(R4="","",INDEX({"Sun";"Mon";"Tue";"Wed";"Thu";"Fri";"Sat"},WEEKDAY(R4,1)))</f>
        <v>Tue</v>
      </c>
      <c r="S3" s="27" t="str">
        <f>IF(S4="","",INDEX({"Sun";"Mon";"Tue";"Wed";"Thu";"Fri";"Sat"},WEEKDAY(S4,1)))</f>
        <v>Wed</v>
      </c>
      <c r="T3" s="27" t="str">
        <f>IF(T4="","",INDEX({"Sun";"Mon";"Tue";"Wed";"Thu";"Fri";"Sat"},WEEKDAY(T4,1)))</f>
        <v>Thu</v>
      </c>
      <c r="U3" s="27" t="str">
        <f>IF(U4="","",INDEX({"Sun";"Mon";"Tue";"Wed";"Thu";"Fri";"Sat"},WEEKDAY(U4,1)))</f>
        <v>Fri</v>
      </c>
      <c r="V3" s="27" t="str">
        <f>IF(V4="","",INDEX({"Sun";"Mon";"Tue";"Wed";"Thu";"Fri";"Sat"},WEEKDAY(V4,1)))</f>
        <v>Sat</v>
      </c>
      <c r="W3" s="27" t="str">
        <f>IF(W4="","",INDEX({"Sun";"Mon";"Tue";"Wed";"Thu";"Fri";"Sat"},WEEKDAY(W4,1)))</f>
        <v>Sun</v>
      </c>
      <c r="X3" s="27" t="str">
        <f>IF(X4="","",INDEX({"Sun";"Mon";"Tue";"Wed";"Thu";"Fri";"Sat"},WEEKDAY(X4,1)))</f>
        <v>Mon</v>
      </c>
      <c r="Y3" s="27" t="str">
        <f>IF(Y4="","",INDEX({"Sun";"Mon";"Tue";"Wed";"Thu";"Fri";"Sat"},WEEKDAY(Y4,1)))</f>
        <v>Tue</v>
      </c>
      <c r="Z3" s="27" t="str">
        <f>IF(Z4="","",INDEX({"Sun";"Mon";"Tue";"Wed";"Thu";"Fri";"Sat"},WEEKDAY(Z4,1)))</f>
        <v>Wed</v>
      </c>
      <c r="AA3" s="27" t="str">
        <f>IF(AA4="","",INDEX({"Sun";"Mon";"Tue";"Wed";"Thu";"Fri";"Sat"},WEEKDAY(AA4,1)))</f>
        <v>Thu</v>
      </c>
      <c r="AB3" s="27" t="str">
        <f>IF(AB4="","",INDEX({"Sun";"Mon";"Tue";"Wed";"Thu";"Fri";"Sat"},WEEKDAY(AB4,1)))</f>
        <v>Fri</v>
      </c>
      <c r="AC3" s="27" t="str">
        <f>IF(AC4="","",INDEX({"Sun";"Mon";"Tue";"Wed";"Thu";"Fri";"Sat"},WEEKDAY(AC4,1)))</f>
        <v>Sat</v>
      </c>
      <c r="AD3" s="65" t="s">
        <v>112</v>
      </c>
      <c r="AE3" s="66" t="s">
        <v>113</v>
      </c>
      <c r="AF3" s="73" t="s">
        <v>133</v>
      </c>
      <c r="AG3" s="74" t="s">
        <v>115</v>
      </c>
      <c r="AH3" s="75" t="s">
        <v>116</v>
      </c>
      <c r="AI3" s="28"/>
      <c r="AJ3" s="70" t="s">
        <v>134</v>
      </c>
      <c r="AK3" s="70" t="s">
        <v>118</v>
      </c>
      <c r="AL3" s="2"/>
      <c r="AM3" s="2"/>
    </row>
    <row r="4" spans="1:39" s="3" customFormat="1" ht="25.15" customHeight="1" x14ac:dyDescent="0.35">
      <c r="A4" s="72"/>
      <c r="B4" s="40">
        <f>DATE(Year!$B$2,2,1)</f>
        <v>46054</v>
      </c>
      <c r="C4" s="40">
        <f t="shared" ref="C4:AC4" si="0">B4+1</f>
        <v>46055</v>
      </c>
      <c r="D4" s="40">
        <f t="shared" si="0"/>
        <v>46056</v>
      </c>
      <c r="E4" s="40">
        <f t="shared" si="0"/>
        <v>46057</v>
      </c>
      <c r="F4" s="40">
        <f t="shared" si="0"/>
        <v>46058</v>
      </c>
      <c r="G4" s="40">
        <f t="shared" si="0"/>
        <v>46059</v>
      </c>
      <c r="H4" s="40">
        <f t="shared" si="0"/>
        <v>46060</v>
      </c>
      <c r="I4" s="40">
        <f t="shared" si="0"/>
        <v>46061</v>
      </c>
      <c r="J4" s="40">
        <f t="shared" si="0"/>
        <v>46062</v>
      </c>
      <c r="K4" s="40">
        <f t="shared" si="0"/>
        <v>46063</v>
      </c>
      <c r="L4" s="40">
        <f t="shared" si="0"/>
        <v>46064</v>
      </c>
      <c r="M4" s="40">
        <f t="shared" si="0"/>
        <v>46065</v>
      </c>
      <c r="N4" s="40">
        <f t="shared" si="0"/>
        <v>46066</v>
      </c>
      <c r="O4" s="40">
        <f t="shared" si="0"/>
        <v>46067</v>
      </c>
      <c r="P4" s="40">
        <f t="shared" si="0"/>
        <v>46068</v>
      </c>
      <c r="Q4" s="40">
        <f t="shared" si="0"/>
        <v>46069</v>
      </c>
      <c r="R4" s="40">
        <f t="shared" si="0"/>
        <v>46070</v>
      </c>
      <c r="S4" s="40">
        <f t="shared" si="0"/>
        <v>46071</v>
      </c>
      <c r="T4" s="40">
        <f t="shared" si="0"/>
        <v>46072</v>
      </c>
      <c r="U4" s="40">
        <f t="shared" si="0"/>
        <v>46073</v>
      </c>
      <c r="V4" s="40">
        <f t="shared" si="0"/>
        <v>46074</v>
      </c>
      <c r="W4" s="40">
        <f t="shared" si="0"/>
        <v>46075</v>
      </c>
      <c r="X4" s="40">
        <f t="shared" si="0"/>
        <v>46076</v>
      </c>
      <c r="Y4" s="40">
        <f t="shared" si="0"/>
        <v>46077</v>
      </c>
      <c r="Z4" s="40">
        <f t="shared" si="0"/>
        <v>46078</v>
      </c>
      <c r="AA4" s="40">
        <f t="shared" si="0"/>
        <v>46079</v>
      </c>
      <c r="AB4" s="40">
        <f t="shared" si="0"/>
        <v>46080</v>
      </c>
      <c r="AC4" s="40">
        <f t="shared" si="0"/>
        <v>46081</v>
      </c>
      <c r="AD4" s="65"/>
      <c r="AE4" s="66"/>
      <c r="AF4" s="73"/>
      <c r="AG4" s="74"/>
      <c r="AH4" s="75"/>
      <c r="AI4" s="28"/>
      <c r="AJ4" s="71"/>
      <c r="AK4" s="71"/>
      <c r="AL4" s="2"/>
      <c r="AM4" s="2"/>
    </row>
    <row r="5" spans="1:39" s="3" customFormat="1" ht="24.75" customHeight="1" x14ac:dyDescent="0.55000000000000004">
      <c r="A5" s="9" t="s">
        <v>14</v>
      </c>
      <c r="B5" s="13"/>
      <c r="C5" s="31"/>
      <c r="D5" s="31"/>
      <c r="E5" s="31"/>
      <c r="F5" s="31"/>
      <c r="G5" s="31"/>
      <c r="H5" s="13"/>
      <c r="I5" s="13"/>
      <c r="J5" s="31"/>
      <c r="K5" s="31"/>
      <c r="L5" s="31"/>
      <c r="M5" s="31"/>
      <c r="N5" s="31"/>
      <c r="O5" s="13"/>
      <c r="P5" s="13"/>
      <c r="Q5" s="31"/>
      <c r="R5" s="31"/>
      <c r="S5" s="31"/>
      <c r="T5" s="31"/>
      <c r="U5" s="31"/>
      <c r="V5" s="13"/>
      <c r="W5" s="13"/>
      <c r="X5" s="31"/>
      <c r="Y5" s="31"/>
      <c r="Z5" s="31"/>
      <c r="AA5" s="31"/>
      <c r="AB5" s="31"/>
      <c r="AC5" s="13"/>
      <c r="AD5" s="8">
        <f t="shared" ref="AD5:AD35" si="1">SUM(AE5:AH5)</f>
        <v>0</v>
      </c>
      <c r="AE5" s="8">
        <f t="shared" ref="AE5:AE35" si="2">COUNTIF(B5:AC5,"V")+COUNTIF(B5:AC5,"V1")/2+COUNTIF(B5:AC5,"V2")/2</f>
        <v>0</v>
      </c>
      <c r="AF5" s="8">
        <f t="shared" ref="AF5:AF35" si="3">COUNTIF(B5:AC5,"S")+COUNTIF(B5:AC5,"S1")/2+COUNTIF(B5:AC5,"S2")/2</f>
        <v>0</v>
      </c>
      <c r="AG5" s="8">
        <f t="shared" ref="AG5:AG35" si="4">COUNTIF(B5:AC5,"M")</f>
        <v>0</v>
      </c>
      <c r="AH5" s="8">
        <f t="shared" ref="AH5:AH35" si="5">COUNTIF(B5:AC5,"U")</f>
        <v>0</v>
      </c>
      <c r="AI5" s="32"/>
      <c r="AJ5" s="41" t="s">
        <v>15</v>
      </c>
      <c r="AK5" s="34" t="s">
        <v>119</v>
      </c>
      <c r="AL5" s="2"/>
      <c r="AM5" s="2"/>
    </row>
    <row r="6" spans="1:39" s="3" customFormat="1" ht="25.15" customHeight="1" x14ac:dyDescent="0.55000000000000004">
      <c r="A6" s="10" t="s">
        <v>37</v>
      </c>
      <c r="B6" s="13"/>
      <c r="C6" s="31"/>
      <c r="D6" s="31"/>
      <c r="E6" s="31"/>
      <c r="F6" s="31"/>
      <c r="G6" s="31"/>
      <c r="H6" s="13"/>
      <c r="I6" s="13"/>
      <c r="J6" s="31"/>
      <c r="K6" s="31"/>
      <c r="L6" s="31"/>
      <c r="M6" s="31"/>
      <c r="N6" s="31"/>
      <c r="O6" s="13"/>
      <c r="P6" s="13"/>
      <c r="Q6" s="31"/>
      <c r="R6" s="31"/>
      <c r="S6" s="31"/>
      <c r="T6" s="31"/>
      <c r="U6" s="31"/>
      <c r="V6" s="13"/>
      <c r="W6" s="13"/>
      <c r="X6" s="31"/>
      <c r="Y6" s="31"/>
      <c r="Z6" s="31"/>
      <c r="AA6" s="31"/>
      <c r="AB6" s="31"/>
      <c r="AC6" s="13"/>
      <c r="AD6" s="8">
        <f t="shared" si="1"/>
        <v>0</v>
      </c>
      <c r="AE6" s="8">
        <f t="shared" si="2"/>
        <v>0</v>
      </c>
      <c r="AF6" s="8">
        <f t="shared" si="3"/>
        <v>0</v>
      </c>
      <c r="AG6" s="8">
        <f t="shared" si="4"/>
        <v>0</v>
      </c>
      <c r="AH6" s="8">
        <f t="shared" si="5"/>
        <v>0</v>
      </c>
      <c r="AI6" s="32"/>
      <c r="AJ6" s="42" t="s">
        <v>120</v>
      </c>
      <c r="AK6" s="34" t="s">
        <v>121</v>
      </c>
      <c r="AL6" s="2"/>
      <c r="AM6" s="2"/>
    </row>
    <row r="7" spans="1:39" s="3" customFormat="1" ht="25.15" customHeight="1" x14ac:dyDescent="0.55000000000000004">
      <c r="A7" s="10" t="s">
        <v>17</v>
      </c>
      <c r="B7" s="13"/>
      <c r="C7" s="31"/>
      <c r="D7" s="31"/>
      <c r="E7" s="31"/>
      <c r="F7" s="31"/>
      <c r="G7" s="31"/>
      <c r="H7" s="13"/>
      <c r="I7" s="13"/>
      <c r="J7" s="31"/>
      <c r="K7" s="31"/>
      <c r="L7" s="31"/>
      <c r="M7" s="31"/>
      <c r="N7" s="31"/>
      <c r="O7" s="13"/>
      <c r="P7" s="13"/>
      <c r="Q7" s="31"/>
      <c r="R7" s="31"/>
      <c r="S7" s="31"/>
      <c r="T7" s="31"/>
      <c r="U7" s="31"/>
      <c r="V7" s="13"/>
      <c r="W7" s="13"/>
      <c r="X7" s="31"/>
      <c r="Y7" s="31"/>
      <c r="Z7" s="31"/>
      <c r="AA7" s="31"/>
      <c r="AB7" s="31"/>
      <c r="AC7" s="13"/>
      <c r="AD7" s="8">
        <f t="shared" si="1"/>
        <v>0</v>
      </c>
      <c r="AE7" s="8">
        <f t="shared" si="2"/>
        <v>0</v>
      </c>
      <c r="AF7" s="8">
        <f t="shared" si="3"/>
        <v>0</v>
      </c>
      <c r="AG7" s="8">
        <f t="shared" si="4"/>
        <v>0</v>
      </c>
      <c r="AH7" s="8">
        <f t="shared" si="5"/>
        <v>0</v>
      </c>
      <c r="AI7" s="32"/>
      <c r="AJ7" s="43" t="s">
        <v>23</v>
      </c>
      <c r="AK7" s="34" t="s">
        <v>122</v>
      </c>
      <c r="AL7" s="2"/>
      <c r="AM7" s="2"/>
    </row>
    <row r="8" spans="1:39" s="3" customFormat="1" ht="25.15" customHeight="1" x14ac:dyDescent="0.55000000000000004">
      <c r="A8" s="10" t="s">
        <v>41</v>
      </c>
      <c r="B8" s="13"/>
      <c r="C8" s="31"/>
      <c r="D8" s="31"/>
      <c r="E8" s="31"/>
      <c r="F8" s="31"/>
      <c r="G8" s="31"/>
      <c r="H8" s="13"/>
      <c r="I8" s="13"/>
      <c r="J8" s="31"/>
      <c r="K8" s="31"/>
      <c r="L8" s="31"/>
      <c r="M8" s="31"/>
      <c r="N8" s="31"/>
      <c r="O8" s="13"/>
      <c r="P8" s="13"/>
      <c r="Q8" s="31"/>
      <c r="R8" s="31"/>
      <c r="S8" s="31"/>
      <c r="T8" s="31"/>
      <c r="U8" s="31"/>
      <c r="V8" s="13"/>
      <c r="W8" s="13"/>
      <c r="X8" s="31"/>
      <c r="Y8" s="31"/>
      <c r="Z8" s="31"/>
      <c r="AA8" s="31"/>
      <c r="AB8" s="31"/>
      <c r="AC8" s="13"/>
      <c r="AD8" s="8">
        <f t="shared" si="1"/>
        <v>0</v>
      </c>
      <c r="AE8" s="8">
        <f t="shared" si="2"/>
        <v>0</v>
      </c>
      <c r="AF8" s="8">
        <f t="shared" si="3"/>
        <v>0</v>
      </c>
      <c r="AG8" s="8">
        <f t="shared" si="4"/>
        <v>0</v>
      </c>
      <c r="AH8" s="8">
        <f t="shared" si="5"/>
        <v>0</v>
      </c>
      <c r="AI8" s="32"/>
      <c r="AJ8" s="44" t="s">
        <v>123</v>
      </c>
      <c r="AK8" s="34" t="s">
        <v>124</v>
      </c>
      <c r="AL8" s="2"/>
      <c r="AM8" s="2"/>
    </row>
    <row r="9" spans="1:39" s="3" customFormat="1" ht="25.15" customHeight="1" x14ac:dyDescent="0.55000000000000004">
      <c r="A9" s="10" t="s">
        <v>36</v>
      </c>
      <c r="B9" s="13"/>
      <c r="C9" s="31"/>
      <c r="D9" s="31"/>
      <c r="E9" s="31"/>
      <c r="F9" s="31"/>
      <c r="G9" s="31"/>
      <c r="H9" s="13"/>
      <c r="I9" s="13"/>
      <c r="J9" s="31"/>
      <c r="K9" s="31"/>
      <c r="L9" s="31"/>
      <c r="M9" s="31"/>
      <c r="N9" s="31"/>
      <c r="O9" s="13"/>
      <c r="P9" s="13"/>
      <c r="Q9" s="31"/>
      <c r="R9" s="31"/>
      <c r="S9" s="31"/>
      <c r="T9" s="31"/>
      <c r="U9" s="31"/>
      <c r="V9" s="13"/>
      <c r="W9" s="13"/>
      <c r="X9" s="31"/>
      <c r="Y9" s="31"/>
      <c r="Z9" s="31"/>
      <c r="AA9" s="31"/>
      <c r="AB9" s="31"/>
      <c r="AC9" s="13"/>
      <c r="AD9" s="8">
        <f t="shared" si="1"/>
        <v>0</v>
      </c>
      <c r="AE9" s="8">
        <f t="shared" si="2"/>
        <v>0</v>
      </c>
      <c r="AF9" s="8">
        <f t="shared" si="3"/>
        <v>0</v>
      </c>
      <c r="AG9" s="8">
        <f t="shared" si="4"/>
        <v>0</v>
      </c>
      <c r="AH9" s="8">
        <f t="shared" si="5"/>
        <v>0</v>
      </c>
      <c r="AI9" s="32"/>
      <c r="AJ9" s="38" t="s">
        <v>125</v>
      </c>
      <c r="AK9" s="34" t="s">
        <v>126</v>
      </c>
      <c r="AL9" s="2"/>
      <c r="AM9" s="2"/>
    </row>
    <row r="10" spans="1:39" s="3" customFormat="1" ht="25.15" customHeight="1" x14ac:dyDescent="0.55000000000000004">
      <c r="A10" s="10" t="s">
        <v>46</v>
      </c>
      <c r="B10" s="13"/>
      <c r="C10" s="31"/>
      <c r="D10" s="31"/>
      <c r="E10" s="31"/>
      <c r="F10" s="31"/>
      <c r="G10" s="31"/>
      <c r="H10" s="13"/>
      <c r="I10" s="13"/>
      <c r="J10" s="31"/>
      <c r="K10" s="31"/>
      <c r="L10" s="31"/>
      <c r="M10" s="31"/>
      <c r="N10" s="31"/>
      <c r="O10" s="13"/>
      <c r="P10" s="13"/>
      <c r="Q10" s="31"/>
      <c r="R10" s="31"/>
      <c r="S10" s="31"/>
      <c r="T10" s="31"/>
      <c r="U10" s="31"/>
      <c r="V10" s="13"/>
      <c r="W10" s="13"/>
      <c r="X10" s="31"/>
      <c r="Y10" s="31"/>
      <c r="Z10" s="31"/>
      <c r="AA10" s="31"/>
      <c r="AB10" s="31"/>
      <c r="AC10" s="13"/>
      <c r="AD10" s="8">
        <f t="shared" si="1"/>
        <v>0</v>
      </c>
      <c r="AE10" s="8">
        <f t="shared" si="2"/>
        <v>0</v>
      </c>
      <c r="AF10" s="8">
        <f t="shared" si="3"/>
        <v>0</v>
      </c>
      <c r="AG10" s="8">
        <f t="shared" si="4"/>
        <v>0</v>
      </c>
      <c r="AH10" s="8">
        <f t="shared" si="5"/>
        <v>0</v>
      </c>
      <c r="AI10" s="32"/>
      <c r="AJ10" s="39" t="s">
        <v>116</v>
      </c>
      <c r="AK10" s="34" t="s">
        <v>127</v>
      </c>
      <c r="AL10" s="2"/>
      <c r="AM10" s="2"/>
    </row>
    <row r="11" spans="1:39" s="3" customFormat="1" ht="25.15" customHeight="1" x14ac:dyDescent="0.55000000000000004">
      <c r="A11" s="10" t="s">
        <v>43</v>
      </c>
      <c r="B11" s="13"/>
      <c r="C11" s="31"/>
      <c r="D11" s="31"/>
      <c r="E11" s="31"/>
      <c r="F11" s="31"/>
      <c r="G11" s="31"/>
      <c r="H11" s="13"/>
      <c r="I11" s="13"/>
      <c r="J11" s="31"/>
      <c r="K11" s="31"/>
      <c r="L11" s="31"/>
      <c r="M11" s="31"/>
      <c r="N11" s="31"/>
      <c r="O11" s="13"/>
      <c r="P11" s="13"/>
      <c r="Q11" s="31"/>
      <c r="R11" s="31"/>
      <c r="S11" s="31"/>
      <c r="T11" s="31"/>
      <c r="U11" s="31"/>
      <c r="V11" s="13"/>
      <c r="W11" s="13"/>
      <c r="X11" s="31"/>
      <c r="Y11" s="31"/>
      <c r="Z11" s="31"/>
      <c r="AA11" s="31"/>
      <c r="AB11" s="31"/>
      <c r="AC11" s="13"/>
      <c r="AD11" s="8">
        <f t="shared" si="1"/>
        <v>0</v>
      </c>
      <c r="AE11" s="8">
        <f t="shared" si="2"/>
        <v>0</v>
      </c>
      <c r="AF11" s="8">
        <f t="shared" si="3"/>
        <v>0</v>
      </c>
      <c r="AG11" s="8">
        <f t="shared" si="4"/>
        <v>0</v>
      </c>
      <c r="AH11" s="8">
        <f t="shared" si="5"/>
        <v>0</v>
      </c>
      <c r="AI11" s="32"/>
      <c r="AJ11" s="45"/>
      <c r="AK11" s="46"/>
      <c r="AL11" s="2"/>
      <c r="AM11" s="2"/>
    </row>
    <row r="12" spans="1:39" s="3" customFormat="1" ht="25.15" customHeight="1" x14ac:dyDescent="0.55000000000000004">
      <c r="A12" s="10" t="s">
        <v>47</v>
      </c>
      <c r="B12" s="13"/>
      <c r="C12" s="31"/>
      <c r="D12" s="31"/>
      <c r="E12" s="31"/>
      <c r="F12" s="31"/>
      <c r="G12" s="31"/>
      <c r="H12" s="13"/>
      <c r="I12" s="13"/>
      <c r="J12" s="31"/>
      <c r="K12" s="31"/>
      <c r="L12" s="31"/>
      <c r="M12" s="31"/>
      <c r="N12" s="31"/>
      <c r="O12" s="13"/>
      <c r="P12" s="13"/>
      <c r="Q12" s="31"/>
      <c r="R12" s="31"/>
      <c r="S12" s="31"/>
      <c r="T12" s="31"/>
      <c r="U12" s="31"/>
      <c r="V12" s="13"/>
      <c r="W12" s="13"/>
      <c r="X12" s="31"/>
      <c r="Y12" s="31"/>
      <c r="Z12" s="31"/>
      <c r="AA12" s="31"/>
      <c r="AB12" s="31"/>
      <c r="AC12" s="13"/>
      <c r="AD12" s="8">
        <f t="shared" si="1"/>
        <v>0</v>
      </c>
      <c r="AE12" s="8">
        <f t="shared" si="2"/>
        <v>0</v>
      </c>
      <c r="AF12" s="8">
        <f t="shared" si="3"/>
        <v>0</v>
      </c>
      <c r="AG12" s="8">
        <f t="shared" si="4"/>
        <v>0</v>
      </c>
      <c r="AH12" s="8">
        <f t="shared" si="5"/>
        <v>0</v>
      </c>
      <c r="AI12" s="32"/>
      <c r="AJ12" s="45"/>
      <c r="AK12" s="46"/>
      <c r="AL12" s="2"/>
      <c r="AM12" s="2"/>
    </row>
    <row r="13" spans="1:39" s="3" customFormat="1" ht="25.15" customHeight="1" x14ac:dyDescent="0.55000000000000004">
      <c r="A13" s="10" t="s">
        <v>32</v>
      </c>
      <c r="B13" s="13"/>
      <c r="C13" s="31"/>
      <c r="D13" s="31"/>
      <c r="E13" s="31"/>
      <c r="F13" s="31"/>
      <c r="G13" s="31"/>
      <c r="H13" s="13"/>
      <c r="I13" s="13"/>
      <c r="J13" s="31"/>
      <c r="K13" s="31"/>
      <c r="L13" s="31"/>
      <c r="M13" s="31"/>
      <c r="N13" s="31"/>
      <c r="O13" s="13"/>
      <c r="P13" s="13"/>
      <c r="Q13" s="31"/>
      <c r="R13" s="31"/>
      <c r="S13" s="31"/>
      <c r="T13" s="31"/>
      <c r="U13" s="31"/>
      <c r="V13" s="13"/>
      <c r="W13" s="13"/>
      <c r="X13" s="31"/>
      <c r="Y13" s="31"/>
      <c r="Z13" s="31"/>
      <c r="AA13" s="31"/>
      <c r="AB13" s="31"/>
      <c r="AC13" s="13"/>
      <c r="AD13" s="8">
        <f t="shared" si="1"/>
        <v>0</v>
      </c>
      <c r="AE13" s="8">
        <f t="shared" si="2"/>
        <v>0</v>
      </c>
      <c r="AF13" s="8">
        <f t="shared" si="3"/>
        <v>0</v>
      </c>
      <c r="AG13" s="8">
        <f t="shared" si="4"/>
        <v>0</v>
      </c>
      <c r="AH13" s="8">
        <f t="shared" si="5"/>
        <v>0</v>
      </c>
      <c r="AI13" s="32"/>
      <c r="AJ13" s="2"/>
      <c r="AK13" s="2"/>
      <c r="AL13" s="2"/>
      <c r="AM13" s="2"/>
    </row>
    <row r="14" spans="1:39" s="3" customFormat="1" ht="25.15" customHeight="1" x14ac:dyDescent="0.55000000000000004">
      <c r="A14" s="10" t="s">
        <v>40</v>
      </c>
      <c r="B14" s="13"/>
      <c r="C14" s="31"/>
      <c r="D14" s="31"/>
      <c r="E14" s="31"/>
      <c r="F14" s="31"/>
      <c r="G14" s="31"/>
      <c r="H14" s="13"/>
      <c r="I14" s="13"/>
      <c r="J14" s="31"/>
      <c r="K14" s="31"/>
      <c r="L14" s="31"/>
      <c r="M14" s="31"/>
      <c r="N14" s="31"/>
      <c r="O14" s="13"/>
      <c r="P14" s="13"/>
      <c r="Q14" s="31"/>
      <c r="R14" s="31"/>
      <c r="S14" s="31"/>
      <c r="T14" s="31"/>
      <c r="U14" s="31"/>
      <c r="V14" s="13"/>
      <c r="W14" s="13"/>
      <c r="X14" s="31"/>
      <c r="Y14" s="31"/>
      <c r="Z14" s="31"/>
      <c r="AA14" s="31"/>
      <c r="AB14" s="31"/>
      <c r="AC14" s="13"/>
      <c r="AD14" s="8">
        <f t="shared" si="1"/>
        <v>0</v>
      </c>
      <c r="AE14" s="8">
        <f t="shared" si="2"/>
        <v>0</v>
      </c>
      <c r="AF14" s="8">
        <f t="shared" si="3"/>
        <v>0</v>
      </c>
      <c r="AG14" s="8">
        <f t="shared" si="4"/>
        <v>0</v>
      </c>
      <c r="AH14" s="8">
        <f t="shared" si="5"/>
        <v>0</v>
      </c>
      <c r="AI14" s="32"/>
      <c r="AJ14" s="2"/>
      <c r="AK14" s="2"/>
      <c r="AL14" s="2"/>
      <c r="AM14" s="2"/>
    </row>
    <row r="15" spans="1:39" s="3" customFormat="1" ht="25.15" customHeight="1" x14ac:dyDescent="0.55000000000000004">
      <c r="A15" s="10" t="s">
        <v>34</v>
      </c>
      <c r="B15" s="13"/>
      <c r="C15" s="31"/>
      <c r="D15" s="31"/>
      <c r="E15" s="31"/>
      <c r="F15" s="31"/>
      <c r="G15" s="31"/>
      <c r="H15" s="13"/>
      <c r="I15" s="13"/>
      <c r="J15" s="31"/>
      <c r="K15" s="31"/>
      <c r="L15" s="31"/>
      <c r="M15" s="31"/>
      <c r="N15" s="31"/>
      <c r="O15" s="13"/>
      <c r="P15" s="13"/>
      <c r="Q15" s="31"/>
      <c r="R15" s="31"/>
      <c r="S15" s="31"/>
      <c r="T15" s="31"/>
      <c r="U15" s="31"/>
      <c r="V15" s="13"/>
      <c r="W15" s="13"/>
      <c r="X15" s="31"/>
      <c r="Y15" s="31"/>
      <c r="Z15" s="31"/>
      <c r="AA15" s="31"/>
      <c r="AB15" s="31"/>
      <c r="AC15" s="13"/>
      <c r="AD15" s="8">
        <f t="shared" si="1"/>
        <v>0</v>
      </c>
      <c r="AE15" s="8">
        <f t="shared" si="2"/>
        <v>0</v>
      </c>
      <c r="AF15" s="8">
        <f t="shared" si="3"/>
        <v>0</v>
      </c>
      <c r="AG15" s="8">
        <f t="shared" si="4"/>
        <v>0</v>
      </c>
      <c r="AH15" s="8">
        <f t="shared" si="5"/>
        <v>0</v>
      </c>
      <c r="AI15" s="2"/>
      <c r="AJ15" s="2"/>
      <c r="AK15" s="2"/>
      <c r="AL15" s="2"/>
      <c r="AM15" s="2"/>
    </row>
    <row r="16" spans="1:39" ht="23.5" customHeight="1" x14ac:dyDescent="0.55000000000000004">
      <c r="A16" s="10" t="s">
        <v>29</v>
      </c>
      <c r="B16" s="13"/>
      <c r="C16" s="31"/>
      <c r="D16" s="31"/>
      <c r="E16" s="31"/>
      <c r="F16" s="31"/>
      <c r="G16" s="31"/>
      <c r="H16" s="13"/>
      <c r="I16" s="13"/>
      <c r="J16" s="31"/>
      <c r="K16" s="31"/>
      <c r="L16" s="31"/>
      <c r="M16" s="31"/>
      <c r="N16" s="31"/>
      <c r="O16" s="13"/>
      <c r="P16" s="13"/>
      <c r="Q16" s="31"/>
      <c r="R16" s="31"/>
      <c r="S16" s="31"/>
      <c r="T16" s="31"/>
      <c r="U16" s="31"/>
      <c r="V16" s="13"/>
      <c r="W16" s="13"/>
      <c r="X16" s="31"/>
      <c r="Y16" s="31"/>
      <c r="Z16" s="31"/>
      <c r="AA16" s="31"/>
      <c r="AB16" s="31"/>
      <c r="AC16" s="13"/>
      <c r="AD16" s="8">
        <f t="shared" si="1"/>
        <v>0</v>
      </c>
      <c r="AE16" s="8">
        <f t="shared" si="2"/>
        <v>0</v>
      </c>
      <c r="AF16" s="8">
        <f t="shared" si="3"/>
        <v>0</v>
      </c>
      <c r="AG16" s="8">
        <f t="shared" si="4"/>
        <v>0</v>
      </c>
      <c r="AH16" s="8">
        <f t="shared" si="5"/>
        <v>0</v>
      </c>
      <c r="AL16" s="2"/>
      <c r="AM16" s="2"/>
    </row>
    <row r="17" spans="1:34" ht="23.5" customHeight="1" x14ac:dyDescent="0.55000000000000004">
      <c r="A17" s="10" t="s">
        <v>128</v>
      </c>
      <c r="B17" s="13"/>
      <c r="C17" s="31"/>
      <c r="D17" s="31"/>
      <c r="E17" s="31"/>
      <c r="F17" s="31"/>
      <c r="G17" s="31"/>
      <c r="H17" s="13"/>
      <c r="I17" s="13"/>
      <c r="J17" s="31"/>
      <c r="K17" s="31"/>
      <c r="L17" s="31"/>
      <c r="M17" s="31"/>
      <c r="N17" s="31"/>
      <c r="O17" s="13"/>
      <c r="P17" s="13"/>
      <c r="Q17" s="31"/>
      <c r="R17" s="31"/>
      <c r="S17" s="31"/>
      <c r="T17" s="31"/>
      <c r="U17" s="31"/>
      <c r="V17" s="13"/>
      <c r="W17" s="13"/>
      <c r="X17" s="31"/>
      <c r="Y17" s="31"/>
      <c r="Z17" s="31"/>
      <c r="AA17" s="31"/>
      <c r="AB17" s="31"/>
      <c r="AC17" s="13"/>
      <c r="AD17" s="8">
        <f t="shared" si="1"/>
        <v>0</v>
      </c>
      <c r="AE17" s="8">
        <f t="shared" si="2"/>
        <v>0</v>
      </c>
      <c r="AF17" s="8">
        <f t="shared" si="3"/>
        <v>0</v>
      </c>
      <c r="AG17" s="8">
        <f t="shared" si="4"/>
        <v>0</v>
      </c>
      <c r="AH17" s="8">
        <f t="shared" si="5"/>
        <v>0</v>
      </c>
    </row>
    <row r="18" spans="1:34" ht="23.5" customHeight="1" x14ac:dyDescent="0.55000000000000004">
      <c r="A18" s="10" t="s">
        <v>22</v>
      </c>
      <c r="B18" s="13"/>
      <c r="C18" s="31"/>
      <c r="D18" s="31"/>
      <c r="E18" s="31"/>
      <c r="F18" s="31"/>
      <c r="G18" s="31"/>
      <c r="H18" s="13"/>
      <c r="I18" s="13"/>
      <c r="J18" s="31"/>
      <c r="K18" s="31"/>
      <c r="L18" s="31"/>
      <c r="M18" s="31"/>
      <c r="N18" s="31"/>
      <c r="O18" s="13"/>
      <c r="P18" s="13"/>
      <c r="Q18" s="31"/>
      <c r="R18" s="31"/>
      <c r="S18" s="31"/>
      <c r="T18" s="31"/>
      <c r="U18" s="31"/>
      <c r="V18" s="13"/>
      <c r="W18" s="13"/>
      <c r="X18" s="31"/>
      <c r="Y18" s="31"/>
      <c r="Z18" s="31"/>
      <c r="AA18" s="31"/>
      <c r="AB18" s="31"/>
      <c r="AC18" s="13"/>
      <c r="AD18" s="8">
        <f t="shared" si="1"/>
        <v>0</v>
      </c>
      <c r="AE18" s="8">
        <f t="shared" si="2"/>
        <v>0</v>
      </c>
      <c r="AF18" s="8">
        <f t="shared" si="3"/>
        <v>0</v>
      </c>
      <c r="AG18" s="8">
        <f t="shared" si="4"/>
        <v>0</v>
      </c>
      <c r="AH18" s="8">
        <f t="shared" si="5"/>
        <v>0</v>
      </c>
    </row>
    <row r="19" spans="1:34" ht="23.5" customHeight="1" x14ac:dyDescent="0.55000000000000004">
      <c r="A19" s="10" t="s">
        <v>39</v>
      </c>
      <c r="B19" s="13"/>
      <c r="C19" s="31"/>
      <c r="D19" s="31"/>
      <c r="E19" s="31"/>
      <c r="F19" s="31"/>
      <c r="G19" s="31"/>
      <c r="H19" s="13"/>
      <c r="I19" s="13"/>
      <c r="J19" s="31"/>
      <c r="K19" s="31"/>
      <c r="L19" s="31"/>
      <c r="M19" s="31"/>
      <c r="N19" s="31"/>
      <c r="O19" s="13"/>
      <c r="P19" s="13"/>
      <c r="Q19" s="31"/>
      <c r="R19" s="31"/>
      <c r="S19" s="31"/>
      <c r="T19" s="31"/>
      <c r="U19" s="31"/>
      <c r="V19" s="13"/>
      <c r="W19" s="13"/>
      <c r="X19" s="31"/>
      <c r="Y19" s="31"/>
      <c r="Z19" s="31"/>
      <c r="AA19" s="31"/>
      <c r="AB19" s="31"/>
      <c r="AC19" s="13"/>
      <c r="AD19" s="8">
        <f t="shared" si="1"/>
        <v>0</v>
      </c>
      <c r="AE19" s="8">
        <f t="shared" si="2"/>
        <v>0</v>
      </c>
      <c r="AF19" s="8">
        <f t="shared" si="3"/>
        <v>0</v>
      </c>
      <c r="AG19" s="8">
        <f t="shared" si="4"/>
        <v>0</v>
      </c>
      <c r="AH19" s="8">
        <f t="shared" si="5"/>
        <v>0</v>
      </c>
    </row>
    <row r="20" spans="1:34" ht="23.5" customHeight="1" x14ac:dyDescent="0.55000000000000004">
      <c r="A20" s="10" t="s">
        <v>50</v>
      </c>
      <c r="B20" s="13"/>
      <c r="C20" s="31"/>
      <c r="D20" s="31"/>
      <c r="E20" s="31"/>
      <c r="F20" s="31"/>
      <c r="G20" s="31"/>
      <c r="H20" s="13"/>
      <c r="I20" s="13"/>
      <c r="J20" s="31"/>
      <c r="K20" s="31"/>
      <c r="L20" s="31"/>
      <c r="M20" s="31"/>
      <c r="N20" s="31"/>
      <c r="O20" s="13"/>
      <c r="P20" s="13"/>
      <c r="Q20" s="31"/>
      <c r="R20" s="31"/>
      <c r="S20" s="31"/>
      <c r="T20" s="31"/>
      <c r="U20" s="31"/>
      <c r="V20" s="13"/>
      <c r="W20" s="13"/>
      <c r="X20" s="31"/>
      <c r="Y20" s="31"/>
      <c r="Z20" s="31"/>
      <c r="AA20" s="31"/>
      <c r="AB20" s="31"/>
      <c r="AC20" s="13"/>
      <c r="AD20" s="8">
        <f t="shared" si="1"/>
        <v>0</v>
      </c>
      <c r="AE20" s="8">
        <f t="shared" si="2"/>
        <v>0</v>
      </c>
      <c r="AF20" s="8">
        <f t="shared" si="3"/>
        <v>0</v>
      </c>
      <c r="AG20" s="8">
        <f t="shared" si="4"/>
        <v>0</v>
      </c>
      <c r="AH20" s="8">
        <f t="shared" si="5"/>
        <v>0</v>
      </c>
    </row>
    <row r="21" spans="1:34" ht="23.5" customHeight="1" x14ac:dyDescent="0.55000000000000004">
      <c r="A21" s="10" t="s">
        <v>129</v>
      </c>
      <c r="B21" s="13"/>
      <c r="C21" s="31"/>
      <c r="D21" s="31"/>
      <c r="E21" s="31"/>
      <c r="F21" s="31"/>
      <c r="G21" s="31"/>
      <c r="H21" s="13"/>
      <c r="I21" s="13"/>
      <c r="J21" s="31"/>
      <c r="K21" s="31"/>
      <c r="L21" s="31"/>
      <c r="M21" s="31"/>
      <c r="N21" s="31"/>
      <c r="O21" s="13"/>
      <c r="P21" s="13"/>
      <c r="Q21" s="31"/>
      <c r="R21" s="31"/>
      <c r="S21" s="31"/>
      <c r="T21" s="31"/>
      <c r="U21" s="31"/>
      <c r="V21" s="13"/>
      <c r="W21" s="13"/>
      <c r="X21" s="31"/>
      <c r="Y21" s="31"/>
      <c r="Z21" s="31"/>
      <c r="AA21" s="31"/>
      <c r="AB21" s="31"/>
      <c r="AC21" s="13"/>
      <c r="AD21" s="8">
        <f t="shared" si="1"/>
        <v>0</v>
      </c>
      <c r="AE21" s="8">
        <f t="shared" si="2"/>
        <v>0</v>
      </c>
      <c r="AF21" s="8">
        <f t="shared" si="3"/>
        <v>0</v>
      </c>
      <c r="AG21" s="8">
        <f t="shared" si="4"/>
        <v>0</v>
      </c>
      <c r="AH21" s="8">
        <f t="shared" si="5"/>
        <v>0</v>
      </c>
    </row>
    <row r="22" spans="1:34" ht="23.5" customHeight="1" x14ac:dyDescent="0.55000000000000004">
      <c r="A22" s="10" t="s">
        <v>27</v>
      </c>
      <c r="B22" s="13"/>
      <c r="C22" s="31"/>
      <c r="D22" s="31"/>
      <c r="E22" s="31"/>
      <c r="F22" s="31"/>
      <c r="G22" s="31"/>
      <c r="H22" s="13"/>
      <c r="I22" s="13"/>
      <c r="J22" s="31"/>
      <c r="K22" s="31"/>
      <c r="L22" s="31"/>
      <c r="M22" s="31"/>
      <c r="N22" s="31"/>
      <c r="O22" s="13"/>
      <c r="P22" s="13"/>
      <c r="Q22" s="31"/>
      <c r="R22" s="31"/>
      <c r="S22" s="31"/>
      <c r="T22" s="31"/>
      <c r="U22" s="31"/>
      <c r="V22" s="13"/>
      <c r="W22" s="13"/>
      <c r="X22" s="31"/>
      <c r="Y22" s="31"/>
      <c r="Z22" s="31"/>
      <c r="AA22" s="31"/>
      <c r="AB22" s="31"/>
      <c r="AC22" s="13"/>
      <c r="AD22" s="8">
        <f t="shared" si="1"/>
        <v>0</v>
      </c>
      <c r="AE22" s="8">
        <f t="shared" si="2"/>
        <v>0</v>
      </c>
      <c r="AF22" s="8">
        <f t="shared" si="3"/>
        <v>0</v>
      </c>
      <c r="AG22" s="8">
        <f t="shared" si="4"/>
        <v>0</v>
      </c>
      <c r="AH22" s="8">
        <f t="shared" si="5"/>
        <v>0</v>
      </c>
    </row>
    <row r="23" spans="1:34" ht="23.5" customHeight="1" x14ac:dyDescent="0.55000000000000004">
      <c r="A23" s="10" t="s">
        <v>28</v>
      </c>
      <c r="B23" s="13"/>
      <c r="C23" s="31"/>
      <c r="D23" s="31"/>
      <c r="E23" s="31"/>
      <c r="F23" s="31"/>
      <c r="G23" s="31"/>
      <c r="H23" s="13"/>
      <c r="I23" s="13"/>
      <c r="J23" s="31"/>
      <c r="K23" s="31"/>
      <c r="L23" s="31"/>
      <c r="M23" s="31"/>
      <c r="N23" s="31"/>
      <c r="O23" s="13"/>
      <c r="P23" s="13"/>
      <c r="Q23" s="31"/>
      <c r="R23" s="31"/>
      <c r="S23" s="31"/>
      <c r="T23" s="31"/>
      <c r="U23" s="31"/>
      <c r="V23" s="13"/>
      <c r="W23" s="13"/>
      <c r="X23" s="31"/>
      <c r="Y23" s="31"/>
      <c r="Z23" s="31"/>
      <c r="AA23" s="31"/>
      <c r="AB23" s="31"/>
      <c r="AC23" s="13"/>
      <c r="AD23" s="8">
        <f t="shared" si="1"/>
        <v>0</v>
      </c>
      <c r="AE23" s="8">
        <f t="shared" si="2"/>
        <v>0</v>
      </c>
      <c r="AF23" s="8">
        <f t="shared" si="3"/>
        <v>0</v>
      </c>
      <c r="AG23" s="8">
        <f t="shared" si="4"/>
        <v>0</v>
      </c>
      <c r="AH23" s="8">
        <f t="shared" si="5"/>
        <v>0</v>
      </c>
    </row>
    <row r="24" spans="1:34" ht="23.5" customHeight="1" x14ac:dyDescent="0.55000000000000004">
      <c r="A24" s="10" t="s">
        <v>21</v>
      </c>
      <c r="B24" s="13"/>
      <c r="C24" s="31"/>
      <c r="D24" s="31"/>
      <c r="E24" s="31"/>
      <c r="F24" s="31"/>
      <c r="G24" s="31"/>
      <c r="H24" s="13"/>
      <c r="I24" s="13"/>
      <c r="J24" s="31"/>
      <c r="K24" s="31"/>
      <c r="L24" s="31"/>
      <c r="M24" s="31"/>
      <c r="N24" s="31"/>
      <c r="O24" s="13"/>
      <c r="P24" s="13"/>
      <c r="Q24" s="31"/>
      <c r="R24" s="31"/>
      <c r="S24" s="31"/>
      <c r="T24" s="31"/>
      <c r="U24" s="31"/>
      <c r="V24" s="13"/>
      <c r="W24" s="13"/>
      <c r="X24" s="31"/>
      <c r="Y24" s="31"/>
      <c r="Z24" s="31"/>
      <c r="AA24" s="31"/>
      <c r="AB24" s="31"/>
      <c r="AC24" s="13"/>
      <c r="AD24" s="8">
        <f t="shared" si="1"/>
        <v>0</v>
      </c>
      <c r="AE24" s="8">
        <f t="shared" si="2"/>
        <v>0</v>
      </c>
      <c r="AF24" s="8">
        <f t="shared" si="3"/>
        <v>0</v>
      </c>
      <c r="AG24" s="8">
        <f t="shared" si="4"/>
        <v>0</v>
      </c>
      <c r="AH24" s="8">
        <f t="shared" si="5"/>
        <v>0</v>
      </c>
    </row>
    <row r="25" spans="1:34" ht="23.5" customHeight="1" x14ac:dyDescent="0.55000000000000004">
      <c r="A25" s="10" t="s">
        <v>42</v>
      </c>
      <c r="B25" s="13"/>
      <c r="C25" s="31"/>
      <c r="D25" s="31"/>
      <c r="E25" s="31"/>
      <c r="F25" s="31"/>
      <c r="G25" s="31"/>
      <c r="H25" s="13"/>
      <c r="I25" s="13"/>
      <c r="J25" s="31"/>
      <c r="K25" s="31"/>
      <c r="L25" s="31"/>
      <c r="M25" s="31"/>
      <c r="N25" s="31"/>
      <c r="O25" s="13"/>
      <c r="P25" s="13"/>
      <c r="Q25" s="31"/>
      <c r="R25" s="31"/>
      <c r="S25" s="31"/>
      <c r="T25" s="31"/>
      <c r="U25" s="31"/>
      <c r="V25" s="13"/>
      <c r="W25" s="13"/>
      <c r="X25" s="31"/>
      <c r="Y25" s="31"/>
      <c r="Z25" s="31"/>
      <c r="AA25" s="31"/>
      <c r="AB25" s="31"/>
      <c r="AC25" s="13"/>
      <c r="AD25" s="8">
        <f t="shared" si="1"/>
        <v>0</v>
      </c>
      <c r="AE25" s="8">
        <f t="shared" si="2"/>
        <v>0</v>
      </c>
      <c r="AF25" s="8">
        <f t="shared" si="3"/>
        <v>0</v>
      </c>
      <c r="AG25" s="8">
        <f t="shared" si="4"/>
        <v>0</v>
      </c>
      <c r="AH25" s="8">
        <f t="shared" si="5"/>
        <v>0</v>
      </c>
    </row>
    <row r="26" spans="1:34" ht="23.5" customHeight="1" x14ac:dyDescent="0.55000000000000004">
      <c r="A26" s="10" t="s">
        <v>26</v>
      </c>
      <c r="B26" s="13"/>
      <c r="C26" s="31"/>
      <c r="D26" s="31"/>
      <c r="E26" s="31"/>
      <c r="F26" s="31"/>
      <c r="G26" s="31"/>
      <c r="H26" s="13"/>
      <c r="I26" s="13"/>
      <c r="J26" s="31"/>
      <c r="K26" s="31"/>
      <c r="L26" s="31"/>
      <c r="M26" s="31"/>
      <c r="N26" s="31"/>
      <c r="O26" s="13"/>
      <c r="P26" s="13"/>
      <c r="Q26" s="31"/>
      <c r="R26" s="31"/>
      <c r="S26" s="31"/>
      <c r="T26" s="31"/>
      <c r="U26" s="31"/>
      <c r="V26" s="13"/>
      <c r="W26" s="13"/>
      <c r="X26" s="31"/>
      <c r="Y26" s="31"/>
      <c r="Z26" s="31"/>
      <c r="AA26" s="31"/>
      <c r="AB26" s="31"/>
      <c r="AC26" s="13"/>
      <c r="AD26" s="8">
        <f t="shared" si="1"/>
        <v>0</v>
      </c>
      <c r="AE26" s="8">
        <f t="shared" si="2"/>
        <v>0</v>
      </c>
      <c r="AF26" s="8">
        <f t="shared" si="3"/>
        <v>0</v>
      </c>
      <c r="AG26" s="8">
        <f t="shared" si="4"/>
        <v>0</v>
      </c>
      <c r="AH26" s="8">
        <f t="shared" si="5"/>
        <v>0</v>
      </c>
    </row>
    <row r="27" spans="1:34" ht="23.5" customHeight="1" x14ac:dyDescent="0.55000000000000004">
      <c r="A27" s="10" t="s">
        <v>44</v>
      </c>
      <c r="B27" s="13"/>
      <c r="C27" s="31"/>
      <c r="D27" s="31"/>
      <c r="E27" s="31"/>
      <c r="F27" s="31"/>
      <c r="G27" s="31"/>
      <c r="H27" s="13"/>
      <c r="I27" s="13"/>
      <c r="J27" s="31"/>
      <c r="K27" s="31"/>
      <c r="L27" s="31"/>
      <c r="M27" s="31"/>
      <c r="N27" s="31"/>
      <c r="O27" s="13"/>
      <c r="P27" s="13"/>
      <c r="Q27" s="31"/>
      <c r="R27" s="31"/>
      <c r="S27" s="31"/>
      <c r="T27" s="31"/>
      <c r="U27" s="31"/>
      <c r="V27" s="13"/>
      <c r="W27" s="13"/>
      <c r="X27" s="31"/>
      <c r="Y27" s="31"/>
      <c r="Z27" s="31"/>
      <c r="AA27" s="31"/>
      <c r="AB27" s="31"/>
      <c r="AC27" s="13"/>
      <c r="AD27" s="8">
        <f t="shared" si="1"/>
        <v>0</v>
      </c>
      <c r="AE27" s="8">
        <f t="shared" si="2"/>
        <v>0</v>
      </c>
      <c r="AF27" s="8">
        <f t="shared" si="3"/>
        <v>0</v>
      </c>
      <c r="AG27" s="8">
        <f t="shared" si="4"/>
        <v>0</v>
      </c>
      <c r="AH27" s="8">
        <f t="shared" si="5"/>
        <v>0</v>
      </c>
    </row>
    <row r="28" spans="1:34" ht="23.5" customHeight="1" x14ac:dyDescent="0.55000000000000004">
      <c r="A28" s="10" t="s">
        <v>25</v>
      </c>
      <c r="B28" s="13"/>
      <c r="C28" s="31"/>
      <c r="D28" s="31"/>
      <c r="E28" s="31"/>
      <c r="F28" s="31"/>
      <c r="G28" s="31"/>
      <c r="H28" s="13"/>
      <c r="I28" s="13"/>
      <c r="J28" s="31"/>
      <c r="K28" s="31"/>
      <c r="L28" s="31"/>
      <c r="M28" s="31"/>
      <c r="N28" s="31"/>
      <c r="O28" s="13"/>
      <c r="P28" s="13"/>
      <c r="Q28" s="31"/>
      <c r="R28" s="31"/>
      <c r="S28" s="31"/>
      <c r="T28" s="31"/>
      <c r="U28" s="31"/>
      <c r="V28" s="13"/>
      <c r="W28" s="13"/>
      <c r="X28" s="31"/>
      <c r="Y28" s="31"/>
      <c r="Z28" s="31"/>
      <c r="AA28" s="31"/>
      <c r="AB28" s="31"/>
      <c r="AC28" s="13"/>
      <c r="AD28" s="8">
        <f t="shared" si="1"/>
        <v>0</v>
      </c>
      <c r="AE28" s="8">
        <f t="shared" si="2"/>
        <v>0</v>
      </c>
      <c r="AF28" s="8">
        <f t="shared" si="3"/>
        <v>0</v>
      </c>
      <c r="AG28" s="8">
        <f t="shared" si="4"/>
        <v>0</v>
      </c>
      <c r="AH28" s="8">
        <f t="shared" si="5"/>
        <v>0</v>
      </c>
    </row>
    <row r="29" spans="1:34" ht="23.5" customHeight="1" x14ac:dyDescent="0.55000000000000004">
      <c r="A29" s="10" t="s">
        <v>24</v>
      </c>
      <c r="B29" s="13"/>
      <c r="C29" s="31"/>
      <c r="D29" s="31"/>
      <c r="E29" s="31"/>
      <c r="F29" s="31"/>
      <c r="G29" s="31"/>
      <c r="H29" s="13"/>
      <c r="I29" s="13"/>
      <c r="J29" s="31"/>
      <c r="K29" s="31"/>
      <c r="L29" s="31"/>
      <c r="M29" s="31"/>
      <c r="N29" s="31"/>
      <c r="O29" s="13"/>
      <c r="P29" s="13"/>
      <c r="Q29" s="31"/>
      <c r="R29" s="31"/>
      <c r="S29" s="31"/>
      <c r="T29" s="31"/>
      <c r="U29" s="31"/>
      <c r="V29" s="13"/>
      <c r="W29" s="13"/>
      <c r="X29" s="31"/>
      <c r="Y29" s="31"/>
      <c r="Z29" s="31"/>
      <c r="AA29" s="31"/>
      <c r="AB29" s="31"/>
      <c r="AC29" s="13"/>
      <c r="AD29" s="8">
        <f t="shared" si="1"/>
        <v>0</v>
      </c>
      <c r="AE29" s="8">
        <f t="shared" si="2"/>
        <v>0</v>
      </c>
      <c r="AF29" s="8">
        <f t="shared" si="3"/>
        <v>0</v>
      </c>
      <c r="AG29" s="8">
        <f t="shared" si="4"/>
        <v>0</v>
      </c>
      <c r="AH29" s="8">
        <f t="shared" si="5"/>
        <v>0</v>
      </c>
    </row>
    <row r="30" spans="1:34" ht="23.5" customHeight="1" x14ac:dyDescent="0.55000000000000004">
      <c r="A30" s="10" t="s">
        <v>60</v>
      </c>
      <c r="B30" s="13"/>
      <c r="C30" s="31"/>
      <c r="D30" s="31"/>
      <c r="E30" s="31"/>
      <c r="F30" s="31"/>
      <c r="G30" s="31"/>
      <c r="H30" s="13"/>
      <c r="I30" s="13"/>
      <c r="J30" s="31"/>
      <c r="K30" s="31"/>
      <c r="L30" s="31"/>
      <c r="M30" s="31"/>
      <c r="N30" s="31"/>
      <c r="O30" s="13"/>
      <c r="P30" s="13"/>
      <c r="Q30" s="31"/>
      <c r="R30" s="31"/>
      <c r="S30" s="31"/>
      <c r="T30" s="31"/>
      <c r="U30" s="31"/>
      <c r="V30" s="13"/>
      <c r="W30" s="13"/>
      <c r="X30" s="31"/>
      <c r="Y30" s="31"/>
      <c r="Z30" s="31"/>
      <c r="AA30" s="31"/>
      <c r="AB30" s="31"/>
      <c r="AC30" s="13"/>
      <c r="AD30" s="8">
        <f t="shared" si="1"/>
        <v>0</v>
      </c>
      <c r="AE30" s="8">
        <f t="shared" si="2"/>
        <v>0</v>
      </c>
      <c r="AF30" s="8">
        <f t="shared" si="3"/>
        <v>0</v>
      </c>
      <c r="AG30" s="8">
        <f t="shared" si="4"/>
        <v>0</v>
      </c>
      <c r="AH30" s="8">
        <f t="shared" si="5"/>
        <v>0</v>
      </c>
    </row>
    <row r="31" spans="1:34" ht="23.5" customHeight="1" x14ac:dyDescent="0.55000000000000004">
      <c r="A31" s="10" t="s">
        <v>52</v>
      </c>
      <c r="B31" s="13"/>
      <c r="C31" s="31"/>
      <c r="D31" s="31"/>
      <c r="E31" s="31"/>
      <c r="F31" s="31"/>
      <c r="G31" s="31"/>
      <c r="H31" s="13"/>
      <c r="I31" s="13"/>
      <c r="J31" s="31"/>
      <c r="K31" s="31"/>
      <c r="L31" s="31"/>
      <c r="M31" s="31"/>
      <c r="N31" s="31"/>
      <c r="O31" s="13"/>
      <c r="P31" s="13"/>
      <c r="Q31" s="31"/>
      <c r="R31" s="31"/>
      <c r="S31" s="31"/>
      <c r="T31" s="31"/>
      <c r="U31" s="31"/>
      <c r="V31" s="13"/>
      <c r="W31" s="13"/>
      <c r="X31" s="31"/>
      <c r="Y31" s="31"/>
      <c r="Z31" s="31"/>
      <c r="AA31" s="31"/>
      <c r="AB31" s="31"/>
      <c r="AC31" s="13"/>
      <c r="AD31" s="8">
        <f t="shared" si="1"/>
        <v>0</v>
      </c>
      <c r="AE31" s="8">
        <f t="shared" si="2"/>
        <v>0</v>
      </c>
      <c r="AF31" s="8">
        <f t="shared" si="3"/>
        <v>0</v>
      </c>
      <c r="AG31" s="8">
        <f t="shared" si="4"/>
        <v>0</v>
      </c>
      <c r="AH31" s="8">
        <f t="shared" si="5"/>
        <v>0</v>
      </c>
    </row>
    <row r="32" spans="1:34" ht="23.5" customHeight="1" x14ac:dyDescent="0.55000000000000004">
      <c r="A32" s="10" t="s">
        <v>130</v>
      </c>
      <c r="B32" s="13"/>
      <c r="C32" s="31"/>
      <c r="D32" s="31"/>
      <c r="E32" s="31"/>
      <c r="F32" s="31"/>
      <c r="G32" s="31"/>
      <c r="H32" s="13"/>
      <c r="I32" s="13"/>
      <c r="J32" s="31"/>
      <c r="K32" s="31"/>
      <c r="L32" s="31"/>
      <c r="M32" s="31"/>
      <c r="N32" s="31"/>
      <c r="O32" s="13"/>
      <c r="P32" s="13"/>
      <c r="Q32" s="31"/>
      <c r="R32" s="31"/>
      <c r="S32" s="31"/>
      <c r="T32" s="31"/>
      <c r="U32" s="31"/>
      <c r="V32" s="13"/>
      <c r="W32" s="13"/>
      <c r="X32" s="31"/>
      <c r="Y32" s="31"/>
      <c r="Z32" s="31"/>
      <c r="AA32" s="31"/>
      <c r="AB32" s="31"/>
      <c r="AC32" s="13"/>
      <c r="AD32" s="8">
        <f t="shared" si="1"/>
        <v>0</v>
      </c>
      <c r="AE32" s="8">
        <f t="shared" si="2"/>
        <v>0</v>
      </c>
      <c r="AF32" s="8">
        <f t="shared" si="3"/>
        <v>0</v>
      </c>
      <c r="AG32" s="8">
        <f t="shared" si="4"/>
        <v>0</v>
      </c>
      <c r="AH32" s="8">
        <f t="shared" si="5"/>
        <v>0</v>
      </c>
    </row>
    <row r="33" spans="1:34" ht="23.5" customHeight="1" x14ac:dyDescent="0.55000000000000004">
      <c r="A33" s="10" t="s">
        <v>53</v>
      </c>
      <c r="B33" s="13"/>
      <c r="C33" s="31"/>
      <c r="D33" s="31"/>
      <c r="E33" s="31"/>
      <c r="F33" s="31"/>
      <c r="G33" s="31"/>
      <c r="H33" s="13"/>
      <c r="I33" s="13"/>
      <c r="J33" s="31"/>
      <c r="K33" s="31"/>
      <c r="L33" s="31"/>
      <c r="M33" s="31"/>
      <c r="N33" s="31"/>
      <c r="O33" s="13"/>
      <c r="P33" s="13"/>
      <c r="Q33" s="31"/>
      <c r="R33" s="31"/>
      <c r="S33" s="31"/>
      <c r="T33" s="31"/>
      <c r="U33" s="31"/>
      <c r="V33" s="13"/>
      <c r="W33" s="13"/>
      <c r="X33" s="31"/>
      <c r="Y33" s="31"/>
      <c r="Z33" s="31"/>
      <c r="AA33" s="31"/>
      <c r="AB33" s="31"/>
      <c r="AC33" s="13"/>
      <c r="AD33" s="8">
        <f t="shared" si="1"/>
        <v>0</v>
      </c>
      <c r="AE33" s="8">
        <f t="shared" si="2"/>
        <v>0</v>
      </c>
      <c r="AF33" s="8">
        <f t="shared" si="3"/>
        <v>0</v>
      </c>
      <c r="AG33" s="8">
        <f t="shared" si="4"/>
        <v>0</v>
      </c>
      <c r="AH33" s="8">
        <f t="shared" si="5"/>
        <v>0</v>
      </c>
    </row>
    <row r="34" spans="1:34" ht="23.5" customHeight="1" x14ac:dyDescent="0.55000000000000004">
      <c r="A34" s="10" t="s">
        <v>70</v>
      </c>
      <c r="B34" s="13"/>
      <c r="C34" s="31"/>
      <c r="D34" s="31"/>
      <c r="E34" s="31"/>
      <c r="F34" s="31"/>
      <c r="G34" s="31"/>
      <c r="H34" s="13"/>
      <c r="I34" s="13"/>
      <c r="J34" s="31"/>
      <c r="K34" s="31"/>
      <c r="L34" s="31"/>
      <c r="M34" s="31"/>
      <c r="N34" s="31"/>
      <c r="O34" s="13"/>
      <c r="P34" s="13"/>
      <c r="Q34" s="31"/>
      <c r="R34" s="31"/>
      <c r="S34" s="31"/>
      <c r="T34" s="31"/>
      <c r="U34" s="31"/>
      <c r="V34" s="13"/>
      <c r="W34" s="13"/>
      <c r="X34" s="31"/>
      <c r="Y34" s="31"/>
      <c r="Z34" s="31"/>
      <c r="AA34" s="31"/>
      <c r="AB34" s="31"/>
      <c r="AC34" s="13"/>
      <c r="AD34" s="8">
        <f t="shared" si="1"/>
        <v>0</v>
      </c>
      <c r="AE34" s="8">
        <f t="shared" si="2"/>
        <v>0</v>
      </c>
      <c r="AF34" s="8">
        <f t="shared" si="3"/>
        <v>0</v>
      </c>
      <c r="AG34" s="8">
        <f t="shared" si="4"/>
        <v>0</v>
      </c>
      <c r="AH34" s="8">
        <f t="shared" si="5"/>
        <v>0</v>
      </c>
    </row>
    <row r="35" spans="1:34" ht="23.5" customHeight="1" x14ac:dyDescent="0.55000000000000004">
      <c r="A35" s="10" t="s">
        <v>131</v>
      </c>
      <c r="B35" s="13"/>
      <c r="C35" s="31"/>
      <c r="D35" s="31"/>
      <c r="E35" s="31"/>
      <c r="F35" s="31"/>
      <c r="G35" s="31"/>
      <c r="H35" s="13"/>
      <c r="I35" s="13"/>
      <c r="J35" s="31"/>
      <c r="K35" s="31"/>
      <c r="L35" s="31"/>
      <c r="M35" s="31"/>
      <c r="N35" s="31"/>
      <c r="O35" s="13"/>
      <c r="P35" s="13"/>
      <c r="Q35" s="31"/>
      <c r="R35" s="31"/>
      <c r="S35" s="31"/>
      <c r="T35" s="31"/>
      <c r="U35" s="31"/>
      <c r="V35" s="13"/>
      <c r="W35" s="13"/>
      <c r="X35" s="31"/>
      <c r="Y35" s="31"/>
      <c r="Z35" s="31"/>
      <c r="AA35" s="31"/>
      <c r="AB35" s="31"/>
      <c r="AC35" s="13"/>
      <c r="AD35" s="8">
        <f t="shared" si="1"/>
        <v>0</v>
      </c>
      <c r="AE35" s="8">
        <f t="shared" si="2"/>
        <v>0</v>
      </c>
      <c r="AF35" s="8">
        <f t="shared" si="3"/>
        <v>0</v>
      </c>
      <c r="AG35" s="8">
        <f t="shared" si="4"/>
        <v>0</v>
      </c>
      <c r="AH35" s="8">
        <f t="shared" si="5"/>
        <v>0</v>
      </c>
    </row>
  </sheetData>
  <mergeCells count="9">
    <mergeCell ref="AJ3:AJ4"/>
    <mergeCell ref="AK3:AK4"/>
    <mergeCell ref="A1:AH2"/>
    <mergeCell ref="A3:A4"/>
    <mergeCell ref="AD3:AD4"/>
    <mergeCell ref="AE3:AE4"/>
    <mergeCell ref="AF3:AF4"/>
    <mergeCell ref="AG3:AG4"/>
    <mergeCell ref="AH3:AH4"/>
  </mergeCells>
  <phoneticPr fontId="12" type="noConversion"/>
  <conditionalFormatting sqref="B5:AC35">
    <cfRule type="beginsWith" dxfId="56" priority="1" operator="beginsWith" text="U">
      <formula>LEFT(B5,1)="U"</formula>
    </cfRule>
    <cfRule type="beginsWith" dxfId="55" priority="2" operator="beginsWith" text="FH">
      <formula>LEFT(B5,2)="FH"</formula>
    </cfRule>
    <cfRule type="beginsWith" dxfId="54" priority="3" operator="beginsWith" text="MT">
      <formula>LEFT(B5,2)="MT"</formula>
    </cfRule>
    <cfRule type="beginsWith" dxfId="53" priority="4" operator="beginsWith" text="H1">
      <formula>LEFT(B5,2)="H1"</formula>
    </cfRule>
    <cfRule type="beginsWith" dxfId="52" priority="5" operator="beginsWith" text="S">
      <formula>LEFT(B5,1)="S"</formula>
    </cfRule>
    <cfRule type="beginsWith" dxfId="51" priority="6" operator="beginsWith" text="PT">
      <formula>LEFT(B5,2)="PT"</formula>
    </cfRule>
  </conditionalFormatting>
  <dataValidations count="1">
    <dataValidation type="list" allowBlank="1" showInputMessage="1" showErrorMessage="1" sqref="B5:AC35" xr:uid="{00000000-0002-0000-0400-000000000000}">
      <formula1>$AK$5:$AK$12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3EA2-8703-484E-9330-9D28536235B4}">
  <sheetPr codeName="Sheet5"/>
  <dimension ref="A1:AP36"/>
  <sheetViews>
    <sheetView topLeftCell="A3" zoomScale="80" zoomScaleNormal="80" workbookViewId="0">
      <selection activeCell="D8" sqref="D8"/>
    </sheetView>
  </sheetViews>
  <sheetFormatPr defaultRowHeight="14.5" x14ac:dyDescent="0.35"/>
  <cols>
    <col min="1" max="1" width="30.7265625" customWidth="1"/>
    <col min="2" max="2" width="5.26953125" bestFit="1" customWidth="1"/>
    <col min="3" max="32" width="5.7265625" customWidth="1"/>
    <col min="33" max="33" width="9.1796875" customWidth="1"/>
    <col min="34" max="37" width="11.26953125" customWidth="1"/>
    <col min="38" max="38" width="9.1796875" customWidth="1"/>
    <col min="39" max="39" width="29.26953125" bestFit="1" customWidth="1"/>
  </cols>
  <sheetData>
    <row r="1" spans="1:42" s="3" customFormat="1" ht="25.15" customHeight="1" x14ac:dyDescent="0.35">
      <c r="A1" s="62" t="s">
        <v>135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2"/>
      <c r="AM1" s="2"/>
      <c r="AN1" s="2"/>
      <c r="AO1" s="2"/>
      <c r="AP1" s="2"/>
    </row>
    <row r="2" spans="1:42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2"/>
      <c r="AM2" s="2"/>
      <c r="AN2" s="2"/>
      <c r="AO2" s="2"/>
      <c r="AP2" s="2"/>
    </row>
    <row r="3" spans="1:42" s="3" customFormat="1" ht="25.15" customHeight="1" x14ac:dyDescent="0.35">
      <c r="A3" s="72" t="s">
        <v>136</v>
      </c>
      <c r="B3" s="47" t="str">
        <f>IF(B4="","",INDEX({"Sun";"Mon";"Tue";"Wen";"Thu";"Fri";"Sat"},WEEKDAY(B4,1)))</f>
        <v>Sun</v>
      </c>
      <c r="C3" s="47" t="str">
        <f>IF(C4="","",INDEX({"Sun";"Mon";"Tue";"Wen";"Thu";"Fri";"Sat"},WEEKDAY(C4,1)))</f>
        <v>Mon</v>
      </c>
      <c r="D3" s="47" t="str">
        <f>IF(D4="","",INDEX({"Sun";"Mon";"Tue";"Wen";"Thu";"Fri";"Sat"},WEEKDAY(D4,1)))</f>
        <v>Tue</v>
      </c>
      <c r="E3" s="47" t="str">
        <f>IF(E4="","",INDEX({"Sun";"Mon";"Tue";"Wen";"Thu";"Fri";"Sat"},WEEKDAY(E4,1)))</f>
        <v>Wen</v>
      </c>
      <c r="F3" s="47" t="str">
        <f>IF(F4="","",INDEX({"Sun";"Mon";"Tue";"Wen";"Thu";"Fri";"Sat"},WEEKDAY(F4,1)))</f>
        <v>Thu</v>
      </c>
      <c r="G3" s="47" t="str">
        <f>IF(G4="","",INDEX({"Sun";"Mon";"Tue";"Wen";"Thu";"Fri";"Sat"},WEEKDAY(G4,1)))</f>
        <v>Fri</v>
      </c>
      <c r="H3" s="47" t="str">
        <f>IF(H4="","",INDEX({"Sun";"Mon";"Tue";"Wen";"Thu";"Fri";"Sat"},WEEKDAY(H4,1)))</f>
        <v>Sat</v>
      </c>
      <c r="I3" s="47" t="str">
        <f>IF(I4="","",INDEX({"Sun";"Mon";"Tue";"Wen";"Thu";"Fri";"Sat"},WEEKDAY(I4,1)))</f>
        <v>Sun</v>
      </c>
      <c r="J3" s="47" t="str">
        <f>IF(J4="","",INDEX({"Sun";"Mon";"Tue";"Wen";"Thu";"Fri";"Sat"},WEEKDAY(J4,1)))</f>
        <v>Mon</v>
      </c>
      <c r="K3" s="47" t="str">
        <f>IF(K4="","",INDEX({"Sun";"Mon";"Tue";"Wen";"Thu";"Fri";"Sat"},WEEKDAY(K4,1)))</f>
        <v>Tue</v>
      </c>
      <c r="L3" s="47" t="str">
        <f>IF(L4="","",INDEX({"Sun";"Mon";"Tue";"Wen";"Thu";"Fri";"Sat"},WEEKDAY(L4,1)))</f>
        <v>Wen</v>
      </c>
      <c r="M3" s="47" t="str">
        <f>IF(M4="","",INDEX({"Sun";"Mon";"Tue";"Wen";"Thu";"Fri";"Sat"},WEEKDAY(M4,1)))</f>
        <v>Thu</v>
      </c>
      <c r="N3" s="47" t="str">
        <f>IF(N4="","",INDEX({"Sun";"Mon";"Tue";"Wen";"Thu";"Fri";"Sat"},WEEKDAY(N4,1)))</f>
        <v>Fri</v>
      </c>
      <c r="O3" s="47" t="str">
        <f>IF(O4="","",INDEX({"Sun";"Mon";"Tue";"Wen";"Thu";"Fri";"Sat"},WEEKDAY(O4,1)))</f>
        <v>Sat</v>
      </c>
      <c r="P3" s="47" t="str">
        <f>IF(P4="","",INDEX({"Sun";"Mon";"Tue";"Wen";"Thu";"Fri";"Sat"},WEEKDAY(P4,1)))</f>
        <v>Sun</v>
      </c>
      <c r="Q3" s="47" t="str">
        <f>IF(Q4="","",INDEX({"Sun";"Mon";"Tue";"Wen";"Thu";"Fri";"Sat"},WEEKDAY(Q4,1)))</f>
        <v>Mon</v>
      </c>
      <c r="R3" s="47" t="str">
        <f>IF(R4="","",INDEX({"Sun";"Mon";"Tue";"Wen";"Thu";"Fri";"Sat"},WEEKDAY(R4,1)))</f>
        <v>Tue</v>
      </c>
      <c r="S3" s="47" t="str">
        <f>IF(S4="","",INDEX({"Sun";"Mon";"Tue";"Wen";"Thu";"Fri";"Sat"},WEEKDAY(S4,1)))</f>
        <v>Wen</v>
      </c>
      <c r="T3" s="47" t="str">
        <f>IF(T4="","",INDEX({"Sun";"Mon";"Tue";"Wen";"Thu";"Fri";"Sat"},WEEKDAY(T4,1)))</f>
        <v>Thu</v>
      </c>
      <c r="U3" s="47" t="str">
        <f>IF(U4="","",INDEX({"Sun";"Mon";"Tue";"Wen";"Thu";"Fri";"Sat"},WEEKDAY(U4,1)))</f>
        <v>Fri</v>
      </c>
      <c r="V3" s="47" t="str">
        <f>IF(V4="","",INDEX({"Sun";"Mon";"Tue";"Wen";"Thu";"Fri";"Sat"},WEEKDAY(V4,1)))</f>
        <v>Sat</v>
      </c>
      <c r="W3" s="47" t="str">
        <f>IF(W4="","",INDEX({"Sun";"Mon";"Tue";"Wen";"Thu";"Fri";"Sat"},WEEKDAY(W4,1)))</f>
        <v>Sun</v>
      </c>
      <c r="X3" s="47" t="str">
        <f>IF(X4="","",INDEX({"Sun";"Mon";"Tue";"Wen";"Thu";"Fri";"Sat"},WEEKDAY(X4,1)))</f>
        <v>Mon</v>
      </c>
      <c r="Y3" s="47" t="str">
        <f>IF(Y4="","",INDEX({"Sun";"Mon";"Tue";"Wen";"Thu";"Fri";"Sat"},WEEKDAY(Y4,1)))</f>
        <v>Tue</v>
      </c>
      <c r="Z3" s="47" t="str">
        <f>IF(Z4="","",INDEX({"Sun";"Mon";"Tue";"Wen";"Thu";"Fri";"Sat"},WEEKDAY(Z4,1)))</f>
        <v>Wen</v>
      </c>
      <c r="AA3" s="47" t="str">
        <f>IF(AA4="","",INDEX({"Sun";"Mon";"Tue";"Wen";"Thu";"Fri";"Sat"},WEEKDAY(AA4,1)))</f>
        <v>Thu</v>
      </c>
      <c r="AB3" s="47" t="str">
        <f>IF(AB4="","",INDEX({"Sun";"Mon";"Tue";"Wen";"Thu";"Fri";"Sat"},WEEKDAY(AB4,1)))</f>
        <v>Fri</v>
      </c>
      <c r="AC3" s="47" t="str">
        <f>IF(AC4="","",INDEX({"Sun";"Mon";"Tue";"Wen";"Thu";"Fri";"Sat"},WEEKDAY(AC4,1)))</f>
        <v>Sat</v>
      </c>
      <c r="AD3" s="47" t="str">
        <f>IF(AD4="","",INDEX({"Sun";"Mon";"Tue";"Wen";"Thu";"Fri";"Sat"},WEEKDAY(AD4,1)))</f>
        <v>Sun</v>
      </c>
      <c r="AE3" s="47" t="str">
        <f>IF(AE4="","",INDEX({"Sun";"Mon";"Tue";"Wen";"Thu";"Fri";"Sat"},WEEKDAY(AE4,1)))</f>
        <v>Mon</v>
      </c>
      <c r="AF3" s="47" t="str">
        <f>IF(AF4="","",INDEX({"Sun";"Mon";"Tue";"Wen";"Thu";"Fri";"Sat"},WEEKDAY(AF4,1)))</f>
        <v>Tue</v>
      </c>
      <c r="AG3" s="77" t="s">
        <v>112</v>
      </c>
      <c r="AH3" s="66" t="s">
        <v>113</v>
      </c>
      <c r="AI3" s="78" t="s">
        <v>133</v>
      </c>
      <c r="AJ3" s="79" t="s">
        <v>115</v>
      </c>
      <c r="AK3" s="73" t="s">
        <v>116</v>
      </c>
      <c r="AL3" s="28"/>
      <c r="AM3" s="70" t="s">
        <v>134</v>
      </c>
      <c r="AN3" s="70" t="s">
        <v>118</v>
      </c>
      <c r="AO3" s="2"/>
      <c r="AP3" s="2"/>
    </row>
    <row r="4" spans="1:42" s="3" customFormat="1" ht="25.15" customHeight="1" x14ac:dyDescent="0.35">
      <c r="A4" s="72"/>
      <c r="B4" s="48">
        <f>DATE(Year!$B$2,3,1)</f>
        <v>46082</v>
      </c>
      <c r="C4" s="48">
        <f t="shared" ref="C4:AF4" si="0">B4+1</f>
        <v>46083</v>
      </c>
      <c r="D4" s="48">
        <f t="shared" si="0"/>
        <v>46084</v>
      </c>
      <c r="E4" s="48">
        <f t="shared" si="0"/>
        <v>46085</v>
      </c>
      <c r="F4" s="48">
        <f t="shared" si="0"/>
        <v>46086</v>
      </c>
      <c r="G4" s="48">
        <f t="shared" si="0"/>
        <v>46087</v>
      </c>
      <c r="H4" s="48">
        <f t="shared" si="0"/>
        <v>46088</v>
      </c>
      <c r="I4" s="48">
        <f t="shared" si="0"/>
        <v>46089</v>
      </c>
      <c r="J4" s="48">
        <f t="shared" si="0"/>
        <v>46090</v>
      </c>
      <c r="K4" s="48">
        <f t="shared" si="0"/>
        <v>46091</v>
      </c>
      <c r="L4" s="48">
        <f t="shared" si="0"/>
        <v>46092</v>
      </c>
      <c r="M4" s="48">
        <f t="shared" si="0"/>
        <v>46093</v>
      </c>
      <c r="N4" s="48">
        <f t="shared" si="0"/>
        <v>46094</v>
      </c>
      <c r="O4" s="48">
        <f t="shared" si="0"/>
        <v>46095</v>
      </c>
      <c r="P4" s="48">
        <f t="shared" si="0"/>
        <v>46096</v>
      </c>
      <c r="Q4" s="48">
        <f t="shared" si="0"/>
        <v>46097</v>
      </c>
      <c r="R4" s="48">
        <f t="shared" si="0"/>
        <v>46098</v>
      </c>
      <c r="S4" s="48">
        <f t="shared" si="0"/>
        <v>46099</v>
      </c>
      <c r="T4" s="48">
        <f t="shared" si="0"/>
        <v>46100</v>
      </c>
      <c r="U4" s="48">
        <f t="shared" si="0"/>
        <v>46101</v>
      </c>
      <c r="V4" s="48">
        <f t="shared" si="0"/>
        <v>46102</v>
      </c>
      <c r="W4" s="48">
        <f t="shared" si="0"/>
        <v>46103</v>
      </c>
      <c r="X4" s="48">
        <f t="shared" si="0"/>
        <v>46104</v>
      </c>
      <c r="Y4" s="48">
        <f t="shared" si="0"/>
        <v>46105</v>
      </c>
      <c r="Z4" s="48">
        <f t="shared" si="0"/>
        <v>46106</v>
      </c>
      <c r="AA4" s="48">
        <f t="shared" si="0"/>
        <v>46107</v>
      </c>
      <c r="AB4" s="48">
        <f t="shared" si="0"/>
        <v>46108</v>
      </c>
      <c r="AC4" s="48">
        <f t="shared" si="0"/>
        <v>46109</v>
      </c>
      <c r="AD4" s="48">
        <f t="shared" si="0"/>
        <v>46110</v>
      </c>
      <c r="AE4" s="48">
        <f t="shared" si="0"/>
        <v>46111</v>
      </c>
      <c r="AF4" s="48">
        <f t="shared" si="0"/>
        <v>46112</v>
      </c>
      <c r="AG4" s="77"/>
      <c r="AH4" s="66"/>
      <c r="AI4" s="78"/>
      <c r="AJ4" s="79"/>
      <c r="AK4" s="73"/>
      <c r="AL4" s="28"/>
      <c r="AM4" s="71"/>
      <c r="AN4" s="71"/>
      <c r="AO4" s="2"/>
      <c r="AP4" s="2"/>
    </row>
    <row r="5" spans="1:42" s="3" customFormat="1" ht="25.15" customHeight="1" x14ac:dyDescent="0.35">
      <c r="A5" s="72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1"/>
      <c r="AE5" s="1"/>
      <c r="AF5" s="1"/>
      <c r="AG5" s="77"/>
      <c r="AH5" s="66"/>
      <c r="AI5" s="78"/>
      <c r="AJ5" s="79"/>
      <c r="AK5" s="73"/>
      <c r="AL5" s="28"/>
      <c r="AM5" s="41" t="s">
        <v>15</v>
      </c>
      <c r="AN5" s="34" t="s">
        <v>119</v>
      </c>
      <c r="AO5" s="2"/>
      <c r="AP5" s="2"/>
    </row>
    <row r="6" spans="1:42" s="3" customFormat="1" ht="24.75" customHeight="1" x14ac:dyDescent="0.55000000000000004">
      <c r="A6" s="9" t="s">
        <v>14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8">
        <f t="shared" ref="AG6:AG35" si="1">SUM(AH6:AK6)</f>
        <v>0</v>
      </c>
      <c r="AH6" s="8">
        <f t="shared" ref="AH6:AH35" si="2">COUNTIF(B6:AF6,"V")+COUNTIF(B6:AF6,"V1")/2+COUNTIF(B6:AF6,"V2")/2</f>
        <v>0</v>
      </c>
      <c r="AI6" s="8">
        <f t="shared" ref="AI6:AI35" si="3">COUNTIF(B6:AF6,"S")+COUNTIF(B6:AF6,"S1")/2+COUNTIF(B6:AF6,"S2")/2</f>
        <v>0</v>
      </c>
      <c r="AJ6" s="8">
        <f t="shared" ref="AJ6:AJ35" si="4">COUNTIF(B6:AF6,"M")</f>
        <v>0</v>
      </c>
      <c r="AK6" s="8">
        <f t="shared" ref="AK6:AK35" si="5">COUNTIF(B6:AF6,"U")</f>
        <v>0</v>
      </c>
      <c r="AL6" s="32"/>
      <c r="AM6" s="42" t="s">
        <v>120</v>
      </c>
      <c r="AN6" s="34" t="s">
        <v>121</v>
      </c>
      <c r="AO6" s="2"/>
      <c r="AP6" s="2"/>
    </row>
    <row r="7" spans="1:42" s="3" customFormat="1" ht="25.15" customHeight="1" x14ac:dyDescent="0.55000000000000004">
      <c r="A7" s="10" t="s">
        <v>37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8">
        <f t="shared" si="1"/>
        <v>0</v>
      </c>
      <c r="AH7" s="8">
        <f t="shared" si="2"/>
        <v>0</v>
      </c>
      <c r="AI7" s="8">
        <f t="shared" si="3"/>
        <v>0</v>
      </c>
      <c r="AJ7" s="8">
        <f t="shared" si="4"/>
        <v>0</v>
      </c>
      <c r="AK7" s="8">
        <f t="shared" si="5"/>
        <v>0</v>
      </c>
      <c r="AL7" s="32"/>
      <c r="AM7" s="43" t="s">
        <v>23</v>
      </c>
      <c r="AN7" s="34" t="s">
        <v>122</v>
      </c>
      <c r="AO7" s="2"/>
      <c r="AP7" s="2"/>
    </row>
    <row r="8" spans="1:42" s="3" customFormat="1" ht="25.15" customHeight="1" x14ac:dyDescent="0.55000000000000004">
      <c r="A8" s="10" t="s">
        <v>17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8">
        <f t="shared" si="1"/>
        <v>0</v>
      </c>
      <c r="AH8" s="8">
        <f t="shared" si="2"/>
        <v>0</v>
      </c>
      <c r="AI8" s="8">
        <f t="shared" si="3"/>
        <v>0</v>
      </c>
      <c r="AJ8" s="8">
        <f t="shared" si="4"/>
        <v>0</v>
      </c>
      <c r="AK8" s="8">
        <f t="shared" si="5"/>
        <v>0</v>
      </c>
      <c r="AL8" s="32"/>
      <c r="AM8" s="44" t="s">
        <v>123</v>
      </c>
      <c r="AN8" s="34" t="s">
        <v>124</v>
      </c>
      <c r="AO8" s="2"/>
      <c r="AP8" s="2"/>
    </row>
    <row r="9" spans="1:42" s="3" customFormat="1" ht="25.15" customHeight="1" x14ac:dyDescent="0.55000000000000004">
      <c r="A9" s="10" t="s">
        <v>41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8">
        <f t="shared" si="1"/>
        <v>0</v>
      </c>
      <c r="AH9" s="8">
        <f t="shared" si="2"/>
        <v>0</v>
      </c>
      <c r="AI9" s="8">
        <f t="shared" si="3"/>
        <v>0</v>
      </c>
      <c r="AJ9" s="8">
        <f t="shared" si="4"/>
        <v>0</v>
      </c>
      <c r="AK9" s="8">
        <f t="shared" si="5"/>
        <v>0</v>
      </c>
      <c r="AL9" s="32"/>
      <c r="AM9" s="38" t="s">
        <v>125</v>
      </c>
      <c r="AN9" s="34" t="s">
        <v>126</v>
      </c>
      <c r="AO9" s="2"/>
      <c r="AP9" s="2"/>
    </row>
    <row r="10" spans="1:42" s="3" customFormat="1" ht="25.15" customHeight="1" x14ac:dyDescent="0.55000000000000004">
      <c r="A10" s="10" t="s">
        <v>36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8">
        <f t="shared" si="1"/>
        <v>0</v>
      </c>
      <c r="AH10" s="8">
        <f t="shared" si="2"/>
        <v>0</v>
      </c>
      <c r="AI10" s="8">
        <f t="shared" si="3"/>
        <v>0</v>
      </c>
      <c r="AJ10" s="8">
        <f t="shared" si="4"/>
        <v>0</v>
      </c>
      <c r="AK10" s="8">
        <f t="shared" si="5"/>
        <v>0</v>
      </c>
      <c r="AL10" s="32"/>
      <c r="AM10" s="39" t="s">
        <v>116</v>
      </c>
      <c r="AN10" s="34" t="s">
        <v>127</v>
      </c>
      <c r="AO10" s="2"/>
      <c r="AP10" s="2"/>
    </row>
    <row r="11" spans="1:42" s="3" customFormat="1" ht="25.15" customHeight="1" x14ac:dyDescent="0.55000000000000004">
      <c r="A11" s="10" t="s">
        <v>46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8">
        <f t="shared" si="1"/>
        <v>0</v>
      </c>
      <c r="AH11" s="8">
        <f t="shared" si="2"/>
        <v>0</v>
      </c>
      <c r="AI11" s="8">
        <f t="shared" si="3"/>
        <v>0</v>
      </c>
      <c r="AJ11" s="8">
        <f t="shared" si="4"/>
        <v>0</v>
      </c>
      <c r="AK11" s="8">
        <f t="shared" si="5"/>
        <v>0</v>
      </c>
      <c r="AL11" s="32"/>
      <c r="AM11" s="11"/>
      <c r="AN11" s="49"/>
      <c r="AO11" s="2"/>
      <c r="AP11" s="2"/>
    </row>
    <row r="12" spans="1:42" s="3" customFormat="1" ht="25.15" customHeight="1" x14ac:dyDescent="0.55000000000000004">
      <c r="A12" s="10" t="s">
        <v>43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8">
        <f t="shared" si="1"/>
        <v>0</v>
      </c>
      <c r="AH12" s="8">
        <f t="shared" si="2"/>
        <v>0</v>
      </c>
      <c r="AI12" s="8">
        <f t="shared" si="3"/>
        <v>0</v>
      </c>
      <c r="AJ12" s="8">
        <f t="shared" si="4"/>
        <v>0</v>
      </c>
      <c r="AK12" s="8">
        <f t="shared" si="5"/>
        <v>0</v>
      </c>
      <c r="AL12" s="32"/>
      <c r="AM12" s="11"/>
      <c r="AN12" s="49"/>
      <c r="AO12" s="2"/>
      <c r="AP12" s="2"/>
    </row>
    <row r="13" spans="1:42" s="3" customFormat="1" ht="25.15" customHeight="1" x14ac:dyDescent="0.55000000000000004">
      <c r="A13" s="10" t="s">
        <v>47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8">
        <f t="shared" si="1"/>
        <v>0</v>
      </c>
      <c r="AH13" s="8">
        <f t="shared" si="2"/>
        <v>0</v>
      </c>
      <c r="AI13" s="8">
        <f t="shared" si="3"/>
        <v>0</v>
      </c>
      <c r="AJ13" s="8">
        <f t="shared" si="4"/>
        <v>0</v>
      </c>
      <c r="AK13" s="8">
        <f t="shared" si="5"/>
        <v>0</v>
      </c>
      <c r="AL13" s="32"/>
      <c r="AM13" s="11"/>
      <c r="AN13" s="49"/>
      <c r="AO13" s="2"/>
      <c r="AP13" s="2"/>
    </row>
    <row r="14" spans="1:42" s="3" customFormat="1" ht="25.15" customHeight="1" x14ac:dyDescent="0.55000000000000004">
      <c r="A14" s="10" t="s">
        <v>32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8">
        <f t="shared" si="1"/>
        <v>0</v>
      </c>
      <c r="AH14" s="8">
        <f t="shared" si="2"/>
        <v>0</v>
      </c>
      <c r="AI14" s="8">
        <f t="shared" si="3"/>
        <v>0</v>
      </c>
      <c r="AJ14" s="8">
        <f t="shared" si="4"/>
        <v>0</v>
      </c>
      <c r="AK14" s="8">
        <f t="shared" si="5"/>
        <v>0</v>
      </c>
      <c r="AL14" s="32"/>
      <c r="AM14" s="2"/>
      <c r="AN14" s="2"/>
      <c r="AO14" s="2"/>
      <c r="AP14" s="2"/>
    </row>
    <row r="15" spans="1:42" s="3" customFormat="1" ht="25.15" customHeight="1" x14ac:dyDescent="0.55000000000000004">
      <c r="A15" s="10" t="s">
        <v>40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8">
        <f t="shared" si="1"/>
        <v>0</v>
      </c>
      <c r="AH15" s="8">
        <f t="shared" si="2"/>
        <v>0</v>
      </c>
      <c r="AI15" s="8">
        <f t="shared" si="3"/>
        <v>0</v>
      </c>
      <c r="AJ15" s="8">
        <f t="shared" si="4"/>
        <v>0</v>
      </c>
      <c r="AK15" s="8">
        <f t="shared" si="5"/>
        <v>0</v>
      </c>
      <c r="AL15" s="32"/>
      <c r="AM15" s="2"/>
      <c r="AN15" s="2"/>
      <c r="AO15" s="2"/>
      <c r="AP15" s="2"/>
    </row>
    <row r="16" spans="1:42" s="3" customFormat="1" ht="25.15" customHeight="1" x14ac:dyDescent="0.55000000000000004">
      <c r="A16" s="10" t="s">
        <v>34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8">
        <f t="shared" si="1"/>
        <v>0</v>
      </c>
      <c r="AH16" s="8">
        <f t="shared" si="2"/>
        <v>0</v>
      </c>
      <c r="AI16" s="8">
        <f t="shared" si="3"/>
        <v>0</v>
      </c>
      <c r="AJ16" s="8">
        <f t="shared" si="4"/>
        <v>0</v>
      </c>
      <c r="AK16" s="8">
        <f t="shared" si="5"/>
        <v>0</v>
      </c>
      <c r="AL16" s="2"/>
      <c r="AM16" s="2"/>
      <c r="AN16" s="2"/>
      <c r="AO16" s="2"/>
      <c r="AP16" s="2"/>
    </row>
    <row r="17" spans="1:42" ht="23.5" customHeight="1" x14ac:dyDescent="0.55000000000000004">
      <c r="A17" s="10" t="s">
        <v>29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8">
        <f t="shared" si="1"/>
        <v>0</v>
      </c>
      <c r="AH17" s="8">
        <f t="shared" si="2"/>
        <v>0</v>
      </c>
      <c r="AI17" s="8">
        <f t="shared" si="3"/>
        <v>0</v>
      </c>
      <c r="AJ17" s="8">
        <f t="shared" si="4"/>
        <v>0</v>
      </c>
      <c r="AK17" s="8">
        <f t="shared" si="5"/>
        <v>0</v>
      </c>
      <c r="AO17" s="2"/>
      <c r="AP17" s="2"/>
    </row>
    <row r="18" spans="1:42" ht="23.5" customHeight="1" x14ac:dyDescent="0.55000000000000004">
      <c r="A18" s="10" t="s">
        <v>128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f t="shared" si="4"/>
        <v>0</v>
      </c>
      <c r="AK18" s="8">
        <f t="shared" si="5"/>
        <v>0</v>
      </c>
    </row>
    <row r="19" spans="1:42" ht="23.5" customHeight="1" x14ac:dyDescent="0.55000000000000004">
      <c r="A19" s="10" t="s">
        <v>22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8">
        <f t="shared" si="1"/>
        <v>0</v>
      </c>
      <c r="AH19" s="8">
        <f t="shared" si="2"/>
        <v>0</v>
      </c>
      <c r="AI19" s="8">
        <f t="shared" si="3"/>
        <v>0</v>
      </c>
      <c r="AJ19" s="8">
        <f t="shared" si="4"/>
        <v>0</v>
      </c>
      <c r="AK19" s="8">
        <f t="shared" si="5"/>
        <v>0</v>
      </c>
    </row>
    <row r="20" spans="1:42" ht="23.5" customHeight="1" x14ac:dyDescent="0.55000000000000004">
      <c r="A20" s="10" t="s">
        <v>39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8">
        <f t="shared" si="1"/>
        <v>0</v>
      </c>
      <c r="AH20" s="8">
        <f t="shared" si="2"/>
        <v>0</v>
      </c>
      <c r="AI20" s="8">
        <f t="shared" si="3"/>
        <v>0</v>
      </c>
      <c r="AJ20" s="8">
        <f t="shared" si="4"/>
        <v>0</v>
      </c>
      <c r="AK20" s="8">
        <f t="shared" si="5"/>
        <v>0</v>
      </c>
    </row>
    <row r="21" spans="1:42" ht="23.5" customHeight="1" x14ac:dyDescent="0.55000000000000004">
      <c r="A21" s="10" t="s">
        <v>50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8">
        <f t="shared" si="1"/>
        <v>0</v>
      </c>
      <c r="AH21" s="8">
        <f t="shared" si="2"/>
        <v>0</v>
      </c>
      <c r="AI21" s="8">
        <f t="shared" si="3"/>
        <v>0</v>
      </c>
      <c r="AJ21" s="8">
        <f t="shared" si="4"/>
        <v>0</v>
      </c>
      <c r="AK21" s="8">
        <f t="shared" si="5"/>
        <v>0</v>
      </c>
    </row>
    <row r="22" spans="1:42" ht="23.5" customHeight="1" x14ac:dyDescent="0.55000000000000004">
      <c r="A22" s="10" t="s">
        <v>129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f t="shared" si="4"/>
        <v>0</v>
      </c>
      <c r="AK22" s="8">
        <f t="shared" si="5"/>
        <v>0</v>
      </c>
    </row>
    <row r="23" spans="1:42" ht="23.5" customHeight="1" x14ac:dyDescent="0.55000000000000004">
      <c r="A23" s="10" t="s">
        <v>27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8">
        <f t="shared" si="1"/>
        <v>0</v>
      </c>
      <c r="AH23" s="8">
        <f t="shared" si="2"/>
        <v>0</v>
      </c>
      <c r="AI23" s="8">
        <f t="shared" si="3"/>
        <v>0</v>
      </c>
      <c r="AJ23" s="8">
        <f t="shared" si="4"/>
        <v>0</v>
      </c>
      <c r="AK23" s="8">
        <f t="shared" si="5"/>
        <v>0</v>
      </c>
    </row>
    <row r="24" spans="1:42" ht="23.5" customHeight="1" x14ac:dyDescent="0.55000000000000004">
      <c r="A24" s="10" t="s">
        <v>28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f t="shared" si="4"/>
        <v>0</v>
      </c>
      <c r="AK24" s="8">
        <f t="shared" si="5"/>
        <v>0</v>
      </c>
    </row>
    <row r="25" spans="1:42" ht="23.5" customHeight="1" x14ac:dyDescent="0.55000000000000004">
      <c r="A25" s="10" t="s">
        <v>21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f t="shared" si="4"/>
        <v>0</v>
      </c>
      <c r="AK25" s="8">
        <f t="shared" si="5"/>
        <v>0</v>
      </c>
    </row>
    <row r="26" spans="1:42" ht="23.5" customHeight="1" x14ac:dyDescent="0.55000000000000004">
      <c r="A26" s="10" t="s">
        <v>42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8">
        <f t="shared" si="1"/>
        <v>0</v>
      </c>
      <c r="AH26" s="8">
        <f t="shared" si="2"/>
        <v>0</v>
      </c>
      <c r="AI26" s="8">
        <f t="shared" si="3"/>
        <v>0</v>
      </c>
      <c r="AJ26" s="8">
        <f t="shared" si="4"/>
        <v>0</v>
      </c>
      <c r="AK26" s="8">
        <f t="shared" si="5"/>
        <v>0</v>
      </c>
    </row>
    <row r="27" spans="1:42" ht="23.5" customHeight="1" x14ac:dyDescent="0.55000000000000004">
      <c r="A27" s="10" t="s">
        <v>26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8">
        <f t="shared" si="1"/>
        <v>0</v>
      </c>
      <c r="AH27" s="8">
        <f t="shared" si="2"/>
        <v>0</v>
      </c>
      <c r="AI27" s="8">
        <f t="shared" si="3"/>
        <v>0</v>
      </c>
      <c r="AJ27" s="8">
        <f t="shared" si="4"/>
        <v>0</v>
      </c>
      <c r="AK27" s="8">
        <f t="shared" si="5"/>
        <v>0</v>
      </c>
    </row>
    <row r="28" spans="1:42" ht="23.5" customHeight="1" x14ac:dyDescent="0.55000000000000004">
      <c r="A28" s="10" t="s">
        <v>44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8">
        <f t="shared" si="1"/>
        <v>0</v>
      </c>
      <c r="AH28" s="8">
        <f t="shared" si="2"/>
        <v>0</v>
      </c>
      <c r="AI28" s="8">
        <f t="shared" si="3"/>
        <v>0</v>
      </c>
      <c r="AJ28" s="8">
        <f t="shared" si="4"/>
        <v>0</v>
      </c>
      <c r="AK28" s="8">
        <f t="shared" si="5"/>
        <v>0</v>
      </c>
    </row>
    <row r="29" spans="1:42" ht="23.5" customHeight="1" x14ac:dyDescent="0.55000000000000004">
      <c r="A29" s="10" t="s">
        <v>25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f t="shared" si="4"/>
        <v>0</v>
      </c>
      <c r="AK29" s="8">
        <f t="shared" si="5"/>
        <v>0</v>
      </c>
    </row>
    <row r="30" spans="1:42" ht="23.5" customHeight="1" x14ac:dyDescent="0.55000000000000004">
      <c r="A30" s="10" t="s">
        <v>24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8">
        <f t="shared" si="1"/>
        <v>0</v>
      </c>
      <c r="AH30" s="8">
        <f t="shared" si="2"/>
        <v>0</v>
      </c>
      <c r="AI30" s="8">
        <f t="shared" si="3"/>
        <v>0</v>
      </c>
      <c r="AJ30" s="8">
        <f t="shared" si="4"/>
        <v>0</v>
      </c>
      <c r="AK30" s="8">
        <f t="shared" si="5"/>
        <v>0</v>
      </c>
    </row>
    <row r="31" spans="1:42" ht="23.5" customHeight="1" x14ac:dyDescent="0.55000000000000004">
      <c r="A31" s="10" t="s">
        <v>60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8">
        <f t="shared" si="1"/>
        <v>0</v>
      </c>
      <c r="AH31" s="8">
        <f t="shared" si="2"/>
        <v>0</v>
      </c>
      <c r="AI31" s="8">
        <f t="shared" si="3"/>
        <v>0</v>
      </c>
      <c r="AJ31" s="8">
        <f t="shared" si="4"/>
        <v>0</v>
      </c>
      <c r="AK31" s="8">
        <f t="shared" si="5"/>
        <v>0</v>
      </c>
    </row>
    <row r="32" spans="1:42" ht="23.5" customHeight="1" x14ac:dyDescent="0.55000000000000004">
      <c r="A32" s="10" t="s">
        <v>52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8">
        <f t="shared" si="1"/>
        <v>0</v>
      </c>
      <c r="AH32" s="8">
        <f t="shared" si="2"/>
        <v>0</v>
      </c>
      <c r="AI32" s="8">
        <f t="shared" si="3"/>
        <v>0</v>
      </c>
      <c r="AJ32" s="8">
        <f t="shared" si="4"/>
        <v>0</v>
      </c>
      <c r="AK32" s="8">
        <f t="shared" si="5"/>
        <v>0</v>
      </c>
    </row>
    <row r="33" spans="1:37" ht="23.5" customHeight="1" x14ac:dyDescent="0.55000000000000004">
      <c r="A33" s="10" t="s">
        <v>130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8">
        <f t="shared" si="1"/>
        <v>0</v>
      </c>
      <c r="AH33" s="8">
        <f t="shared" si="2"/>
        <v>0</v>
      </c>
      <c r="AI33" s="8">
        <f t="shared" si="3"/>
        <v>0</v>
      </c>
      <c r="AJ33" s="8">
        <f t="shared" si="4"/>
        <v>0</v>
      </c>
      <c r="AK33" s="8">
        <f t="shared" si="5"/>
        <v>0</v>
      </c>
    </row>
    <row r="34" spans="1:37" ht="23.5" customHeight="1" x14ac:dyDescent="0.55000000000000004">
      <c r="A34" s="10" t="s">
        <v>53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8">
        <f t="shared" si="1"/>
        <v>0</v>
      </c>
      <c r="AH34" s="8">
        <f t="shared" si="2"/>
        <v>0</v>
      </c>
      <c r="AI34" s="8">
        <f t="shared" si="3"/>
        <v>0</v>
      </c>
      <c r="AJ34" s="8">
        <f t="shared" si="4"/>
        <v>0</v>
      </c>
      <c r="AK34" s="8">
        <f t="shared" si="5"/>
        <v>0</v>
      </c>
    </row>
    <row r="35" spans="1:37" ht="23.5" customHeight="1" x14ac:dyDescent="0.55000000000000004">
      <c r="A35" s="10" t="s">
        <v>70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8">
        <f t="shared" si="1"/>
        <v>0</v>
      </c>
      <c r="AH35" s="8">
        <f t="shared" si="2"/>
        <v>0</v>
      </c>
      <c r="AI35" s="8">
        <f t="shared" si="3"/>
        <v>0</v>
      </c>
      <c r="AJ35" s="8">
        <f t="shared" si="4"/>
        <v>0</v>
      </c>
      <c r="AK35" s="8">
        <f t="shared" si="5"/>
        <v>0</v>
      </c>
    </row>
    <row r="36" spans="1:37" ht="23.5" customHeight="1" x14ac:dyDescent="0.55000000000000004">
      <c r="A36" s="10" t="s">
        <v>131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</sheetData>
  <mergeCells count="10">
    <mergeCell ref="AM3:AM4"/>
    <mergeCell ref="AN3:AN4"/>
    <mergeCell ref="B5:AC5"/>
    <mergeCell ref="A1:AK2"/>
    <mergeCell ref="A3:A5"/>
    <mergeCell ref="AG3:AG5"/>
    <mergeCell ref="AH3:AH5"/>
    <mergeCell ref="AI3:AI5"/>
    <mergeCell ref="AJ3:AJ5"/>
    <mergeCell ref="AK3:AK5"/>
  </mergeCells>
  <conditionalFormatting sqref="B6:AF35">
    <cfRule type="cellIs" dxfId="50" priority="2" operator="equal">
      <formula>"U"</formula>
    </cfRule>
    <cfRule type="cellIs" dxfId="49" priority="3" operator="equal">
      <formula>"M"</formula>
    </cfRule>
    <cfRule type="beginsWith" dxfId="48" priority="4" operator="beginsWith" text="S">
      <formula>LEFT(B6,1)="S"</formula>
    </cfRule>
    <cfRule type="beginsWith" dxfId="47" priority="5" operator="beginsWith" text="V">
      <formula>LEFT(B6,1)="V"</formula>
    </cfRule>
  </conditionalFormatting>
  <conditionalFormatting sqref="AG6:AK35">
    <cfRule type="cellIs" dxfId="46" priority="1" operator="equal">
      <formula>0</formula>
    </cfRule>
  </conditionalFormatting>
  <dataValidations count="1">
    <dataValidation type="list" allowBlank="1" showInputMessage="1" showErrorMessage="1" sqref="B6:AF35" xr:uid="{00000000-0002-0000-0500-000000000000}">
      <formula1>$AN$6:$AN$13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D773-6634-42E8-A49F-870B66E0C441}">
  <sheetPr codeName="Sheet6"/>
  <dimension ref="A1:AO37"/>
  <sheetViews>
    <sheetView zoomScale="80" zoomScaleNormal="80" workbookViewId="0">
      <selection sqref="A1 A1:AJ35"/>
    </sheetView>
  </sheetViews>
  <sheetFormatPr defaultRowHeight="14.5" x14ac:dyDescent="0.35"/>
  <cols>
    <col min="1" max="1" width="30.7265625" customWidth="1"/>
    <col min="2" max="2" width="5.26953125" bestFit="1" customWidth="1"/>
    <col min="3" max="31" width="5.7265625" customWidth="1"/>
    <col min="32" max="32" width="9.1796875" customWidth="1"/>
    <col min="33" max="36" width="11.26953125" customWidth="1"/>
    <col min="37" max="37" width="9.1796875" customWidth="1"/>
    <col min="38" max="38" width="29.26953125" bestFit="1" customWidth="1"/>
  </cols>
  <sheetData>
    <row r="1" spans="1:41" s="3" customFormat="1" ht="25.15" customHeight="1" x14ac:dyDescent="0.35">
      <c r="A1" s="62" t="s">
        <v>137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2"/>
      <c r="AL1" s="2"/>
      <c r="AM1" s="2"/>
      <c r="AN1" s="2"/>
      <c r="AO1" s="2"/>
    </row>
    <row r="2" spans="1:41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2"/>
      <c r="AL2" s="2"/>
      <c r="AM2" s="2"/>
      <c r="AN2" s="2"/>
      <c r="AO2" s="2"/>
    </row>
    <row r="3" spans="1:41" s="3" customFormat="1" ht="25.15" customHeight="1" x14ac:dyDescent="0.35">
      <c r="A3" s="72" t="s">
        <v>136</v>
      </c>
      <c r="B3" s="47" t="str">
        <f>IF(B4="","",INDEX({"Sun";"Mon";"Tue";"Wen";"Thu";"Fri";"Sat"},WEEKDAY(B4,1)))</f>
        <v>Wen</v>
      </c>
      <c r="C3" s="47" t="str">
        <f>IF(C4="","",INDEX({"Sun";"Mon";"Tue";"Wen";"Thu";"Fri";"Sat"},WEEKDAY(C4,1)))</f>
        <v>Thu</v>
      </c>
      <c r="D3" s="47" t="str">
        <f>IF(D4="","",INDEX({"Sun";"Mon";"Tue";"Wen";"Thu";"Fri";"Sat"},WEEKDAY(D4,1)))</f>
        <v>Fri</v>
      </c>
      <c r="E3" s="47" t="str">
        <f>IF(E4="","",INDEX({"Sun";"Mon";"Tue";"Wen";"Thu";"Fri";"Sat"},WEEKDAY(E4,1)))</f>
        <v>Sat</v>
      </c>
      <c r="F3" s="47" t="str">
        <f>IF(F4="","",INDEX({"Sun";"Mon";"Tue";"Wen";"Thu";"Fri";"Sat"},WEEKDAY(F4,1)))</f>
        <v>Sun</v>
      </c>
      <c r="G3" s="47" t="str">
        <f>IF(G4="","",INDEX({"Sun";"Mon";"Tue";"Wen";"Thu";"Fri";"Sat"},WEEKDAY(G4,1)))</f>
        <v>Mon</v>
      </c>
      <c r="H3" s="47" t="str">
        <f>IF(H4="","",INDEX({"Sun";"Mon";"Tue";"Wen";"Thu";"Fri";"Sat"},WEEKDAY(H4,1)))</f>
        <v>Tue</v>
      </c>
      <c r="I3" s="47" t="str">
        <f>IF(I4="","",INDEX({"Sun";"Mon";"Tue";"Wen";"Thu";"Fri";"Sat"},WEEKDAY(I4,1)))</f>
        <v>Wen</v>
      </c>
      <c r="J3" s="47" t="str">
        <f>IF(J4="","",INDEX({"Sun";"Mon";"Tue";"Wen";"Thu";"Fri";"Sat"},WEEKDAY(J4,1)))</f>
        <v>Thu</v>
      </c>
      <c r="K3" s="47" t="str">
        <f>IF(K4="","",INDEX({"Sun";"Mon";"Tue";"Wen";"Thu";"Fri";"Sat"},WEEKDAY(K4,1)))</f>
        <v>Fri</v>
      </c>
      <c r="L3" s="47" t="str">
        <f>IF(L4="","",INDEX({"Sun";"Mon";"Tue";"Wen";"Thu";"Fri";"Sat"},WEEKDAY(L4,1)))</f>
        <v>Sat</v>
      </c>
      <c r="M3" s="47" t="str">
        <f>IF(M4="","",INDEX({"Sun";"Mon";"Tue";"Wen";"Thu";"Fri";"Sat"},WEEKDAY(M4,1)))</f>
        <v>Sun</v>
      </c>
      <c r="N3" s="47" t="str">
        <f>IF(N4="","",INDEX({"Sun";"Mon";"Tue";"Wen";"Thu";"Fri";"Sat"},WEEKDAY(N4,1)))</f>
        <v>Mon</v>
      </c>
      <c r="O3" s="47" t="str">
        <f>IF(O4="","",INDEX({"Sun";"Mon";"Tue";"Wen";"Thu";"Fri";"Sat"},WEEKDAY(O4,1)))</f>
        <v>Tue</v>
      </c>
      <c r="P3" s="47" t="str">
        <f>IF(P4="","",INDEX({"Sun";"Mon";"Tue";"Wen";"Thu";"Fri";"Sat"},WEEKDAY(P4,1)))</f>
        <v>Wen</v>
      </c>
      <c r="Q3" s="47" t="str">
        <f>IF(Q4="","",INDEX({"Sun";"Mon";"Tue";"Wen";"Thu";"Fri";"Sat"},WEEKDAY(Q4,1)))</f>
        <v>Thu</v>
      </c>
      <c r="R3" s="47" t="str">
        <f>IF(R4="","",INDEX({"Sun";"Mon";"Tue";"Wen";"Thu";"Fri";"Sat"},WEEKDAY(R4,1)))</f>
        <v>Fri</v>
      </c>
      <c r="S3" s="47" t="str">
        <f>IF(S4="","",INDEX({"Sun";"Mon";"Tue";"Wen";"Thu";"Fri";"Sat"},WEEKDAY(S4,1)))</f>
        <v>Sat</v>
      </c>
      <c r="T3" s="47" t="str">
        <f>IF(T4="","",INDEX({"Sun";"Mon";"Tue";"Wen";"Thu";"Fri";"Sat"},WEEKDAY(T4,1)))</f>
        <v>Sun</v>
      </c>
      <c r="U3" s="47" t="str">
        <f>IF(U4="","",INDEX({"Sun";"Mon";"Tue";"Wen";"Thu";"Fri";"Sat"},WEEKDAY(U4,1)))</f>
        <v>Mon</v>
      </c>
      <c r="V3" s="47" t="str">
        <f>IF(V4="","",INDEX({"Sun";"Mon";"Tue";"Wen";"Thu";"Fri";"Sat"},WEEKDAY(V4,1)))</f>
        <v>Tue</v>
      </c>
      <c r="W3" s="47" t="str">
        <f>IF(W4="","",INDEX({"Sun";"Mon";"Tue";"Wen";"Thu";"Fri";"Sat"},WEEKDAY(W4,1)))</f>
        <v>Wen</v>
      </c>
      <c r="X3" s="47" t="str">
        <f>IF(X4="","",INDEX({"Sun";"Mon";"Tue";"Wen";"Thu";"Fri";"Sat"},WEEKDAY(X4,1)))</f>
        <v>Thu</v>
      </c>
      <c r="Y3" s="47" t="str">
        <f>IF(Y4="","",INDEX({"Sun";"Mon";"Tue";"Wen";"Thu";"Fri";"Sat"},WEEKDAY(Y4,1)))</f>
        <v>Fri</v>
      </c>
      <c r="Z3" s="47" t="str">
        <f>IF(Z4="","",INDEX({"Sun";"Mon";"Tue";"Wen";"Thu";"Fri";"Sat"},WEEKDAY(Z4,1)))</f>
        <v>Sat</v>
      </c>
      <c r="AA3" s="47" t="str">
        <f>IF(AA4="","",INDEX({"Sun";"Mon";"Tue";"Wen";"Thu";"Fri";"Sat"},WEEKDAY(AA4,1)))</f>
        <v>Sun</v>
      </c>
      <c r="AB3" s="47" t="str">
        <f>IF(AB4="","",INDEX({"Sun";"Mon";"Tue";"Wen";"Thu";"Fri";"Sat"},WEEKDAY(AB4,1)))</f>
        <v>Mon</v>
      </c>
      <c r="AC3" s="47" t="str">
        <f>IF(AC4="","",INDEX({"Sun";"Mon";"Tue";"Wen";"Thu";"Fri";"Sat"},WEEKDAY(AC4,1)))</f>
        <v>Tue</v>
      </c>
      <c r="AD3" s="47" t="str">
        <f>IF(AD4="","",INDEX({"Sun";"Mon";"Tue";"Wen";"Thu";"Fri";"Sat"},WEEKDAY(AD4,1)))</f>
        <v>Wen</v>
      </c>
      <c r="AE3" s="47" t="str">
        <f>IF(AE4="","",INDEX({"Sun";"Mon";"Tue";"Wen";"Thu";"Fri";"Sat"},WEEKDAY(AE4,1)))</f>
        <v>Thu</v>
      </c>
      <c r="AF3" s="80" t="s">
        <v>112</v>
      </c>
      <c r="AG3" s="66" t="s">
        <v>113</v>
      </c>
      <c r="AH3" s="78" t="s">
        <v>133</v>
      </c>
      <c r="AI3" s="79" t="s">
        <v>115</v>
      </c>
      <c r="AJ3" s="73" t="s">
        <v>116</v>
      </c>
      <c r="AK3" s="28"/>
      <c r="AL3" s="70" t="s">
        <v>134</v>
      </c>
      <c r="AM3" s="70" t="s">
        <v>118</v>
      </c>
      <c r="AN3" s="2"/>
      <c r="AO3" s="2"/>
    </row>
    <row r="4" spans="1:41" s="3" customFormat="1" ht="25.15" customHeight="1" x14ac:dyDescent="0.35">
      <c r="A4" s="72"/>
      <c r="B4" s="48">
        <f>DATE(Year!$B$2,4,1)</f>
        <v>46113</v>
      </c>
      <c r="C4" s="48">
        <f t="shared" ref="C4:AE4" si="0">B4+1</f>
        <v>46114</v>
      </c>
      <c r="D4" s="48">
        <f t="shared" si="0"/>
        <v>46115</v>
      </c>
      <c r="E4" s="48">
        <f t="shared" si="0"/>
        <v>46116</v>
      </c>
      <c r="F4" s="48">
        <f t="shared" si="0"/>
        <v>46117</v>
      </c>
      <c r="G4" s="48">
        <f t="shared" si="0"/>
        <v>46118</v>
      </c>
      <c r="H4" s="48">
        <f t="shared" si="0"/>
        <v>46119</v>
      </c>
      <c r="I4" s="48">
        <f t="shared" si="0"/>
        <v>46120</v>
      </c>
      <c r="J4" s="48">
        <f t="shared" si="0"/>
        <v>46121</v>
      </c>
      <c r="K4" s="48">
        <f t="shared" si="0"/>
        <v>46122</v>
      </c>
      <c r="L4" s="48">
        <f t="shared" si="0"/>
        <v>46123</v>
      </c>
      <c r="M4" s="48">
        <f t="shared" si="0"/>
        <v>46124</v>
      </c>
      <c r="N4" s="48">
        <f t="shared" si="0"/>
        <v>46125</v>
      </c>
      <c r="O4" s="48">
        <f t="shared" si="0"/>
        <v>46126</v>
      </c>
      <c r="P4" s="48">
        <f t="shared" si="0"/>
        <v>46127</v>
      </c>
      <c r="Q4" s="48">
        <f t="shared" si="0"/>
        <v>46128</v>
      </c>
      <c r="R4" s="48">
        <f t="shared" si="0"/>
        <v>46129</v>
      </c>
      <c r="S4" s="48">
        <f t="shared" si="0"/>
        <v>46130</v>
      </c>
      <c r="T4" s="48">
        <f t="shared" si="0"/>
        <v>46131</v>
      </c>
      <c r="U4" s="48">
        <f t="shared" si="0"/>
        <v>46132</v>
      </c>
      <c r="V4" s="48">
        <f t="shared" si="0"/>
        <v>46133</v>
      </c>
      <c r="W4" s="48">
        <f t="shared" si="0"/>
        <v>46134</v>
      </c>
      <c r="X4" s="48">
        <f t="shared" si="0"/>
        <v>46135</v>
      </c>
      <c r="Y4" s="48">
        <f t="shared" si="0"/>
        <v>46136</v>
      </c>
      <c r="Z4" s="48">
        <f t="shared" si="0"/>
        <v>46137</v>
      </c>
      <c r="AA4" s="48">
        <f t="shared" si="0"/>
        <v>46138</v>
      </c>
      <c r="AB4" s="48">
        <f t="shared" si="0"/>
        <v>46139</v>
      </c>
      <c r="AC4" s="48">
        <f t="shared" si="0"/>
        <v>46140</v>
      </c>
      <c r="AD4" s="48">
        <f t="shared" si="0"/>
        <v>46141</v>
      </c>
      <c r="AE4" s="48">
        <f t="shared" si="0"/>
        <v>46142</v>
      </c>
      <c r="AF4" s="80"/>
      <c r="AG4" s="66"/>
      <c r="AH4" s="78"/>
      <c r="AI4" s="79"/>
      <c r="AJ4" s="73"/>
      <c r="AK4" s="28"/>
      <c r="AL4" s="71"/>
      <c r="AM4" s="71"/>
      <c r="AN4" s="2"/>
      <c r="AO4" s="2"/>
    </row>
    <row r="5" spans="1:41" s="3" customFormat="1" ht="24.75" customHeight="1" x14ac:dyDescent="0.55000000000000004">
      <c r="A5" s="9" t="s">
        <v>14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8">
        <f t="shared" ref="AF5:AF37" si="1">SUM(AG5:AJ5)</f>
        <v>0</v>
      </c>
      <c r="AG5" s="8">
        <f t="shared" ref="AG5:AG37" si="2">COUNTIF(B5:AE5,"V")+COUNTIF(B5:AE5,"V1")/2+COUNTIF(B5:AE5,"V2")/2</f>
        <v>0</v>
      </c>
      <c r="AH5" s="8">
        <f t="shared" ref="AH5:AH37" si="3">COUNTIF(B5:AE5,"S")+COUNTIF(B5:AE5,"S1")/2+COUNTIF(B5:AE5,"S2")/2</f>
        <v>0</v>
      </c>
      <c r="AI5" s="8">
        <f t="shared" ref="AI5:AI37" si="4">COUNTIF(B5:AE5,"M")</f>
        <v>0</v>
      </c>
      <c r="AJ5" s="8">
        <f t="shared" ref="AJ5:AJ37" si="5">COUNTIF(B5:AE5,"U")</f>
        <v>0</v>
      </c>
      <c r="AK5" s="32"/>
      <c r="AL5" s="41" t="s">
        <v>15</v>
      </c>
      <c r="AM5" s="34" t="s">
        <v>119</v>
      </c>
      <c r="AN5" s="2"/>
      <c r="AO5" s="2"/>
    </row>
    <row r="6" spans="1:41" s="3" customFormat="1" ht="25.15" customHeight="1" x14ac:dyDescent="0.55000000000000004">
      <c r="A6" s="10" t="s">
        <v>37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8">
        <f t="shared" si="1"/>
        <v>0</v>
      </c>
      <c r="AG6" s="8">
        <f t="shared" si="2"/>
        <v>0</v>
      </c>
      <c r="AH6" s="8">
        <f t="shared" si="3"/>
        <v>0</v>
      </c>
      <c r="AI6" s="8">
        <f t="shared" si="4"/>
        <v>0</v>
      </c>
      <c r="AJ6" s="8">
        <f t="shared" si="5"/>
        <v>0</v>
      </c>
      <c r="AK6" s="32"/>
      <c r="AL6" s="42" t="s">
        <v>120</v>
      </c>
      <c r="AM6" s="34" t="s">
        <v>121</v>
      </c>
      <c r="AN6" s="2"/>
      <c r="AO6" s="2"/>
    </row>
    <row r="7" spans="1:41" s="3" customFormat="1" ht="25.15" customHeight="1" x14ac:dyDescent="0.55000000000000004">
      <c r="A7" s="10" t="s">
        <v>17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8">
        <f t="shared" si="1"/>
        <v>0</v>
      </c>
      <c r="AG7" s="8">
        <f t="shared" si="2"/>
        <v>0</v>
      </c>
      <c r="AH7" s="8">
        <f t="shared" si="3"/>
        <v>0</v>
      </c>
      <c r="AI7" s="8">
        <f t="shared" si="4"/>
        <v>0</v>
      </c>
      <c r="AJ7" s="8">
        <f t="shared" si="5"/>
        <v>0</v>
      </c>
      <c r="AK7" s="32"/>
      <c r="AL7" s="43" t="s">
        <v>23</v>
      </c>
      <c r="AM7" s="34" t="s">
        <v>122</v>
      </c>
      <c r="AN7" s="2"/>
      <c r="AO7" s="2"/>
    </row>
    <row r="8" spans="1:41" s="3" customFormat="1" ht="25.15" customHeight="1" x14ac:dyDescent="0.55000000000000004">
      <c r="A8" s="10" t="s">
        <v>41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8">
        <f t="shared" si="1"/>
        <v>0</v>
      </c>
      <c r="AG8" s="8">
        <f t="shared" si="2"/>
        <v>0</v>
      </c>
      <c r="AH8" s="8">
        <f t="shared" si="3"/>
        <v>0</v>
      </c>
      <c r="AI8" s="8">
        <f t="shared" si="4"/>
        <v>0</v>
      </c>
      <c r="AJ8" s="8">
        <f t="shared" si="5"/>
        <v>0</v>
      </c>
      <c r="AK8" s="32"/>
      <c r="AL8" s="44" t="s">
        <v>123</v>
      </c>
      <c r="AM8" s="34" t="s">
        <v>124</v>
      </c>
      <c r="AN8" s="2"/>
      <c r="AO8" s="2"/>
    </row>
    <row r="9" spans="1:41" s="3" customFormat="1" ht="25.15" customHeight="1" x14ac:dyDescent="0.55000000000000004">
      <c r="A9" s="10" t="s">
        <v>36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8">
        <f t="shared" si="1"/>
        <v>0</v>
      </c>
      <c r="AG9" s="8">
        <f t="shared" si="2"/>
        <v>0</v>
      </c>
      <c r="AH9" s="8">
        <f t="shared" si="3"/>
        <v>0</v>
      </c>
      <c r="AI9" s="8">
        <f t="shared" si="4"/>
        <v>0</v>
      </c>
      <c r="AJ9" s="8">
        <f t="shared" si="5"/>
        <v>0</v>
      </c>
      <c r="AK9" s="32"/>
      <c r="AL9" s="38" t="s">
        <v>125</v>
      </c>
      <c r="AM9" s="34" t="s">
        <v>126</v>
      </c>
      <c r="AN9" s="2"/>
      <c r="AO9" s="2"/>
    </row>
    <row r="10" spans="1:41" s="3" customFormat="1" ht="25.15" customHeight="1" x14ac:dyDescent="0.55000000000000004">
      <c r="A10" s="10" t="s">
        <v>46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8">
        <f t="shared" si="1"/>
        <v>0</v>
      </c>
      <c r="AG10" s="8">
        <f t="shared" si="2"/>
        <v>0</v>
      </c>
      <c r="AH10" s="8">
        <f t="shared" si="3"/>
        <v>0</v>
      </c>
      <c r="AI10" s="8">
        <f t="shared" si="4"/>
        <v>0</v>
      </c>
      <c r="AJ10" s="8">
        <f t="shared" si="5"/>
        <v>0</v>
      </c>
      <c r="AK10" s="32"/>
      <c r="AL10" s="39" t="s">
        <v>116</v>
      </c>
      <c r="AM10" s="34" t="s">
        <v>127</v>
      </c>
      <c r="AN10" s="2"/>
      <c r="AO10" s="2"/>
    </row>
    <row r="11" spans="1:41" s="3" customFormat="1" ht="25.15" customHeight="1" x14ac:dyDescent="0.55000000000000004">
      <c r="A11" s="10" t="s">
        <v>43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8">
        <f t="shared" si="1"/>
        <v>0</v>
      </c>
      <c r="AG11" s="8">
        <f t="shared" si="2"/>
        <v>0</v>
      </c>
      <c r="AH11" s="8">
        <f t="shared" si="3"/>
        <v>0</v>
      </c>
      <c r="AI11" s="8">
        <f t="shared" si="4"/>
        <v>0</v>
      </c>
      <c r="AJ11" s="8">
        <f t="shared" si="5"/>
        <v>0</v>
      </c>
      <c r="AK11" s="32"/>
      <c r="AL11" s="11"/>
      <c r="AM11" s="49"/>
      <c r="AN11" s="2"/>
      <c r="AO11" s="2"/>
    </row>
    <row r="12" spans="1:41" s="3" customFormat="1" ht="25.15" customHeight="1" x14ac:dyDescent="0.55000000000000004">
      <c r="A12" s="10" t="s">
        <v>47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8">
        <f t="shared" si="1"/>
        <v>0</v>
      </c>
      <c r="AG12" s="8">
        <f t="shared" si="2"/>
        <v>0</v>
      </c>
      <c r="AH12" s="8">
        <f t="shared" si="3"/>
        <v>0</v>
      </c>
      <c r="AI12" s="8">
        <f t="shared" si="4"/>
        <v>0</v>
      </c>
      <c r="AJ12" s="8">
        <f t="shared" si="5"/>
        <v>0</v>
      </c>
      <c r="AK12" s="32"/>
      <c r="AL12" s="11"/>
      <c r="AM12" s="49"/>
      <c r="AN12" s="2"/>
      <c r="AO12" s="2"/>
    </row>
    <row r="13" spans="1:41" s="3" customFormat="1" ht="25.15" customHeight="1" x14ac:dyDescent="0.55000000000000004">
      <c r="A13" s="10" t="s">
        <v>32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8">
        <f t="shared" si="1"/>
        <v>0</v>
      </c>
      <c r="AG13" s="8">
        <f t="shared" si="2"/>
        <v>0</v>
      </c>
      <c r="AH13" s="8">
        <f t="shared" si="3"/>
        <v>0</v>
      </c>
      <c r="AI13" s="8">
        <f t="shared" si="4"/>
        <v>0</v>
      </c>
      <c r="AJ13" s="8">
        <f t="shared" si="5"/>
        <v>0</v>
      </c>
      <c r="AK13" s="32"/>
      <c r="AL13" s="2"/>
      <c r="AM13" s="2"/>
      <c r="AN13" s="2"/>
      <c r="AO13" s="2"/>
    </row>
    <row r="14" spans="1:41" s="3" customFormat="1" ht="25.15" customHeight="1" x14ac:dyDescent="0.55000000000000004">
      <c r="A14" s="10" t="s">
        <v>40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8">
        <f t="shared" si="1"/>
        <v>0</v>
      </c>
      <c r="AG14" s="8">
        <f t="shared" si="2"/>
        <v>0</v>
      </c>
      <c r="AH14" s="8">
        <f t="shared" si="3"/>
        <v>0</v>
      </c>
      <c r="AI14" s="8">
        <f t="shared" si="4"/>
        <v>0</v>
      </c>
      <c r="AJ14" s="8">
        <f t="shared" si="5"/>
        <v>0</v>
      </c>
      <c r="AK14" s="32"/>
      <c r="AL14" s="2"/>
      <c r="AM14" s="2"/>
      <c r="AN14" s="2"/>
      <c r="AO14" s="2"/>
    </row>
    <row r="15" spans="1:41" s="3" customFormat="1" ht="25.15" customHeight="1" x14ac:dyDescent="0.55000000000000004">
      <c r="A15" s="10" t="s">
        <v>34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8">
        <f t="shared" si="1"/>
        <v>0</v>
      </c>
      <c r="AG15" s="8">
        <f t="shared" si="2"/>
        <v>0</v>
      </c>
      <c r="AH15" s="8">
        <f t="shared" si="3"/>
        <v>0</v>
      </c>
      <c r="AI15" s="8">
        <f t="shared" si="4"/>
        <v>0</v>
      </c>
      <c r="AJ15" s="8">
        <f t="shared" si="5"/>
        <v>0</v>
      </c>
      <c r="AK15" s="2"/>
      <c r="AL15" s="2"/>
      <c r="AM15" s="2"/>
      <c r="AN15" s="2"/>
      <c r="AO15" s="2"/>
    </row>
    <row r="16" spans="1:41" ht="23.5" customHeight="1" x14ac:dyDescent="0.55000000000000004">
      <c r="A16" s="10" t="s">
        <v>29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8">
        <f t="shared" si="1"/>
        <v>0</v>
      </c>
      <c r="AG16" s="8">
        <f t="shared" si="2"/>
        <v>0</v>
      </c>
      <c r="AH16" s="8">
        <f t="shared" si="3"/>
        <v>0</v>
      </c>
      <c r="AI16" s="8">
        <f t="shared" si="4"/>
        <v>0</v>
      </c>
      <c r="AJ16" s="8">
        <f t="shared" si="5"/>
        <v>0</v>
      </c>
      <c r="AN16" s="2"/>
      <c r="AO16" s="2"/>
    </row>
    <row r="17" spans="1:36" ht="23.5" customHeight="1" x14ac:dyDescent="0.55000000000000004">
      <c r="A17" s="10" t="s">
        <v>128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8">
        <f t="shared" si="1"/>
        <v>0</v>
      </c>
      <c r="AG17" s="8">
        <f t="shared" si="2"/>
        <v>0</v>
      </c>
      <c r="AH17" s="8">
        <f t="shared" si="3"/>
        <v>0</v>
      </c>
      <c r="AI17" s="8">
        <f t="shared" si="4"/>
        <v>0</v>
      </c>
      <c r="AJ17" s="8">
        <f t="shared" si="5"/>
        <v>0</v>
      </c>
    </row>
    <row r="18" spans="1:36" ht="23.5" customHeight="1" x14ac:dyDescent="0.55000000000000004">
      <c r="A18" s="10" t="s">
        <v>22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8">
        <f t="shared" si="1"/>
        <v>0</v>
      </c>
      <c r="AG18" s="8">
        <f t="shared" si="2"/>
        <v>0</v>
      </c>
      <c r="AH18" s="8">
        <f t="shared" si="3"/>
        <v>0</v>
      </c>
      <c r="AI18" s="8">
        <f t="shared" si="4"/>
        <v>0</v>
      </c>
      <c r="AJ18" s="8">
        <f t="shared" si="5"/>
        <v>0</v>
      </c>
    </row>
    <row r="19" spans="1:36" ht="23.5" customHeight="1" x14ac:dyDescent="0.55000000000000004">
      <c r="A19" s="10" t="s">
        <v>39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8">
        <f t="shared" si="1"/>
        <v>0</v>
      </c>
      <c r="AG19" s="8">
        <f t="shared" si="2"/>
        <v>0</v>
      </c>
      <c r="AH19" s="8">
        <f t="shared" si="3"/>
        <v>0</v>
      </c>
      <c r="AI19" s="8">
        <f t="shared" si="4"/>
        <v>0</v>
      </c>
      <c r="AJ19" s="8">
        <f t="shared" si="5"/>
        <v>0</v>
      </c>
    </row>
    <row r="20" spans="1:36" ht="23.5" customHeight="1" x14ac:dyDescent="0.55000000000000004">
      <c r="A20" s="10" t="s">
        <v>50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8">
        <f t="shared" si="1"/>
        <v>0</v>
      </c>
      <c r="AG20" s="8">
        <f t="shared" si="2"/>
        <v>0</v>
      </c>
      <c r="AH20" s="8">
        <f t="shared" si="3"/>
        <v>0</v>
      </c>
      <c r="AI20" s="8">
        <f t="shared" si="4"/>
        <v>0</v>
      </c>
      <c r="AJ20" s="8">
        <f t="shared" si="5"/>
        <v>0</v>
      </c>
    </row>
    <row r="21" spans="1:36" ht="23.5" customHeight="1" x14ac:dyDescent="0.55000000000000004">
      <c r="A21" s="10" t="s">
        <v>129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8">
        <f t="shared" si="1"/>
        <v>0</v>
      </c>
      <c r="AG21" s="8">
        <f t="shared" si="2"/>
        <v>0</v>
      </c>
      <c r="AH21" s="8">
        <f t="shared" si="3"/>
        <v>0</v>
      </c>
      <c r="AI21" s="8">
        <f t="shared" si="4"/>
        <v>0</v>
      </c>
      <c r="AJ21" s="8">
        <f t="shared" si="5"/>
        <v>0</v>
      </c>
    </row>
    <row r="22" spans="1:36" ht="23.5" customHeight="1" x14ac:dyDescent="0.55000000000000004">
      <c r="A22" s="10" t="s">
        <v>27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8">
        <f t="shared" si="1"/>
        <v>0</v>
      </c>
      <c r="AG22" s="8">
        <f t="shared" si="2"/>
        <v>0</v>
      </c>
      <c r="AH22" s="8">
        <f t="shared" si="3"/>
        <v>0</v>
      </c>
      <c r="AI22" s="8">
        <f t="shared" si="4"/>
        <v>0</v>
      </c>
      <c r="AJ22" s="8">
        <f t="shared" si="5"/>
        <v>0</v>
      </c>
    </row>
    <row r="23" spans="1:36" ht="23.5" customHeight="1" x14ac:dyDescent="0.55000000000000004">
      <c r="A23" s="10" t="s">
        <v>28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8">
        <f t="shared" si="1"/>
        <v>0</v>
      </c>
      <c r="AG23" s="8">
        <f t="shared" si="2"/>
        <v>0</v>
      </c>
      <c r="AH23" s="8">
        <f t="shared" si="3"/>
        <v>0</v>
      </c>
      <c r="AI23" s="8">
        <f t="shared" si="4"/>
        <v>0</v>
      </c>
      <c r="AJ23" s="8">
        <f t="shared" si="5"/>
        <v>0</v>
      </c>
    </row>
    <row r="24" spans="1:36" ht="23.5" customHeight="1" x14ac:dyDescent="0.55000000000000004">
      <c r="A24" s="10" t="s">
        <v>21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8">
        <f t="shared" si="1"/>
        <v>0</v>
      </c>
      <c r="AG24" s="8">
        <f t="shared" si="2"/>
        <v>0</v>
      </c>
      <c r="AH24" s="8">
        <f t="shared" si="3"/>
        <v>0</v>
      </c>
      <c r="AI24" s="8">
        <f t="shared" si="4"/>
        <v>0</v>
      </c>
      <c r="AJ24" s="8">
        <f t="shared" si="5"/>
        <v>0</v>
      </c>
    </row>
    <row r="25" spans="1:36" ht="23.5" customHeight="1" x14ac:dyDescent="0.55000000000000004">
      <c r="A25" s="10" t="s">
        <v>42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8">
        <f t="shared" si="1"/>
        <v>0</v>
      </c>
      <c r="AG25" s="8">
        <f t="shared" si="2"/>
        <v>0</v>
      </c>
      <c r="AH25" s="8">
        <f t="shared" si="3"/>
        <v>0</v>
      </c>
      <c r="AI25" s="8">
        <f t="shared" si="4"/>
        <v>0</v>
      </c>
      <c r="AJ25" s="8">
        <f t="shared" si="5"/>
        <v>0</v>
      </c>
    </row>
    <row r="26" spans="1:36" ht="23.5" customHeight="1" x14ac:dyDescent="0.55000000000000004">
      <c r="A26" s="10" t="s">
        <v>26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8">
        <f t="shared" si="1"/>
        <v>0</v>
      </c>
      <c r="AG26" s="8">
        <f t="shared" si="2"/>
        <v>0</v>
      </c>
      <c r="AH26" s="8">
        <f t="shared" si="3"/>
        <v>0</v>
      </c>
      <c r="AI26" s="8">
        <f t="shared" si="4"/>
        <v>0</v>
      </c>
      <c r="AJ26" s="8">
        <f t="shared" si="5"/>
        <v>0</v>
      </c>
    </row>
    <row r="27" spans="1:36" ht="23.5" customHeight="1" x14ac:dyDescent="0.55000000000000004">
      <c r="A27" s="10" t="s">
        <v>44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8">
        <f t="shared" si="1"/>
        <v>0</v>
      </c>
      <c r="AG27" s="8">
        <f t="shared" si="2"/>
        <v>0</v>
      </c>
      <c r="AH27" s="8">
        <f t="shared" si="3"/>
        <v>0</v>
      </c>
      <c r="AI27" s="8">
        <f t="shared" si="4"/>
        <v>0</v>
      </c>
      <c r="AJ27" s="8">
        <f t="shared" si="5"/>
        <v>0</v>
      </c>
    </row>
    <row r="28" spans="1:36" ht="23.5" customHeight="1" x14ac:dyDescent="0.55000000000000004">
      <c r="A28" s="10" t="s">
        <v>25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8">
        <f t="shared" si="1"/>
        <v>0</v>
      </c>
      <c r="AG28" s="8">
        <f t="shared" si="2"/>
        <v>0</v>
      </c>
      <c r="AH28" s="8">
        <f t="shared" si="3"/>
        <v>0</v>
      </c>
      <c r="AI28" s="8">
        <f t="shared" si="4"/>
        <v>0</v>
      </c>
      <c r="AJ28" s="8">
        <f t="shared" si="5"/>
        <v>0</v>
      </c>
    </row>
    <row r="29" spans="1:36" ht="23.5" customHeight="1" x14ac:dyDescent="0.55000000000000004">
      <c r="A29" s="10" t="s">
        <v>24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8">
        <f t="shared" si="1"/>
        <v>0</v>
      </c>
      <c r="AG29" s="8">
        <f t="shared" si="2"/>
        <v>0</v>
      </c>
      <c r="AH29" s="8">
        <f t="shared" si="3"/>
        <v>0</v>
      </c>
      <c r="AI29" s="8">
        <f t="shared" si="4"/>
        <v>0</v>
      </c>
      <c r="AJ29" s="8">
        <f t="shared" si="5"/>
        <v>0</v>
      </c>
    </row>
    <row r="30" spans="1:36" ht="23.5" customHeight="1" x14ac:dyDescent="0.55000000000000004">
      <c r="A30" s="10" t="s">
        <v>60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8">
        <f t="shared" si="1"/>
        <v>0</v>
      </c>
      <c r="AG30" s="8">
        <f t="shared" si="2"/>
        <v>0</v>
      </c>
      <c r="AH30" s="8">
        <f t="shared" si="3"/>
        <v>0</v>
      </c>
      <c r="AI30" s="8">
        <f t="shared" si="4"/>
        <v>0</v>
      </c>
      <c r="AJ30" s="8">
        <f t="shared" si="5"/>
        <v>0</v>
      </c>
    </row>
    <row r="31" spans="1:36" ht="23.5" customHeight="1" x14ac:dyDescent="0.55000000000000004">
      <c r="A31" s="10" t="s">
        <v>52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8">
        <f t="shared" si="1"/>
        <v>0</v>
      </c>
      <c r="AG31" s="8">
        <f t="shared" si="2"/>
        <v>0</v>
      </c>
      <c r="AH31" s="8">
        <f t="shared" si="3"/>
        <v>0</v>
      </c>
      <c r="AI31" s="8">
        <f t="shared" si="4"/>
        <v>0</v>
      </c>
      <c r="AJ31" s="8">
        <f t="shared" si="5"/>
        <v>0</v>
      </c>
    </row>
    <row r="32" spans="1:36" ht="23.5" customHeight="1" x14ac:dyDescent="0.55000000000000004">
      <c r="A32" s="10" t="s">
        <v>130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8">
        <f t="shared" si="1"/>
        <v>0</v>
      </c>
      <c r="AG32" s="8">
        <f t="shared" si="2"/>
        <v>0</v>
      </c>
      <c r="AH32" s="8">
        <f t="shared" si="3"/>
        <v>0</v>
      </c>
      <c r="AI32" s="8">
        <f t="shared" si="4"/>
        <v>0</v>
      </c>
      <c r="AJ32" s="8">
        <f t="shared" si="5"/>
        <v>0</v>
      </c>
    </row>
    <row r="33" spans="1:36" ht="23.5" customHeight="1" x14ac:dyDescent="0.55000000000000004">
      <c r="A33" s="10" t="s">
        <v>53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8">
        <f t="shared" si="1"/>
        <v>0</v>
      </c>
      <c r="AG33" s="8">
        <f t="shared" si="2"/>
        <v>0</v>
      </c>
      <c r="AH33" s="8">
        <f t="shared" si="3"/>
        <v>0</v>
      </c>
      <c r="AI33" s="8">
        <f t="shared" si="4"/>
        <v>0</v>
      </c>
      <c r="AJ33" s="8">
        <f t="shared" si="5"/>
        <v>0</v>
      </c>
    </row>
    <row r="34" spans="1:36" ht="23.5" customHeight="1" x14ac:dyDescent="0.55000000000000004">
      <c r="A34" s="10" t="s">
        <v>70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8">
        <f t="shared" si="1"/>
        <v>0</v>
      </c>
      <c r="AG34" s="8">
        <f t="shared" si="2"/>
        <v>0</v>
      </c>
      <c r="AH34" s="8">
        <f t="shared" si="3"/>
        <v>0</v>
      </c>
      <c r="AI34" s="8">
        <f t="shared" si="4"/>
        <v>0</v>
      </c>
      <c r="AJ34" s="8">
        <f t="shared" si="5"/>
        <v>0</v>
      </c>
    </row>
    <row r="35" spans="1:36" ht="23.5" customHeight="1" x14ac:dyDescent="0.55000000000000004">
      <c r="A35" s="10" t="s">
        <v>131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8">
        <f t="shared" si="1"/>
        <v>0</v>
      </c>
      <c r="AG35" s="8">
        <f t="shared" si="2"/>
        <v>0</v>
      </c>
      <c r="AH35" s="8">
        <f t="shared" si="3"/>
        <v>0</v>
      </c>
      <c r="AI35" s="8">
        <f t="shared" si="4"/>
        <v>0</v>
      </c>
      <c r="AJ35" s="8">
        <f t="shared" si="5"/>
        <v>0</v>
      </c>
    </row>
    <row r="36" spans="1:36" ht="15.5" customHeight="1" x14ac:dyDescent="0.3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4">
        <f t="shared" si="1"/>
        <v>0</v>
      </c>
      <c r="AG36" s="4">
        <f t="shared" si="2"/>
        <v>0</v>
      </c>
      <c r="AH36" s="4">
        <f t="shared" si="3"/>
        <v>0</v>
      </c>
      <c r="AI36" s="5">
        <f t="shared" si="4"/>
        <v>0</v>
      </c>
      <c r="AJ36" s="4">
        <f t="shared" si="5"/>
        <v>0</v>
      </c>
    </row>
    <row r="37" spans="1:36" ht="15.5" customHeight="1" x14ac:dyDescent="0.3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4">
        <f t="shared" si="1"/>
        <v>0</v>
      </c>
      <c r="AG37" s="4">
        <f t="shared" si="2"/>
        <v>0</v>
      </c>
      <c r="AH37" s="4">
        <f t="shared" si="3"/>
        <v>0</v>
      </c>
      <c r="AI37" s="5">
        <f t="shared" si="4"/>
        <v>0</v>
      </c>
      <c r="AJ37" s="6">
        <f t="shared" si="5"/>
        <v>0</v>
      </c>
    </row>
  </sheetData>
  <mergeCells count="9">
    <mergeCell ref="AL3:AL4"/>
    <mergeCell ref="AM3:AM4"/>
    <mergeCell ref="A1:AJ2"/>
    <mergeCell ref="A3:A4"/>
    <mergeCell ref="AF3:AF4"/>
    <mergeCell ref="AG3:AG4"/>
    <mergeCell ref="AH3:AH4"/>
    <mergeCell ref="AI3:AI4"/>
    <mergeCell ref="AJ3:AJ4"/>
  </mergeCells>
  <conditionalFormatting sqref="B5:AE37">
    <cfRule type="cellIs" dxfId="45" priority="2" operator="equal">
      <formula>"U"</formula>
    </cfRule>
    <cfRule type="cellIs" dxfId="44" priority="3" operator="equal">
      <formula>"M"</formula>
    </cfRule>
    <cfRule type="beginsWith" dxfId="43" priority="4" operator="beginsWith" text="S">
      <formula>LEFT(B5,1)="S"</formula>
    </cfRule>
    <cfRule type="beginsWith" dxfId="42" priority="5" operator="beginsWith" text="V">
      <formula>LEFT(B5,1)="V"</formula>
    </cfRule>
  </conditionalFormatting>
  <conditionalFormatting sqref="AF5:AJ37">
    <cfRule type="cellIs" dxfId="41" priority="1" operator="equal">
      <formula>0</formula>
    </cfRule>
  </conditionalFormatting>
  <dataValidations count="1">
    <dataValidation type="list" allowBlank="1" showInputMessage="1" showErrorMessage="1" sqref="B5:AE37" xr:uid="{00000000-0002-0000-0600-000000000000}">
      <formula1>$AM$5:$AM$12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CDAC-E9E5-4D27-B87D-EA3634B43496}">
  <sheetPr codeName="Sheet7"/>
  <dimension ref="A1:AP35"/>
  <sheetViews>
    <sheetView topLeftCell="A9" zoomScale="80" zoomScaleNormal="80" workbookViewId="0">
      <selection sqref="A1 A1:AK35"/>
    </sheetView>
  </sheetViews>
  <sheetFormatPr defaultRowHeight="14.5" x14ac:dyDescent="0.35"/>
  <cols>
    <col min="1" max="1" width="28.81640625" customWidth="1"/>
    <col min="2" max="2" width="5.26953125" bestFit="1" customWidth="1"/>
    <col min="3" max="32" width="5.7265625" customWidth="1"/>
    <col min="33" max="33" width="9.1796875" customWidth="1"/>
    <col min="34" max="37" width="11.26953125" customWidth="1"/>
    <col min="38" max="38" width="9.1796875" customWidth="1"/>
    <col min="39" max="39" width="29.26953125" bestFit="1" customWidth="1"/>
  </cols>
  <sheetData>
    <row r="1" spans="1:42" s="3" customFormat="1" ht="25.15" customHeight="1" x14ac:dyDescent="0.35">
      <c r="A1" s="62" t="s">
        <v>138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2"/>
      <c r="AM1" s="2"/>
      <c r="AN1" s="2"/>
      <c r="AO1" s="2"/>
      <c r="AP1" s="2"/>
    </row>
    <row r="2" spans="1:42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2"/>
      <c r="AM2" s="2"/>
      <c r="AN2" s="2"/>
      <c r="AO2" s="2"/>
      <c r="AP2" s="2"/>
    </row>
    <row r="3" spans="1:42" s="3" customFormat="1" ht="25.15" customHeight="1" x14ac:dyDescent="0.35">
      <c r="A3" s="72" t="s">
        <v>136</v>
      </c>
      <c r="B3" s="47" t="str">
        <f>IF(B4="","",INDEX({"Sun";"Mon";"Tue";"Wen";"Thu";"Fri";"Sat"},WEEKDAY(B4,1)))</f>
        <v>Fri</v>
      </c>
      <c r="C3" s="47" t="str">
        <f>IF(C4="","",INDEX({"Sun";"Mon";"Tue";"Wen";"Thu";"Fri";"Sat"},WEEKDAY(C4,1)))</f>
        <v>Sat</v>
      </c>
      <c r="D3" s="47" t="str">
        <f>IF(D4="","",INDEX({"Sun";"Mon";"Tue";"Wen";"Thu";"Fri";"Sat"},WEEKDAY(D4,1)))</f>
        <v>Sun</v>
      </c>
      <c r="E3" s="47" t="str">
        <f>IF(E4="","",INDEX({"Sun";"Mon";"Tue";"Wen";"Thu";"Fri";"Sat"},WEEKDAY(E4,1)))</f>
        <v>Mon</v>
      </c>
      <c r="F3" s="47" t="str">
        <f>IF(F4="","",INDEX({"Sun";"Mon";"Tue";"Wen";"Thu";"Fri";"Sat"},WEEKDAY(F4,1)))</f>
        <v>Tue</v>
      </c>
      <c r="G3" s="47" t="str">
        <f>IF(G4="","",INDEX({"Sun";"Mon";"Tue";"Wen";"Thu";"Fri";"Sat"},WEEKDAY(G4,1)))</f>
        <v>Wen</v>
      </c>
      <c r="H3" s="47" t="str">
        <f>IF(H4="","",INDEX({"Sun";"Mon";"Tue";"Wen";"Thu";"Fri";"Sat"},WEEKDAY(H4,1)))</f>
        <v>Thu</v>
      </c>
      <c r="I3" s="47" t="str">
        <f>IF(I4="","",INDEX({"Sun";"Mon";"Tue";"Wen";"Thu";"Fri";"Sat"},WEEKDAY(I4,1)))</f>
        <v>Fri</v>
      </c>
      <c r="J3" s="47" t="str">
        <f>IF(J4="","",INDEX({"Sun";"Mon";"Tue";"Wen";"Thu";"Fri";"Sat"},WEEKDAY(J4,1)))</f>
        <v>Sat</v>
      </c>
      <c r="K3" s="47" t="str">
        <f>IF(K4="","",INDEX({"Sun";"Mon";"Tue";"Wen";"Thu";"Fri";"Sat"},WEEKDAY(K4,1)))</f>
        <v>Sun</v>
      </c>
      <c r="L3" s="47" t="str">
        <f>IF(L4="","",INDEX({"Sun";"Mon";"Tue";"Wen";"Thu";"Fri";"Sat"},WEEKDAY(L4,1)))</f>
        <v>Mon</v>
      </c>
      <c r="M3" s="47" t="str">
        <f>IF(M4="","",INDEX({"Sun";"Mon";"Tue";"Wen";"Thu";"Fri";"Sat"},WEEKDAY(M4,1)))</f>
        <v>Tue</v>
      </c>
      <c r="N3" s="47" t="str">
        <f>IF(N4="","",INDEX({"Sun";"Mon";"Tue";"Wen";"Thu";"Fri";"Sat"},WEEKDAY(N4,1)))</f>
        <v>Wen</v>
      </c>
      <c r="O3" s="47" t="str">
        <f>IF(O4="","",INDEX({"Sun";"Mon";"Tue";"Wen";"Thu";"Fri";"Sat"},WEEKDAY(O4,1)))</f>
        <v>Thu</v>
      </c>
      <c r="P3" s="47" t="str">
        <f>IF(P4="","",INDEX({"Sun";"Mon";"Tue";"Wen";"Thu";"Fri";"Sat"},WEEKDAY(P4,1)))</f>
        <v>Fri</v>
      </c>
      <c r="Q3" s="47" t="str">
        <f>IF(Q4="","",INDEX({"Sun";"Mon";"Tue";"Wen";"Thu";"Fri";"Sat"},WEEKDAY(Q4,1)))</f>
        <v>Sat</v>
      </c>
      <c r="R3" s="47" t="str">
        <f>IF(R4="","",INDEX({"Sun";"Mon";"Tue";"Wen";"Thu";"Fri";"Sat"},WEEKDAY(R4,1)))</f>
        <v>Sun</v>
      </c>
      <c r="S3" s="47" t="str">
        <f>IF(S4="","",INDEX({"Sun";"Mon";"Tue";"Wen";"Thu";"Fri";"Sat"},WEEKDAY(S4,1)))</f>
        <v>Mon</v>
      </c>
      <c r="T3" s="47" t="str">
        <f>IF(T4="","",INDEX({"Sun";"Mon";"Tue";"Wen";"Thu";"Fri";"Sat"},WEEKDAY(T4,1)))</f>
        <v>Tue</v>
      </c>
      <c r="U3" s="47" t="str">
        <f>IF(U4="","",INDEX({"Sun";"Mon";"Tue";"Wen";"Thu";"Fri";"Sat"},WEEKDAY(U4,1)))</f>
        <v>Wen</v>
      </c>
      <c r="V3" s="47" t="str">
        <f>IF(V4="","",INDEX({"Sun";"Mon";"Tue";"Wen";"Thu";"Fri";"Sat"},WEEKDAY(V4,1)))</f>
        <v>Thu</v>
      </c>
      <c r="W3" s="47" t="str">
        <f>IF(W4="","",INDEX({"Sun";"Mon";"Tue";"Wen";"Thu";"Fri";"Sat"},WEEKDAY(W4,1)))</f>
        <v>Fri</v>
      </c>
      <c r="X3" s="47" t="str">
        <f>IF(X4="","",INDEX({"Sun";"Mon";"Tue";"Wen";"Thu";"Fri";"Sat"},WEEKDAY(X4,1)))</f>
        <v>Sat</v>
      </c>
      <c r="Y3" s="47" t="str">
        <f>IF(Y4="","",INDEX({"Sun";"Mon";"Tue";"Wen";"Thu";"Fri";"Sat"},WEEKDAY(Y4,1)))</f>
        <v>Sun</v>
      </c>
      <c r="Z3" s="47" t="str">
        <f>IF(Z4="","",INDEX({"Sun";"Mon";"Tue";"Wen";"Thu";"Fri";"Sat"},WEEKDAY(Z4,1)))</f>
        <v>Mon</v>
      </c>
      <c r="AA3" s="47" t="str">
        <f>IF(AA4="","",INDEX({"Sun";"Mon";"Tue";"Wen";"Thu";"Fri";"Sat"},WEEKDAY(AA4,1)))</f>
        <v>Tue</v>
      </c>
      <c r="AB3" s="47" t="str">
        <f>IF(AB4="","",INDEX({"Sun";"Mon";"Tue";"Wen";"Thu";"Fri";"Sat"},WEEKDAY(AB4,1)))</f>
        <v>Wen</v>
      </c>
      <c r="AC3" s="47" t="str">
        <f>IF(AC4="","",INDEX({"Sun";"Mon";"Tue";"Wen";"Thu";"Fri";"Sat"},WEEKDAY(AC4,1)))</f>
        <v>Thu</v>
      </c>
      <c r="AD3" s="47" t="str">
        <f>IF(AD4="","",INDEX({"Sun";"Mon";"Tue";"Wen";"Thu";"Fri";"Sat"},WEEKDAY(AD4,1)))</f>
        <v>Fri</v>
      </c>
      <c r="AE3" s="47" t="str">
        <f>IF(AE4="","",INDEX({"Sun";"Mon";"Tue";"Wen";"Thu";"Fri";"Sat"},WEEKDAY(AE4,1)))</f>
        <v>Sat</v>
      </c>
      <c r="AF3" s="47" t="str">
        <f>IF(AF4="","",INDEX({"Sun";"Mon";"Tue";"Wen";"Thu";"Fri";"Sat"},WEEKDAY(AF4,1)))</f>
        <v>Sun</v>
      </c>
      <c r="AG3" s="80" t="s">
        <v>112</v>
      </c>
      <c r="AH3" s="66" t="s">
        <v>113</v>
      </c>
      <c r="AI3" s="78" t="s">
        <v>133</v>
      </c>
      <c r="AJ3" s="79" t="s">
        <v>115</v>
      </c>
      <c r="AK3" s="73" t="s">
        <v>116</v>
      </c>
      <c r="AL3" s="28"/>
      <c r="AM3" s="70" t="s">
        <v>134</v>
      </c>
      <c r="AN3" s="70" t="s">
        <v>118</v>
      </c>
      <c r="AO3" s="2"/>
      <c r="AP3" s="2"/>
    </row>
    <row r="4" spans="1:42" s="3" customFormat="1" ht="25.15" customHeight="1" x14ac:dyDescent="0.35">
      <c r="A4" s="72"/>
      <c r="B4" s="48">
        <f>DATE(Year!$B$2,5,1)</f>
        <v>46143</v>
      </c>
      <c r="C4" s="48">
        <f t="shared" ref="C4:AF4" si="0">B4+1</f>
        <v>46144</v>
      </c>
      <c r="D4" s="48">
        <f t="shared" si="0"/>
        <v>46145</v>
      </c>
      <c r="E4" s="48">
        <f t="shared" si="0"/>
        <v>46146</v>
      </c>
      <c r="F4" s="48">
        <f t="shared" si="0"/>
        <v>46147</v>
      </c>
      <c r="G4" s="48">
        <f t="shared" si="0"/>
        <v>46148</v>
      </c>
      <c r="H4" s="48">
        <f t="shared" si="0"/>
        <v>46149</v>
      </c>
      <c r="I4" s="48">
        <f t="shared" si="0"/>
        <v>46150</v>
      </c>
      <c r="J4" s="48">
        <f t="shared" si="0"/>
        <v>46151</v>
      </c>
      <c r="K4" s="48">
        <f t="shared" si="0"/>
        <v>46152</v>
      </c>
      <c r="L4" s="48">
        <f t="shared" si="0"/>
        <v>46153</v>
      </c>
      <c r="M4" s="48">
        <f t="shared" si="0"/>
        <v>46154</v>
      </c>
      <c r="N4" s="48">
        <f t="shared" si="0"/>
        <v>46155</v>
      </c>
      <c r="O4" s="48">
        <f t="shared" si="0"/>
        <v>46156</v>
      </c>
      <c r="P4" s="48">
        <f t="shared" si="0"/>
        <v>46157</v>
      </c>
      <c r="Q4" s="48">
        <f t="shared" si="0"/>
        <v>46158</v>
      </c>
      <c r="R4" s="48">
        <f t="shared" si="0"/>
        <v>46159</v>
      </c>
      <c r="S4" s="48">
        <f t="shared" si="0"/>
        <v>46160</v>
      </c>
      <c r="T4" s="48">
        <f t="shared" si="0"/>
        <v>46161</v>
      </c>
      <c r="U4" s="48">
        <f t="shared" si="0"/>
        <v>46162</v>
      </c>
      <c r="V4" s="48">
        <f t="shared" si="0"/>
        <v>46163</v>
      </c>
      <c r="W4" s="48">
        <f t="shared" si="0"/>
        <v>46164</v>
      </c>
      <c r="X4" s="48">
        <f t="shared" si="0"/>
        <v>46165</v>
      </c>
      <c r="Y4" s="48">
        <f t="shared" si="0"/>
        <v>46166</v>
      </c>
      <c r="Z4" s="48">
        <f t="shared" si="0"/>
        <v>46167</v>
      </c>
      <c r="AA4" s="48">
        <f t="shared" si="0"/>
        <v>46168</v>
      </c>
      <c r="AB4" s="48">
        <f t="shared" si="0"/>
        <v>46169</v>
      </c>
      <c r="AC4" s="48">
        <f t="shared" si="0"/>
        <v>46170</v>
      </c>
      <c r="AD4" s="48">
        <f t="shared" si="0"/>
        <v>46171</v>
      </c>
      <c r="AE4" s="48">
        <f t="shared" si="0"/>
        <v>46172</v>
      </c>
      <c r="AF4" s="48">
        <f t="shared" si="0"/>
        <v>46173</v>
      </c>
      <c r="AG4" s="80"/>
      <c r="AH4" s="66"/>
      <c r="AI4" s="78"/>
      <c r="AJ4" s="79"/>
      <c r="AK4" s="73"/>
      <c r="AL4" s="28"/>
      <c r="AM4" s="71"/>
      <c r="AN4" s="71"/>
      <c r="AO4" s="2"/>
      <c r="AP4" s="2"/>
    </row>
    <row r="5" spans="1:42" s="3" customFormat="1" ht="24.75" customHeight="1" x14ac:dyDescent="0.55000000000000004">
      <c r="A5" s="9" t="s">
        <v>14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8">
        <f t="shared" ref="AG5:AG35" si="1">SUM(AH5:AK5)</f>
        <v>0</v>
      </c>
      <c r="AH5" s="8">
        <f t="shared" ref="AH5:AH35" si="2">COUNTIF(B5:AF5,"V")+COUNTIF(B5:AF5,"V1")/2+COUNTIF(B5:AF5,"V2")/2</f>
        <v>0</v>
      </c>
      <c r="AI5" s="8">
        <f t="shared" ref="AI5:AI35" si="3">COUNTIF(B5:AF5,"S")+COUNTIF(B5:AF5,"S1")/2+COUNTIF(B5:AF5,"S2")/2</f>
        <v>0</v>
      </c>
      <c r="AJ5" s="8">
        <f t="shared" ref="AJ5:AJ35" si="4">COUNTIF(B5:AF5,"M")</f>
        <v>0</v>
      </c>
      <c r="AK5" s="8">
        <f t="shared" ref="AK5:AK35" si="5">COUNTIF(B5:AF5,"U")</f>
        <v>0</v>
      </c>
      <c r="AL5" s="32"/>
      <c r="AM5" s="41" t="s">
        <v>15</v>
      </c>
      <c r="AN5" s="34" t="s">
        <v>119</v>
      </c>
      <c r="AO5" s="2"/>
      <c r="AP5" s="2"/>
    </row>
    <row r="6" spans="1:42" s="3" customFormat="1" ht="25.15" customHeight="1" x14ac:dyDescent="0.55000000000000004">
      <c r="A6" s="10" t="s">
        <v>37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8">
        <f t="shared" si="1"/>
        <v>0</v>
      </c>
      <c r="AH6" s="8">
        <f t="shared" si="2"/>
        <v>0</v>
      </c>
      <c r="AI6" s="8">
        <f t="shared" si="3"/>
        <v>0</v>
      </c>
      <c r="AJ6" s="8">
        <f t="shared" si="4"/>
        <v>0</v>
      </c>
      <c r="AK6" s="8">
        <f t="shared" si="5"/>
        <v>0</v>
      </c>
      <c r="AL6" s="32"/>
      <c r="AM6" s="42" t="s">
        <v>120</v>
      </c>
      <c r="AN6" s="34" t="s">
        <v>121</v>
      </c>
      <c r="AO6" s="2"/>
      <c r="AP6" s="2"/>
    </row>
    <row r="7" spans="1:42" s="3" customFormat="1" ht="25.15" customHeight="1" x14ac:dyDescent="0.55000000000000004">
      <c r="A7" s="10" t="s">
        <v>17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8">
        <f t="shared" si="1"/>
        <v>0</v>
      </c>
      <c r="AH7" s="8">
        <f t="shared" si="2"/>
        <v>0</v>
      </c>
      <c r="AI7" s="8">
        <f t="shared" si="3"/>
        <v>0</v>
      </c>
      <c r="AJ7" s="8">
        <f t="shared" si="4"/>
        <v>0</v>
      </c>
      <c r="AK7" s="8">
        <f t="shared" si="5"/>
        <v>0</v>
      </c>
      <c r="AL7" s="32"/>
      <c r="AM7" s="43" t="s">
        <v>23</v>
      </c>
      <c r="AN7" s="34" t="s">
        <v>122</v>
      </c>
      <c r="AO7" s="2"/>
      <c r="AP7" s="2"/>
    </row>
    <row r="8" spans="1:42" s="3" customFormat="1" ht="25.15" customHeight="1" x14ac:dyDescent="0.55000000000000004">
      <c r="A8" s="10" t="s">
        <v>41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8">
        <f t="shared" si="1"/>
        <v>0</v>
      </c>
      <c r="AH8" s="8">
        <f t="shared" si="2"/>
        <v>0</v>
      </c>
      <c r="AI8" s="8">
        <f t="shared" si="3"/>
        <v>0</v>
      </c>
      <c r="AJ8" s="8">
        <f t="shared" si="4"/>
        <v>0</v>
      </c>
      <c r="AK8" s="8">
        <f t="shared" si="5"/>
        <v>0</v>
      </c>
      <c r="AL8" s="32"/>
      <c r="AM8" s="44" t="s">
        <v>123</v>
      </c>
      <c r="AN8" s="34" t="s">
        <v>124</v>
      </c>
      <c r="AO8" s="2"/>
      <c r="AP8" s="2"/>
    </row>
    <row r="9" spans="1:42" s="3" customFormat="1" ht="25.15" customHeight="1" x14ac:dyDescent="0.55000000000000004">
      <c r="A9" s="10" t="s">
        <v>36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8">
        <f t="shared" si="1"/>
        <v>0</v>
      </c>
      <c r="AH9" s="8">
        <f t="shared" si="2"/>
        <v>0</v>
      </c>
      <c r="AI9" s="8">
        <f t="shared" si="3"/>
        <v>0</v>
      </c>
      <c r="AJ9" s="8">
        <f t="shared" si="4"/>
        <v>0</v>
      </c>
      <c r="AK9" s="8">
        <f t="shared" si="5"/>
        <v>0</v>
      </c>
      <c r="AL9" s="32"/>
      <c r="AM9" s="38" t="s">
        <v>125</v>
      </c>
      <c r="AN9" s="34" t="s">
        <v>126</v>
      </c>
      <c r="AO9" s="2"/>
      <c r="AP9" s="2"/>
    </row>
    <row r="10" spans="1:42" s="3" customFormat="1" ht="25.15" customHeight="1" x14ac:dyDescent="0.55000000000000004">
      <c r="A10" s="10" t="s">
        <v>46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8">
        <f t="shared" si="1"/>
        <v>0</v>
      </c>
      <c r="AH10" s="8">
        <f t="shared" si="2"/>
        <v>0</v>
      </c>
      <c r="AI10" s="8">
        <f t="shared" si="3"/>
        <v>0</v>
      </c>
      <c r="AJ10" s="8">
        <f t="shared" si="4"/>
        <v>0</v>
      </c>
      <c r="AK10" s="8">
        <f t="shared" si="5"/>
        <v>0</v>
      </c>
      <c r="AL10" s="32"/>
      <c r="AM10" s="39" t="s">
        <v>116</v>
      </c>
      <c r="AN10" s="34" t="s">
        <v>127</v>
      </c>
      <c r="AO10" s="2"/>
      <c r="AP10" s="2"/>
    </row>
    <row r="11" spans="1:42" s="3" customFormat="1" ht="25.15" customHeight="1" x14ac:dyDescent="0.55000000000000004">
      <c r="A11" s="10" t="s">
        <v>43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8">
        <f t="shared" si="1"/>
        <v>0</v>
      </c>
      <c r="AH11" s="8">
        <f t="shared" si="2"/>
        <v>0</v>
      </c>
      <c r="AI11" s="8">
        <f t="shared" si="3"/>
        <v>0</v>
      </c>
      <c r="AJ11" s="8">
        <f t="shared" si="4"/>
        <v>0</v>
      </c>
      <c r="AK11" s="8">
        <f t="shared" si="5"/>
        <v>0</v>
      </c>
      <c r="AL11" s="32"/>
      <c r="AM11" s="11"/>
      <c r="AN11" s="49"/>
      <c r="AO11" s="2"/>
      <c r="AP11" s="2"/>
    </row>
    <row r="12" spans="1:42" s="3" customFormat="1" ht="25.15" customHeight="1" x14ac:dyDescent="0.55000000000000004">
      <c r="A12" s="10" t="s">
        <v>47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8">
        <f t="shared" si="1"/>
        <v>0</v>
      </c>
      <c r="AH12" s="8">
        <f t="shared" si="2"/>
        <v>0</v>
      </c>
      <c r="AI12" s="8">
        <f t="shared" si="3"/>
        <v>0</v>
      </c>
      <c r="AJ12" s="8">
        <f t="shared" si="4"/>
        <v>0</v>
      </c>
      <c r="AK12" s="8">
        <f t="shared" si="5"/>
        <v>0</v>
      </c>
      <c r="AL12" s="32"/>
      <c r="AM12" s="11"/>
      <c r="AN12" s="49"/>
      <c r="AO12" s="2"/>
      <c r="AP12" s="2"/>
    </row>
    <row r="13" spans="1:42" s="3" customFormat="1" ht="25.15" customHeight="1" x14ac:dyDescent="0.55000000000000004">
      <c r="A13" s="10" t="s">
        <v>32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8">
        <f t="shared" si="1"/>
        <v>0</v>
      </c>
      <c r="AH13" s="8">
        <f t="shared" si="2"/>
        <v>0</v>
      </c>
      <c r="AI13" s="8">
        <f t="shared" si="3"/>
        <v>0</v>
      </c>
      <c r="AJ13" s="8">
        <f t="shared" si="4"/>
        <v>0</v>
      </c>
      <c r="AK13" s="8">
        <f t="shared" si="5"/>
        <v>0</v>
      </c>
      <c r="AL13" s="32"/>
      <c r="AM13" s="2"/>
      <c r="AN13" s="2"/>
      <c r="AO13" s="2"/>
      <c r="AP13" s="2"/>
    </row>
    <row r="14" spans="1:42" s="3" customFormat="1" ht="25.15" customHeight="1" x14ac:dyDescent="0.55000000000000004">
      <c r="A14" s="10" t="s">
        <v>40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8">
        <f t="shared" si="1"/>
        <v>0</v>
      </c>
      <c r="AH14" s="8">
        <f t="shared" si="2"/>
        <v>0</v>
      </c>
      <c r="AI14" s="8">
        <f t="shared" si="3"/>
        <v>0</v>
      </c>
      <c r="AJ14" s="8">
        <f t="shared" si="4"/>
        <v>0</v>
      </c>
      <c r="AK14" s="8">
        <f t="shared" si="5"/>
        <v>0</v>
      </c>
      <c r="AL14" s="32"/>
      <c r="AM14" s="2"/>
      <c r="AN14" s="2"/>
      <c r="AO14" s="2"/>
      <c r="AP14" s="2"/>
    </row>
    <row r="15" spans="1:42" s="3" customFormat="1" ht="25.15" customHeight="1" x14ac:dyDescent="0.55000000000000004">
      <c r="A15" s="10" t="s">
        <v>34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8">
        <f t="shared" si="1"/>
        <v>0</v>
      </c>
      <c r="AH15" s="8">
        <f t="shared" si="2"/>
        <v>0</v>
      </c>
      <c r="AI15" s="8">
        <f t="shared" si="3"/>
        <v>0</v>
      </c>
      <c r="AJ15" s="8">
        <f t="shared" si="4"/>
        <v>0</v>
      </c>
      <c r="AK15" s="8">
        <f t="shared" si="5"/>
        <v>0</v>
      </c>
      <c r="AL15" s="2"/>
      <c r="AM15" s="2"/>
      <c r="AN15" s="2"/>
      <c r="AO15" s="2"/>
      <c r="AP15" s="2"/>
    </row>
    <row r="16" spans="1:42" ht="23.5" customHeight="1" x14ac:dyDescent="0.55000000000000004">
      <c r="A16" s="10" t="s">
        <v>29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8">
        <f t="shared" si="1"/>
        <v>0</v>
      </c>
      <c r="AH16" s="8">
        <f t="shared" si="2"/>
        <v>0</v>
      </c>
      <c r="AI16" s="8">
        <f t="shared" si="3"/>
        <v>0</v>
      </c>
      <c r="AJ16" s="8">
        <f t="shared" si="4"/>
        <v>0</v>
      </c>
      <c r="AK16" s="8">
        <f t="shared" si="5"/>
        <v>0</v>
      </c>
      <c r="AO16" s="2"/>
      <c r="AP16" s="2"/>
    </row>
    <row r="17" spans="1:37" ht="23.5" customHeight="1" x14ac:dyDescent="0.55000000000000004">
      <c r="A17" s="10" t="s">
        <v>128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8">
        <f t="shared" si="1"/>
        <v>0</v>
      </c>
      <c r="AH17" s="8">
        <f t="shared" si="2"/>
        <v>0</v>
      </c>
      <c r="AI17" s="8">
        <f t="shared" si="3"/>
        <v>0</v>
      </c>
      <c r="AJ17" s="8">
        <f t="shared" si="4"/>
        <v>0</v>
      </c>
      <c r="AK17" s="8">
        <f t="shared" si="5"/>
        <v>0</v>
      </c>
    </row>
    <row r="18" spans="1:37" ht="23.5" customHeight="1" x14ac:dyDescent="0.55000000000000004">
      <c r="A18" s="10" t="s">
        <v>22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f t="shared" si="4"/>
        <v>0</v>
      </c>
      <c r="AK18" s="8">
        <f t="shared" si="5"/>
        <v>0</v>
      </c>
    </row>
    <row r="19" spans="1:37" ht="23.5" customHeight="1" x14ac:dyDescent="0.55000000000000004">
      <c r="A19" s="10" t="s">
        <v>39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8">
        <f t="shared" si="1"/>
        <v>0</v>
      </c>
      <c r="AH19" s="8">
        <f t="shared" si="2"/>
        <v>0</v>
      </c>
      <c r="AI19" s="8">
        <f t="shared" si="3"/>
        <v>0</v>
      </c>
      <c r="AJ19" s="8">
        <f t="shared" si="4"/>
        <v>0</v>
      </c>
      <c r="AK19" s="8">
        <f t="shared" si="5"/>
        <v>0</v>
      </c>
    </row>
    <row r="20" spans="1:37" ht="23.5" customHeight="1" x14ac:dyDescent="0.55000000000000004">
      <c r="A20" s="10" t="s">
        <v>50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8">
        <f t="shared" si="1"/>
        <v>0</v>
      </c>
      <c r="AH20" s="8">
        <f t="shared" si="2"/>
        <v>0</v>
      </c>
      <c r="AI20" s="8">
        <f t="shared" si="3"/>
        <v>0</v>
      </c>
      <c r="AJ20" s="8">
        <f t="shared" si="4"/>
        <v>0</v>
      </c>
      <c r="AK20" s="8">
        <f t="shared" si="5"/>
        <v>0</v>
      </c>
    </row>
    <row r="21" spans="1:37" ht="23.5" customHeight="1" x14ac:dyDescent="0.55000000000000004">
      <c r="A21" s="10" t="s">
        <v>129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8">
        <f t="shared" si="1"/>
        <v>0</v>
      </c>
      <c r="AH21" s="8">
        <f t="shared" si="2"/>
        <v>0</v>
      </c>
      <c r="AI21" s="8">
        <f t="shared" si="3"/>
        <v>0</v>
      </c>
      <c r="AJ21" s="8">
        <f t="shared" si="4"/>
        <v>0</v>
      </c>
      <c r="AK21" s="8">
        <f t="shared" si="5"/>
        <v>0</v>
      </c>
    </row>
    <row r="22" spans="1:37" ht="23.5" customHeight="1" x14ac:dyDescent="0.55000000000000004">
      <c r="A22" s="10" t="s">
        <v>27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f t="shared" si="4"/>
        <v>0</v>
      </c>
      <c r="AK22" s="8">
        <f t="shared" si="5"/>
        <v>0</v>
      </c>
    </row>
    <row r="23" spans="1:37" ht="23.5" customHeight="1" x14ac:dyDescent="0.55000000000000004">
      <c r="A23" s="10" t="s">
        <v>28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8">
        <f t="shared" si="1"/>
        <v>0</v>
      </c>
      <c r="AH23" s="8">
        <f t="shared" si="2"/>
        <v>0</v>
      </c>
      <c r="AI23" s="8">
        <f t="shared" si="3"/>
        <v>0</v>
      </c>
      <c r="AJ23" s="8">
        <f t="shared" si="4"/>
        <v>0</v>
      </c>
      <c r="AK23" s="8">
        <f t="shared" si="5"/>
        <v>0</v>
      </c>
    </row>
    <row r="24" spans="1:37" ht="23.5" customHeight="1" x14ac:dyDescent="0.55000000000000004">
      <c r="A24" s="10" t="s">
        <v>21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f t="shared" si="4"/>
        <v>0</v>
      </c>
      <c r="AK24" s="8">
        <f t="shared" si="5"/>
        <v>0</v>
      </c>
    </row>
    <row r="25" spans="1:37" ht="23.5" customHeight="1" x14ac:dyDescent="0.55000000000000004">
      <c r="A25" s="10" t="s">
        <v>42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f t="shared" si="4"/>
        <v>0</v>
      </c>
      <c r="AK25" s="8">
        <f t="shared" si="5"/>
        <v>0</v>
      </c>
    </row>
    <row r="26" spans="1:37" ht="23.5" customHeight="1" x14ac:dyDescent="0.55000000000000004">
      <c r="A26" s="10" t="s">
        <v>26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8">
        <f t="shared" si="1"/>
        <v>0</v>
      </c>
      <c r="AH26" s="8">
        <f t="shared" si="2"/>
        <v>0</v>
      </c>
      <c r="AI26" s="8">
        <f t="shared" si="3"/>
        <v>0</v>
      </c>
      <c r="AJ26" s="8">
        <f t="shared" si="4"/>
        <v>0</v>
      </c>
      <c r="AK26" s="8">
        <f t="shared" si="5"/>
        <v>0</v>
      </c>
    </row>
    <row r="27" spans="1:37" ht="23.5" customHeight="1" x14ac:dyDescent="0.55000000000000004">
      <c r="A27" s="10" t="s">
        <v>44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8">
        <f t="shared" si="1"/>
        <v>0</v>
      </c>
      <c r="AH27" s="8">
        <f t="shared" si="2"/>
        <v>0</v>
      </c>
      <c r="AI27" s="8">
        <f t="shared" si="3"/>
        <v>0</v>
      </c>
      <c r="AJ27" s="8">
        <f t="shared" si="4"/>
        <v>0</v>
      </c>
      <c r="AK27" s="8">
        <f t="shared" si="5"/>
        <v>0</v>
      </c>
    </row>
    <row r="28" spans="1:37" ht="23.5" customHeight="1" x14ac:dyDescent="0.55000000000000004">
      <c r="A28" s="10" t="s">
        <v>25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8">
        <f t="shared" si="1"/>
        <v>0</v>
      </c>
      <c r="AH28" s="8">
        <f t="shared" si="2"/>
        <v>0</v>
      </c>
      <c r="AI28" s="8">
        <f t="shared" si="3"/>
        <v>0</v>
      </c>
      <c r="AJ28" s="8">
        <f t="shared" si="4"/>
        <v>0</v>
      </c>
      <c r="AK28" s="8">
        <f t="shared" si="5"/>
        <v>0</v>
      </c>
    </row>
    <row r="29" spans="1:37" ht="23.5" customHeight="1" x14ac:dyDescent="0.55000000000000004">
      <c r="A29" s="10" t="s">
        <v>24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f t="shared" si="4"/>
        <v>0</v>
      </c>
      <c r="AK29" s="8">
        <f t="shared" si="5"/>
        <v>0</v>
      </c>
    </row>
    <row r="30" spans="1:37" ht="23.5" customHeight="1" x14ac:dyDescent="0.55000000000000004">
      <c r="A30" s="10" t="s">
        <v>60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8">
        <f t="shared" si="1"/>
        <v>0</v>
      </c>
      <c r="AH30" s="8">
        <f t="shared" si="2"/>
        <v>0</v>
      </c>
      <c r="AI30" s="8">
        <f t="shared" si="3"/>
        <v>0</v>
      </c>
      <c r="AJ30" s="8">
        <f t="shared" si="4"/>
        <v>0</v>
      </c>
      <c r="AK30" s="8">
        <f t="shared" si="5"/>
        <v>0</v>
      </c>
    </row>
    <row r="31" spans="1:37" ht="23.5" customHeight="1" x14ac:dyDescent="0.55000000000000004">
      <c r="A31" s="10" t="s">
        <v>52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8">
        <f t="shared" si="1"/>
        <v>0</v>
      </c>
      <c r="AH31" s="8">
        <f t="shared" si="2"/>
        <v>0</v>
      </c>
      <c r="AI31" s="8">
        <f t="shared" si="3"/>
        <v>0</v>
      </c>
      <c r="AJ31" s="8">
        <f t="shared" si="4"/>
        <v>0</v>
      </c>
      <c r="AK31" s="8">
        <f t="shared" si="5"/>
        <v>0</v>
      </c>
    </row>
    <row r="32" spans="1:37" ht="23.5" customHeight="1" x14ac:dyDescent="0.55000000000000004">
      <c r="A32" s="10" t="s">
        <v>130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8">
        <f t="shared" si="1"/>
        <v>0</v>
      </c>
      <c r="AH32" s="8">
        <f t="shared" si="2"/>
        <v>0</v>
      </c>
      <c r="AI32" s="8">
        <f t="shared" si="3"/>
        <v>0</v>
      </c>
      <c r="AJ32" s="8">
        <f t="shared" si="4"/>
        <v>0</v>
      </c>
      <c r="AK32" s="8">
        <f t="shared" si="5"/>
        <v>0</v>
      </c>
    </row>
    <row r="33" spans="1:37" ht="23.5" customHeight="1" x14ac:dyDescent="0.55000000000000004">
      <c r="A33" s="10" t="s">
        <v>53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8">
        <f t="shared" si="1"/>
        <v>0</v>
      </c>
      <c r="AH33" s="8">
        <f t="shared" si="2"/>
        <v>0</v>
      </c>
      <c r="AI33" s="8">
        <f t="shared" si="3"/>
        <v>0</v>
      </c>
      <c r="AJ33" s="8">
        <f t="shared" si="4"/>
        <v>0</v>
      </c>
      <c r="AK33" s="8">
        <f t="shared" si="5"/>
        <v>0</v>
      </c>
    </row>
    <row r="34" spans="1:37" ht="23.5" customHeight="1" x14ac:dyDescent="0.55000000000000004">
      <c r="A34" s="10" t="s">
        <v>70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8">
        <f t="shared" si="1"/>
        <v>0</v>
      </c>
      <c r="AH34" s="8">
        <f t="shared" si="2"/>
        <v>0</v>
      </c>
      <c r="AI34" s="8">
        <f t="shared" si="3"/>
        <v>0</v>
      </c>
      <c r="AJ34" s="8">
        <f t="shared" si="4"/>
        <v>0</v>
      </c>
      <c r="AK34" s="8">
        <f t="shared" si="5"/>
        <v>0</v>
      </c>
    </row>
    <row r="35" spans="1:37" ht="23.5" customHeight="1" x14ac:dyDescent="0.55000000000000004">
      <c r="A35" s="10" t="s">
        <v>131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8">
        <f t="shared" si="1"/>
        <v>0</v>
      </c>
      <c r="AH35" s="8">
        <f t="shared" si="2"/>
        <v>0</v>
      </c>
      <c r="AI35" s="8">
        <f t="shared" si="3"/>
        <v>0</v>
      </c>
      <c r="AJ35" s="8">
        <f t="shared" si="4"/>
        <v>0</v>
      </c>
      <c r="AK35" s="8">
        <f t="shared" si="5"/>
        <v>0</v>
      </c>
    </row>
  </sheetData>
  <mergeCells count="9">
    <mergeCell ref="AM3:AM4"/>
    <mergeCell ref="AN3:AN4"/>
    <mergeCell ref="A1:AK2"/>
    <mergeCell ref="A3:A4"/>
    <mergeCell ref="AG3:AG4"/>
    <mergeCell ref="AH3:AH4"/>
    <mergeCell ref="AI3:AI4"/>
    <mergeCell ref="AJ3:AJ4"/>
    <mergeCell ref="AK3:AK4"/>
  </mergeCells>
  <conditionalFormatting sqref="B5:AF35">
    <cfRule type="cellIs" dxfId="40" priority="2" operator="equal">
      <formula>"U"</formula>
    </cfRule>
    <cfRule type="cellIs" dxfId="39" priority="3" operator="equal">
      <formula>"M"</formula>
    </cfRule>
    <cfRule type="beginsWith" dxfId="38" priority="4" operator="beginsWith" text="S">
      <formula>LEFT(B5,1)="S"</formula>
    </cfRule>
    <cfRule type="beginsWith" dxfId="37" priority="5" operator="beginsWith" text="V">
      <formula>LEFT(B5,1)="V"</formula>
    </cfRule>
  </conditionalFormatting>
  <conditionalFormatting sqref="AG5:AK35">
    <cfRule type="cellIs" dxfId="36" priority="1" operator="equal">
      <formula>0</formula>
    </cfRule>
  </conditionalFormatting>
  <dataValidations count="1">
    <dataValidation type="list" allowBlank="1" showInputMessage="1" showErrorMessage="1" sqref="B5:AF35" xr:uid="{00000000-0002-0000-0700-000000000000}">
      <formula1>$AN$5:$AN$12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FE09-BF34-40FC-AEE1-D871C95E21C5}">
  <sheetPr codeName="Sheet8"/>
  <dimension ref="A1:AO37"/>
  <sheetViews>
    <sheetView topLeftCell="A2" zoomScale="80" zoomScaleNormal="80" workbookViewId="0">
      <selection sqref="A1 A1:AJ37"/>
    </sheetView>
  </sheetViews>
  <sheetFormatPr defaultRowHeight="14.5" x14ac:dyDescent="0.35"/>
  <cols>
    <col min="1" max="1" width="27.7265625" customWidth="1"/>
    <col min="2" max="2" width="5.26953125" bestFit="1" customWidth="1"/>
    <col min="3" max="31" width="5.7265625" customWidth="1"/>
    <col min="32" max="32" width="9.1796875" customWidth="1"/>
    <col min="33" max="36" width="11.26953125" customWidth="1"/>
    <col min="37" max="37" width="9.1796875" customWidth="1"/>
    <col min="38" max="38" width="29.26953125" bestFit="1" customWidth="1"/>
  </cols>
  <sheetData>
    <row r="1" spans="1:41" s="3" customFormat="1" ht="25.15" customHeight="1" x14ac:dyDescent="0.35">
      <c r="A1" s="62" t="s">
        <v>139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2"/>
      <c r="AL1" s="2"/>
      <c r="AM1" s="2"/>
      <c r="AN1" s="2"/>
      <c r="AO1" s="2"/>
    </row>
    <row r="2" spans="1:41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2"/>
      <c r="AL2" s="2"/>
      <c r="AM2" s="2"/>
      <c r="AN2" s="2"/>
      <c r="AO2" s="2"/>
    </row>
    <row r="3" spans="1:41" s="3" customFormat="1" ht="25.15" customHeight="1" x14ac:dyDescent="0.35">
      <c r="A3" s="72" t="s">
        <v>136</v>
      </c>
      <c r="B3" s="47" t="str">
        <f>IF(B4="","",INDEX({"Sun";"Mon";"Tue";"Wen";"Thu";"Fri";"Sat"},WEEKDAY(B4,1)))</f>
        <v>Mon</v>
      </c>
      <c r="C3" s="47" t="str">
        <f>IF(C4="","",INDEX({"Sun";"Mon";"Tue";"Wen";"Thu";"Fri";"Sat"},WEEKDAY(C4,1)))</f>
        <v>Tue</v>
      </c>
      <c r="D3" s="47" t="str">
        <f>IF(D4="","",INDEX({"Sun";"Mon";"Tue";"Wen";"Thu";"Fri";"Sat"},WEEKDAY(D4,1)))</f>
        <v>Wen</v>
      </c>
      <c r="E3" s="47" t="str">
        <f>IF(E4="","",INDEX({"Sun";"Mon";"Tue";"Wen";"Thu";"Fri";"Sat"},WEEKDAY(E4,1)))</f>
        <v>Thu</v>
      </c>
      <c r="F3" s="47" t="str">
        <f>IF(F4="","",INDEX({"Sun";"Mon";"Tue";"Wen";"Thu";"Fri";"Sat"},WEEKDAY(F4,1)))</f>
        <v>Fri</v>
      </c>
      <c r="G3" s="47" t="str">
        <f>IF(G4="","",INDEX({"Sun";"Mon";"Tue";"Wen";"Thu";"Fri";"Sat"},WEEKDAY(G4,1)))</f>
        <v>Sat</v>
      </c>
      <c r="H3" s="47" t="str">
        <f>IF(H4="","",INDEX({"Sun";"Mon";"Tue";"Wen";"Thu";"Fri";"Sat"},WEEKDAY(H4,1)))</f>
        <v>Sun</v>
      </c>
      <c r="I3" s="47" t="str">
        <f>IF(I4="","",INDEX({"Sun";"Mon";"Tue";"Wen";"Thu";"Fri";"Sat"},WEEKDAY(I4,1)))</f>
        <v>Mon</v>
      </c>
      <c r="J3" s="47" t="str">
        <f>IF(J4="","",INDEX({"Sun";"Mon";"Tue";"Wen";"Thu";"Fri";"Sat"},WEEKDAY(J4,1)))</f>
        <v>Tue</v>
      </c>
      <c r="K3" s="47" t="str">
        <f>IF(K4="","",INDEX({"Sun";"Mon";"Tue";"Wen";"Thu";"Fri";"Sat"},WEEKDAY(K4,1)))</f>
        <v>Wen</v>
      </c>
      <c r="L3" s="47" t="str">
        <f>IF(L4="","",INDEX({"Sun";"Mon";"Tue";"Wen";"Thu";"Fri";"Sat"},WEEKDAY(L4,1)))</f>
        <v>Thu</v>
      </c>
      <c r="M3" s="47" t="str">
        <f>IF(M4="","",INDEX({"Sun";"Mon";"Tue";"Wen";"Thu";"Fri";"Sat"},WEEKDAY(M4,1)))</f>
        <v>Fri</v>
      </c>
      <c r="N3" s="47" t="str">
        <f>IF(N4="","",INDEX({"Sun";"Mon";"Tue";"Wen";"Thu";"Fri";"Sat"},WEEKDAY(N4,1)))</f>
        <v>Sat</v>
      </c>
      <c r="O3" s="47" t="str">
        <f>IF(O4="","",INDEX({"Sun";"Mon";"Tue";"Wen";"Thu";"Fri";"Sat"},WEEKDAY(O4,1)))</f>
        <v>Sun</v>
      </c>
      <c r="P3" s="47" t="str">
        <f>IF(P4="","",INDEX({"Sun";"Mon";"Tue";"Wen";"Thu";"Fri";"Sat"},WEEKDAY(P4,1)))</f>
        <v>Mon</v>
      </c>
      <c r="Q3" s="47" t="str">
        <f>IF(Q4="","",INDEX({"Sun";"Mon";"Tue";"Wen";"Thu";"Fri";"Sat"},WEEKDAY(Q4,1)))</f>
        <v>Tue</v>
      </c>
      <c r="R3" s="47" t="str">
        <f>IF(R4="","",INDEX({"Sun";"Mon";"Tue";"Wen";"Thu";"Fri";"Sat"},WEEKDAY(R4,1)))</f>
        <v>Wen</v>
      </c>
      <c r="S3" s="47" t="str">
        <f>IF(S4="","",INDEX({"Sun";"Mon";"Tue";"Wen";"Thu";"Fri";"Sat"},WEEKDAY(S4,1)))</f>
        <v>Thu</v>
      </c>
      <c r="T3" s="47" t="str">
        <f>IF(T4="","",INDEX({"Sun";"Mon";"Tue";"Wen";"Thu";"Fri";"Sat"},WEEKDAY(T4,1)))</f>
        <v>Fri</v>
      </c>
      <c r="U3" s="47" t="str">
        <f>IF(U4="","",INDEX({"Sun";"Mon";"Tue";"Wen";"Thu";"Fri";"Sat"},WEEKDAY(U4,1)))</f>
        <v>Sat</v>
      </c>
      <c r="V3" s="47" t="str">
        <f>IF(V4="","",INDEX({"Sun";"Mon";"Tue";"Wen";"Thu";"Fri";"Sat"},WEEKDAY(V4,1)))</f>
        <v>Sun</v>
      </c>
      <c r="W3" s="47" t="str">
        <f>IF(W4="","",INDEX({"Sun";"Mon";"Tue";"Wen";"Thu";"Fri";"Sat"},WEEKDAY(W4,1)))</f>
        <v>Mon</v>
      </c>
      <c r="X3" s="47" t="str">
        <f>IF(X4="","",INDEX({"Sun";"Mon";"Tue";"Wen";"Thu";"Fri";"Sat"},WEEKDAY(X4,1)))</f>
        <v>Tue</v>
      </c>
      <c r="Y3" s="47" t="str">
        <f>IF(Y4="","",INDEX({"Sun";"Mon";"Tue";"Wen";"Thu";"Fri";"Sat"},WEEKDAY(Y4,1)))</f>
        <v>Wen</v>
      </c>
      <c r="Z3" s="47" t="str">
        <f>IF(Z4="","",INDEX({"Sun";"Mon";"Tue";"Wen";"Thu";"Fri";"Sat"},WEEKDAY(Z4,1)))</f>
        <v>Thu</v>
      </c>
      <c r="AA3" s="47" t="str">
        <f>IF(AA4="","",INDEX({"Sun";"Mon";"Tue";"Wen";"Thu";"Fri";"Sat"},WEEKDAY(AA4,1)))</f>
        <v>Fri</v>
      </c>
      <c r="AB3" s="47" t="str">
        <f>IF(AB4="","",INDEX({"Sun";"Mon";"Tue";"Wen";"Thu";"Fri";"Sat"},WEEKDAY(AB4,1)))</f>
        <v>Sat</v>
      </c>
      <c r="AC3" s="47" t="str">
        <f>IF(AC4="","",INDEX({"Sun";"Mon";"Tue";"Wen";"Thu";"Fri";"Sat"},WEEKDAY(AC4,1)))</f>
        <v>Sun</v>
      </c>
      <c r="AD3" s="47" t="str">
        <f>IF(AD4="","",INDEX({"Sun";"Mon";"Tue";"Wen";"Thu";"Fri";"Sat"},WEEKDAY(AD4,1)))</f>
        <v>Mon</v>
      </c>
      <c r="AE3" s="47" t="str">
        <f>IF(AE4="","",INDEX({"Sun";"Mon";"Tue";"Wen";"Thu";"Fri";"Sat"},WEEKDAY(AE4,1)))</f>
        <v>Tue</v>
      </c>
      <c r="AF3" s="77" t="s">
        <v>112</v>
      </c>
      <c r="AG3" s="66" t="s">
        <v>113</v>
      </c>
      <c r="AH3" s="78" t="s">
        <v>133</v>
      </c>
      <c r="AI3" s="79" t="s">
        <v>115</v>
      </c>
      <c r="AJ3" s="73" t="s">
        <v>116</v>
      </c>
      <c r="AK3" s="28"/>
      <c r="AL3" s="70" t="s">
        <v>134</v>
      </c>
      <c r="AM3" s="70" t="s">
        <v>118</v>
      </c>
      <c r="AN3" s="2"/>
      <c r="AO3" s="2"/>
    </row>
    <row r="4" spans="1:41" s="3" customFormat="1" ht="25.15" customHeight="1" x14ac:dyDescent="0.35">
      <c r="A4" s="72"/>
      <c r="B4" s="48">
        <f>DATE(Year!$B$2,6,1)</f>
        <v>46174</v>
      </c>
      <c r="C4" s="48">
        <f t="shared" ref="C4:AE4" si="0">B4+1</f>
        <v>46175</v>
      </c>
      <c r="D4" s="48">
        <f t="shared" si="0"/>
        <v>46176</v>
      </c>
      <c r="E4" s="48">
        <f t="shared" si="0"/>
        <v>46177</v>
      </c>
      <c r="F4" s="48">
        <f t="shared" si="0"/>
        <v>46178</v>
      </c>
      <c r="G4" s="48">
        <f t="shared" si="0"/>
        <v>46179</v>
      </c>
      <c r="H4" s="48">
        <f t="shared" si="0"/>
        <v>46180</v>
      </c>
      <c r="I4" s="48">
        <f t="shared" si="0"/>
        <v>46181</v>
      </c>
      <c r="J4" s="48">
        <f t="shared" si="0"/>
        <v>46182</v>
      </c>
      <c r="K4" s="48">
        <f t="shared" si="0"/>
        <v>46183</v>
      </c>
      <c r="L4" s="48">
        <f t="shared" si="0"/>
        <v>46184</v>
      </c>
      <c r="M4" s="48">
        <f t="shared" si="0"/>
        <v>46185</v>
      </c>
      <c r="N4" s="48">
        <f t="shared" si="0"/>
        <v>46186</v>
      </c>
      <c r="O4" s="48">
        <f t="shared" si="0"/>
        <v>46187</v>
      </c>
      <c r="P4" s="48">
        <f t="shared" si="0"/>
        <v>46188</v>
      </c>
      <c r="Q4" s="48">
        <f t="shared" si="0"/>
        <v>46189</v>
      </c>
      <c r="R4" s="48">
        <f t="shared" si="0"/>
        <v>46190</v>
      </c>
      <c r="S4" s="48">
        <f t="shared" si="0"/>
        <v>46191</v>
      </c>
      <c r="T4" s="48">
        <f t="shared" si="0"/>
        <v>46192</v>
      </c>
      <c r="U4" s="48">
        <f t="shared" si="0"/>
        <v>46193</v>
      </c>
      <c r="V4" s="48">
        <f t="shared" si="0"/>
        <v>46194</v>
      </c>
      <c r="W4" s="48">
        <f t="shared" si="0"/>
        <v>46195</v>
      </c>
      <c r="X4" s="48">
        <f t="shared" si="0"/>
        <v>46196</v>
      </c>
      <c r="Y4" s="48">
        <f t="shared" si="0"/>
        <v>46197</v>
      </c>
      <c r="Z4" s="48">
        <f t="shared" si="0"/>
        <v>46198</v>
      </c>
      <c r="AA4" s="48">
        <f t="shared" si="0"/>
        <v>46199</v>
      </c>
      <c r="AB4" s="48">
        <f t="shared" si="0"/>
        <v>46200</v>
      </c>
      <c r="AC4" s="48">
        <f t="shared" si="0"/>
        <v>46201</v>
      </c>
      <c r="AD4" s="48">
        <f t="shared" si="0"/>
        <v>46202</v>
      </c>
      <c r="AE4" s="48">
        <f t="shared" si="0"/>
        <v>46203</v>
      </c>
      <c r="AF4" s="77"/>
      <c r="AG4" s="66"/>
      <c r="AH4" s="78"/>
      <c r="AI4" s="79"/>
      <c r="AJ4" s="73"/>
      <c r="AK4" s="28"/>
      <c r="AL4" s="71"/>
      <c r="AM4" s="71"/>
      <c r="AN4" s="2"/>
      <c r="AO4" s="2"/>
    </row>
    <row r="5" spans="1:41" s="3" customFormat="1" ht="24.75" customHeight="1" x14ac:dyDescent="0.55000000000000004">
      <c r="A5" s="9" t="s">
        <v>14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8">
        <f t="shared" ref="AF5:AF35" si="1">SUM(AG5:AJ5)</f>
        <v>0</v>
      </c>
      <c r="AG5" s="8">
        <f t="shared" ref="AG5:AG35" si="2">COUNTIF(B5:AE5,"V")+COUNTIF(B5:AE5,"V1")/2+COUNTIF(B5:AE5,"V2")/2</f>
        <v>0</v>
      </c>
      <c r="AH5" s="8">
        <f t="shared" ref="AH5:AH35" si="3">COUNTIF(B5:AE5,"S")+COUNTIF(B5:AE5,"S1")/2+COUNTIF(B5:AE5,"S2")/2</f>
        <v>0</v>
      </c>
      <c r="AI5" s="8">
        <f t="shared" ref="AI5:AI35" si="4">COUNTIF(B5:AE5,"M")</f>
        <v>0</v>
      </c>
      <c r="AJ5" s="8">
        <f t="shared" ref="AJ5:AJ35" si="5">COUNTIF(B5:AE5,"U")</f>
        <v>0</v>
      </c>
      <c r="AK5" s="32"/>
      <c r="AL5" s="41" t="s">
        <v>15</v>
      </c>
      <c r="AM5" s="34" t="s">
        <v>119</v>
      </c>
      <c r="AN5" s="2"/>
      <c r="AO5" s="2"/>
    </row>
    <row r="6" spans="1:41" s="3" customFormat="1" ht="25.15" customHeight="1" x14ac:dyDescent="0.55000000000000004">
      <c r="A6" s="10" t="s">
        <v>37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8">
        <f t="shared" si="1"/>
        <v>0</v>
      </c>
      <c r="AG6" s="8">
        <f t="shared" si="2"/>
        <v>0</v>
      </c>
      <c r="AH6" s="8">
        <f t="shared" si="3"/>
        <v>0</v>
      </c>
      <c r="AI6" s="8">
        <f t="shared" si="4"/>
        <v>0</v>
      </c>
      <c r="AJ6" s="8">
        <f t="shared" si="5"/>
        <v>0</v>
      </c>
      <c r="AK6" s="32"/>
      <c r="AL6" s="42" t="s">
        <v>120</v>
      </c>
      <c r="AM6" s="34" t="s">
        <v>121</v>
      </c>
      <c r="AN6" s="2"/>
      <c r="AO6" s="2"/>
    </row>
    <row r="7" spans="1:41" s="3" customFormat="1" ht="25.15" customHeight="1" x14ac:dyDescent="0.55000000000000004">
      <c r="A7" s="10" t="s">
        <v>17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8">
        <f t="shared" si="1"/>
        <v>0</v>
      </c>
      <c r="AG7" s="8">
        <f t="shared" si="2"/>
        <v>0</v>
      </c>
      <c r="AH7" s="8">
        <f t="shared" si="3"/>
        <v>0</v>
      </c>
      <c r="AI7" s="8">
        <f t="shared" si="4"/>
        <v>0</v>
      </c>
      <c r="AJ7" s="8">
        <f t="shared" si="5"/>
        <v>0</v>
      </c>
      <c r="AK7" s="32"/>
      <c r="AL7" s="43" t="s">
        <v>23</v>
      </c>
      <c r="AM7" s="34" t="s">
        <v>122</v>
      </c>
      <c r="AN7" s="2"/>
      <c r="AO7" s="2"/>
    </row>
    <row r="8" spans="1:41" s="3" customFormat="1" ht="25.15" customHeight="1" x14ac:dyDescent="0.55000000000000004">
      <c r="A8" s="10" t="s">
        <v>41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8">
        <f t="shared" si="1"/>
        <v>0</v>
      </c>
      <c r="AG8" s="8">
        <f t="shared" si="2"/>
        <v>0</v>
      </c>
      <c r="AH8" s="8">
        <f t="shared" si="3"/>
        <v>0</v>
      </c>
      <c r="AI8" s="8">
        <f t="shared" si="4"/>
        <v>0</v>
      </c>
      <c r="AJ8" s="8">
        <f t="shared" si="5"/>
        <v>0</v>
      </c>
      <c r="AK8" s="32"/>
      <c r="AL8" s="44" t="s">
        <v>123</v>
      </c>
      <c r="AM8" s="34" t="s">
        <v>124</v>
      </c>
      <c r="AN8" s="2"/>
      <c r="AO8" s="2"/>
    </row>
    <row r="9" spans="1:41" s="3" customFormat="1" ht="25.15" customHeight="1" x14ac:dyDescent="0.55000000000000004">
      <c r="A9" s="10" t="s">
        <v>36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8">
        <f t="shared" si="1"/>
        <v>0</v>
      </c>
      <c r="AG9" s="8">
        <f t="shared" si="2"/>
        <v>0</v>
      </c>
      <c r="AH9" s="8">
        <f t="shared" si="3"/>
        <v>0</v>
      </c>
      <c r="AI9" s="8">
        <f t="shared" si="4"/>
        <v>0</v>
      </c>
      <c r="AJ9" s="8">
        <f t="shared" si="5"/>
        <v>0</v>
      </c>
      <c r="AK9" s="32"/>
      <c r="AL9" s="38" t="s">
        <v>125</v>
      </c>
      <c r="AM9" s="34" t="s">
        <v>126</v>
      </c>
      <c r="AN9" s="2"/>
      <c r="AO9" s="2"/>
    </row>
    <row r="10" spans="1:41" s="3" customFormat="1" ht="25.15" customHeight="1" x14ac:dyDescent="0.55000000000000004">
      <c r="A10" s="10" t="s">
        <v>46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8">
        <f t="shared" si="1"/>
        <v>0</v>
      </c>
      <c r="AG10" s="8">
        <f t="shared" si="2"/>
        <v>0</v>
      </c>
      <c r="AH10" s="8">
        <f t="shared" si="3"/>
        <v>0</v>
      </c>
      <c r="AI10" s="8">
        <f t="shared" si="4"/>
        <v>0</v>
      </c>
      <c r="AJ10" s="8">
        <f t="shared" si="5"/>
        <v>0</v>
      </c>
      <c r="AK10" s="32"/>
      <c r="AL10" s="39" t="s">
        <v>116</v>
      </c>
      <c r="AM10" s="34" t="s">
        <v>127</v>
      </c>
      <c r="AN10" s="2"/>
      <c r="AO10" s="2"/>
    </row>
    <row r="11" spans="1:41" s="3" customFormat="1" ht="25.15" customHeight="1" x14ac:dyDescent="0.55000000000000004">
      <c r="A11" s="10" t="s">
        <v>43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8">
        <f t="shared" si="1"/>
        <v>0</v>
      </c>
      <c r="AG11" s="8">
        <f t="shared" si="2"/>
        <v>0</v>
      </c>
      <c r="AH11" s="8">
        <f t="shared" si="3"/>
        <v>0</v>
      </c>
      <c r="AI11" s="8">
        <f t="shared" si="4"/>
        <v>0</v>
      </c>
      <c r="AJ11" s="8">
        <f t="shared" si="5"/>
        <v>0</v>
      </c>
      <c r="AK11" s="32"/>
      <c r="AL11" s="11"/>
      <c r="AM11" s="49"/>
      <c r="AN11" s="2"/>
      <c r="AO11" s="2"/>
    </row>
    <row r="12" spans="1:41" s="3" customFormat="1" ht="25.15" customHeight="1" x14ac:dyDescent="0.55000000000000004">
      <c r="A12" s="10" t="s">
        <v>47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8">
        <f t="shared" si="1"/>
        <v>0</v>
      </c>
      <c r="AG12" s="8">
        <f t="shared" si="2"/>
        <v>0</v>
      </c>
      <c r="AH12" s="8">
        <f t="shared" si="3"/>
        <v>0</v>
      </c>
      <c r="AI12" s="8">
        <f t="shared" si="4"/>
        <v>0</v>
      </c>
      <c r="AJ12" s="8">
        <f t="shared" si="5"/>
        <v>0</v>
      </c>
      <c r="AK12" s="32"/>
      <c r="AL12" s="11"/>
      <c r="AM12" s="49"/>
      <c r="AN12" s="2"/>
      <c r="AO12" s="2"/>
    </row>
    <row r="13" spans="1:41" s="3" customFormat="1" ht="25.15" customHeight="1" x14ac:dyDescent="0.55000000000000004">
      <c r="A13" s="10" t="s">
        <v>32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8">
        <f t="shared" si="1"/>
        <v>0</v>
      </c>
      <c r="AG13" s="8">
        <f t="shared" si="2"/>
        <v>0</v>
      </c>
      <c r="AH13" s="8">
        <f t="shared" si="3"/>
        <v>0</v>
      </c>
      <c r="AI13" s="8">
        <f t="shared" si="4"/>
        <v>0</v>
      </c>
      <c r="AJ13" s="8">
        <f t="shared" si="5"/>
        <v>0</v>
      </c>
      <c r="AK13" s="32"/>
      <c r="AL13" s="2"/>
      <c r="AM13" s="2"/>
      <c r="AN13" s="2"/>
      <c r="AO13" s="2"/>
    </row>
    <row r="14" spans="1:41" s="3" customFormat="1" ht="25.15" customHeight="1" x14ac:dyDescent="0.55000000000000004">
      <c r="A14" s="10" t="s">
        <v>40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8">
        <f t="shared" si="1"/>
        <v>0</v>
      </c>
      <c r="AG14" s="8">
        <f t="shared" si="2"/>
        <v>0</v>
      </c>
      <c r="AH14" s="8">
        <f t="shared" si="3"/>
        <v>0</v>
      </c>
      <c r="AI14" s="8">
        <f t="shared" si="4"/>
        <v>0</v>
      </c>
      <c r="AJ14" s="8">
        <f t="shared" si="5"/>
        <v>0</v>
      </c>
      <c r="AK14" s="32"/>
      <c r="AL14" s="2"/>
      <c r="AM14" s="2"/>
      <c r="AN14" s="2"/>
      <c r="AO14" s="2"/>
    </row>
    <row r="15" spans="1:41" s="3" customFormat="1" ht="25.15" customHeight="1" x14ac:dyDescent="0.55000000000000004">
      <c r="A15" s="10" t="s">
        <v>34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8">
        <f t="shared" si="1"/>
        <v>0</v>
      </c>
      <c r="AG15" s="8">
        <f t="shared" si="2"/>
        <v>0</v>
      </c>
      <c r="AH15" s="8">
        <f t="shared" si="3"/>
        <v>0</v>
      </c>
      <c r="AI15" s="8">
        <f t="shared" si="4"/>
        <v>0</v>
      </c>
      <c r="AJ15" s="8">
        <f t="shared" si="5"/>
        <v>0</v>
      </c>
      <c r="AK15" s="2"/>
      <c r="AL15" s="2"/>
      <c r="AM15" s="2"/>
      <c r="AN15" s="2"/>
      <c r="AO15" s="2"/>
    </row>
    <row r="16" spans="1:41" ht="23.5" customHeight="1" x14ac:dyDescent="0.55000000000000004">
      <c r="A16" s="10" t="s">
        <v>29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8">
        <f t="shared" si="1"/>
        <v>0</v>
      </c>
      <c r="AG16" s="8">
        <f t="shared" si="2"/>
        <v>0</v>
      </c>
      <c r="AH16" s="8">
        <f t="shared" si="3"/>
        <v>0</v>
      </c>
      <c r="AI16" s="8">
        <f t="shared" si="4"/>
        <v>0</v>
      </c>
      <c r="AJ16" s="8">
        <f t="shared" si="5"/>
        <v>0</v>
      </c>
      <c r="AN16" s="2"/>
      <c r="AO16" s="2"/>
    </row>
    <row r="17" spans="1:36" ht="23.5" customHeight="1" x14ac:dyDescent="0.55000000000000004">
      <c r="A17" s="10" t="s">
        <v>128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8">
        <f t="shared" si="1"/>
        <v>0</v>
      </c>
      <c r="AG17" s="8">
        <f t="shared" si="2"/>
        <v>0</v>
      </c>
      <c r="AH17" s="8">
        <f t="shared" si="3"/>
        <v>0</v>
      </c>
      <c r="AI17" s="8">
        <f t="shared" si="4"/>
        <v>0</v>
      </c>
      <c r="AJ17" s="8">
        <f t="shared" si="5"/>
        <v>0</v>
      </c>
    </row>
    <row r="18" spans="1:36" ht="23.5" customHeight="1" x14ac:dyDescent="0.55000000000000004">
      <c r="A18" s="10" t="s">
        <v>22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8">
        <f t="shared" si="1"/>
        <v>0</v>
      </c>
      <c r="AG18" s="8">
        <f t="shared" si="2"/>
        <v>0</v>
      </c>
      <c r="AH18" s="8">
        <f t="shared" si="3"/>
        <v>0</v>
      </c>
      <c r="AI18" s="8">
        <f t="shared" si="4"/>
        <v>0</v>
      </c>
      <c r="AJ18" s="8">
        <f t="shared" si="5"/>
        <v>0</v>
      </c>
    </row>
    <row r="19" spans="1:36" ht="23.5" customHeight="1" x14ac:dyDescent="0.55000000000000004">
      <c r="A19" s="10" t="s">
        <v>39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8">
        <f t="shared" si="1"/>
        <v>0</v>
      </c>
      <c r="AG19" s="8">
        <f t="shared" si="2"/>
        <v>0</v>
      </c>
      <c r="AH19" s="8">
        <f t="shared" si="3"/>
        <v>0</v>
      </c>
      <c r="AI19" s="8">
        <f t="shared" si="4"/>
        <v>0</v>
      </c>
      <c r="AJ19" s="8">
        <f t="shared" si="5"/>
        <v>0</v>
      </c>
    </row>
    <row r="20" spans="1:36" ht="23.5" customHeight="1" x14ac:dyDescent="0.55000000000000004">
      <c r="A20" s="10" t="s">
        <v>50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8">
        <f t="shared" si="1"/>
        <v>0</v>
      </c>
      <c r="AG20" s="8">
        <f t="shared" si="2"/>
        <v>0</v>
      </c>
      <c r="AH20" s="8">
        <f t="shared" si="3"/>
        <v>0</v>
      </c>
      <c r="AI20" s="8">
        <f t="shared" si="4"/>
        <v>0</v>
      </c>
      <c r="AJ20" s="8">
        <f t="shared" si="5"/>
        <v>0</v>
      </c>
    </row>
    <row r="21" spans="1:36" ht="23.5" customHeight="1" x14ac:dyDescent="0.55000000000000004">
      <c r="A21" s="10" t="s">
        <v>129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8">
        <f t="shared" si="1"/>
        <v>0</v>
      </c>
      <c r="AG21" s="8">
        <f t="shared" si="2"/>
        <v>0</v>
      </c>
      <c r="AH21" s="8">
        <f t="shared" si="3"/>
        <v>0</v>
      </c>
      <c r="AI21" s="8">
        <f t="shared" si="4"/>
        <v>0</v>
      </c>
      <c r="AJ21" s="8">
        <f t="shared" si="5"/>
        <v>0</v>
      </c>
    </row>
    <row r="22" spans="1:36" ht="23.5" customHeight="1" x14ac:dyDescent="0.55000000000000004">
      <c r="A22" s="10" t="s">
        <v>27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8">
        <f t="shared" si="1"/>
        <v>0</v>
      </c>
      <c r="AG22" s="8">
        <f t="shared" si="2"/>
        <v>0</v>
      </c>
      <c r="AH22" s="8">
        <f t="shared" si="3"/>
        <v>0</v>
      </c>
      <c r="AI22" s="8">
        <f t="shared" si="4"/>
        <v>0</v>
      </c>
      <c r="AJ22" s="8">
        <f t="shared" si="5"/>
        <v>0</v>
      </c>
    </row>
    <row r="23" spans="1:36" ht="23.5" customHeight="1" x14ac:dyDescent="0.55000000000000004">
      <c r="A23" s="10" t="s">
        <v>28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8">
        <f t="shared" si="1"/>
        <v>0</v>
      </c>
      <c r="AG23" s="8">
        <f t="shared" si="2"/>
        <v>0</v>
      </c>
      <c r="AH23" s="8">
        <f t="shared" si="3"/>
        <v>0</v>
      </c>
      <c r="AI23" s="8">
        <f t="shared" si="4"/>
        <v>0</v>
      </c>
      <c r="AJ23" s="8">
        <f t="shared" si="5"/>
        <v>0</v>
      </c>
    </row>
    <row r="24" spans="1:36" ht="23.5" customHeight="1" x14ac:dyDescent="0.55000000000000004">
      <c r="A24" s="10" t="s">
        <v>21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8">
        <f t="shared" si="1"/>
        <v>0</v>
      </c>
      <c r="AG24" s="8">
        <f t="shared" si="2"/>
        <v>0</v>
      </c>
      <c r="AH24" s="8">
        <f t="shared" si="3"/>
        <v>0</v>
      </c>
      <c r="AI24" s="8">
        <f t="shared" si="4"/>
        <v>0</v>
      </c>
      <c r="AJ24" s="8">
        <f t="shared" si="5"/>
        <v>0</v>
      </c>
    </row>
    <row r="25" spans="1:36" ht="23.5" customHeight="1" x14ac:dyDescent="0.55000000000000004">
      <c r="A25" s="10" t="s">
        <v>42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8">
        <f t="shared" si="1"/>
        <v>0</v>
      </c>
      <c r="AG25" s="8">
        <f t="shared" si="2"/>
        <v>0</v>
      </c>
      <c r="AH25" s="8">
        <f t="shared" si="3"/>
        <v>0</v>
      </c>
      <c r="AI25" s="8">
        <f t="shared" si="4"/>
        <v>0</v>
      </c>
      <c r="AJ25" s="8">
        <f t="shared" si="5"/>
        <v>0</v>
      </c>
    </row>
    <row r="26" spans="1:36" ht="23.5" customHeight="1" x14ac:dyDescent="0.55000000000000004">
      <c r="A26" s="10" t="s">
        <v>26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8">
        <f t="shared" si="1"/>
        <v>0</v>
      </c>
      <c r="AG26" s="8">
        <f t="shared" si="2"/>
        <v>0</v>
      </c>
      <c r="AH26" s="8">
        <f t="shared" si="3"/>
        <v>0</v>
      </c>
      <c r="AI26" s="8">
        <f t="shared" si="4"/>
        <v>0</v>
      </c>
      <c r="AJ26" s="8">
        <f t="shared" si="5"/>
        <v>0</v>
      </c>
    </row>
    <row r="27" spans="1:36" ht="23.5" customHeight="1" x14ac:dyDescent="0.55000000000000004">
      <c r="A27" s="10" t="s">
        <v>44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8">
        <f t="shared" si="1"/>
        <v>0</v>
      </c>
      <c r="AG27" s="8">
        <f t="shared" si="2"/>
        <v>0</v>
      </c>
      <c r="AH27" s="8">
        <f t="shared" si="3"/>
        <v>0</v>
      </c>
      <c r="AI27" s="8">
        <f t="shared" si="4"/>
        <v>0</v>
      </c>
      <c r="AJ27" s="8">
        <f t="shared" si="5"/>
        <v>0</v>
      </c>
    </row>
    <row r="28" spans="1:36" ht="23.5" customHeight="1" x14ac:dyDescent="0.55000000000000004">
      <c r="A28" s="10" t="s">
        <v>25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8">
        <f t="shared" si="1"/>
        <v>0</v>
      </c>
      <c r="AG28" s="8">
        <f t="shared" si="2"/>
        <v>0</v>
      </c>
      <c r="AH28" s="8">
        <f t="shared" si="3"/>
        <v>0</v>
      </c>
      <c r="AI28" s="8">
        <f t="shared" si="4"/>
        <v>0</v>
      </c>
      <c r="AJ28" s="8">
        <f t="shared" si="5"/>
        <v>0</v>
      </c>
    </row>
    <row r="29" spans="1:36" ht="23.5" customHeight="1" x14ac:dyDescent="0.55000000000000004">
      <c r="A29" s="10" t="s">
        <v>24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8">
        <f t="shared" si="1"/>
        <v>0</v>
      </c>
      <c r="AG29" s="8">
        <f t="shared" si="2"/>
        <v>0</v>
      </c>
      <c r="AH29" s="8">
        <f t="shared" si="3"/>
        <v>0</v>
      </c>
      <c r="AI29" s="8">
        <f t="shared" si="4"/>
        <v>0</v>
      </c>
      <c r="AJ29" s="8">
        <f t="shared" si="5"/>
        <v>0</v>
      </c>
    </row>
    <row r="30" spans="1:36" ht="23.5" customHeight="1" x14ac:dyDescent="0.55000000000000004">
      <c r="A30" s="10" t="s">
        <v>60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8">
        <f t="shared" si="1"/>
        <v>0</v>
      </c>
      <c r="AG30" s="8">
        <f t="shared" si="2"/>
        <v>0</v>
      </c>
      <c r="AH30" s="8">
        <f t="shared" si="3"/>
        <v>0</v>
      </c>
      <c r="AI30" s="8">
        <f t="shared" si="4"/>
        <v>0</v>
      </c>
      <c r="AJ30" s="8">
        <f t="shared" si="5"/>
        <v>0</v>
      </c>
    </row>
    <row r="31" spans="1:36" ht="23.5" customHeight="1" x14ac:dyDescent="0.55000000000000004">
      <c r="A31" s="10" t="s">
        <v>52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8">
        <f t="shared" si="1"/>
        <v>0</v>
      </c>
      <c r="AG31" s="8">
        <f t="shared" si="2"/>
        <v>0</v>
      </c>
      <c r="AH31" s="8">
        <f t="shared" si="3"/>
        <v>0</v>
      </c>
      <c r="AI31" s="8">
        <f t="shared" si="4"/>
        <v>0</v>
      </c>
      <c r="AJ31" s="8">
        <f t="shared" si="5"/>
        <v>0</v>
      </c>
    </row>
    <row r="32" spans="1:36" ht="23.5" customHeight="1" x14ac:dyDescent="0.55000000000000004">
      <c r="A32" s="10" t="s">
        <v>130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8">
        <f t="shared" si="1"/>
        <v>0</v>
      </c>
      <c r="AG32" s="8">
        <f t="shared" si="2"/>
        <v>0</v>
      </c>
      <c r="AH32" s="8">
        <f t="shared" si="3"/>
        <v>0</v>
      </c>
      <c r="AI32" s="8">
        <f t="shared" si="4"/>
        <v>0</v>
      </c>
      <c r="AJ32" s="8">
        <f t="shared" si="5"/>
        <v>0</v>
      </c>
    </row>
    <row r="33" spans="1:36" ht="23.5" customHeight="1" x14ac:dyDescent="0.55000000000000004">
      <c r="A33" s="10" t="s">
        <v>53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8">
        <f t="shared" si="1"/>
        <v>0</v>
      </c>
      <c r="AG33" s="8">
        <f t="shared" si="2"/>
        <v>0</v>
      </c>
      <c r="AH33" s="8">
        <f t="shared" si="3"/>
        <v>0</v>
      </c>
      <c r="AI33" s="8">
        <f t="shared" si="4"/>
        <v>0</v>
      </c>
      <c r="AJ33" s="8">
        <f t="shared" si="5"/>
        <v>0</v>
      </c>
    </row>
    <row r="34" spans="1:36" ht="23.5" customHeight="1" x14ac:dyDescent="0.55000000000000004">
      <c r="A34" s="10" t="s">
        <v>70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8">
        <f t="shared" si="1"/>
        <v>0</v>
      </c>
      <c r="AG34" s="8">
        <f t="shared" si="2"/>
        <v>0</v>
      </c>
      <c r="AH34" s="8">
        <f t="shared" si="3"/>
        <v>0</v>
      </c>
      <c r="AI34" s="8">
        <f t="shared" si="4"/>
        <v>0</v>
      </c>
      <c r="AJ34" s="8">
        <f t="shared" si="5"/>
        <v>0</v>
      </c>
    </row>
    <row r="35" spans="1:36" ht="23.5" customHeight="1" x14ac:dyDescent="0.55000000000000004">
      <c r="A35" s="10" t="s">
        <v>131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8">
        <f t="shared" si="1"/>
        <v>0</v>
      </c>
      <c r="AG35" s="8">
        <f t="shared" si="2"/>
        <v>0</v>
      </c>
      <c r="AH35" s="8">
        <f t="shared" si="3"/>
        <v>0</v>
      </c>
      <c r="AI35" s="8">
        <f t="shared" si="4"/>
        <v>0</v>
      </c>
      <c r="AJ35" s="8">
        <f t="shared" si="5"/>
        <v>0</v>
      </c>
    </row>
    <row r="36" spans="1:36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</sheetData>
  <mergeCells count="9">
    <mergeCell ref="AL3:AL4"/>
    <mergeCell ref="AM3:AM4"/>
    <mergeCell ref="A1:AJ2"/>
    <mergeCell ref="A3:A4"/>
    <mergeCell ref="AF3:AF4"/>
    <mergeCell ref="AG3:AG4"/>
    <mergeCell ref="AH3:AH4"/>
    <mergeCell ref="AI3:AI4"/>
    <mergeCell ref="AJ3:AJ4"/>
  </mergeCells>
  <conditionalFormatting sqref="B5:AE35">
    <cfRule type="cellIs" dxfId="35" priority="2" operator="equal">
      <formula>"U"</formula>
    </cfRule>
    <cfRule type="cellIs" dxfId="34" priority="3" operator="equal">
      <formula>"M"</formula>
    </cfRule>
    <cfRule type="beginsWith" dxfId="33" priority="4" operator="beginsWith" text="S">
      <formula>LEFT(B5,1)="S"</formula>
    </cfRule>
    <cfRule type="beginsWith" dxfId="32" priority="5" operator="beginsWith" text="V">
      <formula>LEFT(B5,1)="V"</formula>
    </cfRule>
  </conditionalFormatting>
  <conditionalFormatting sqref="AF5:AJ35">
    <cfRule type="cellIs" dxfId="31" priority="1" operator="equal">
      <formula>0</formula>
    </cfRule>
  </conditionalFormatting>
  <dataValidations count="1">
    <dataValidation type="list" allowBlank="1" showInputMessage="1" showErrorMessage="1" sqref="B5:AE35" xr:uid="{00000000-0002-0000-0800-000000000000}">
      <formula1>$AM$5:$AM$12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D698-21D3-437F-9E8B-E41817084236}">
  <sheetPr codeName="Sheet9"/>
  <dimension ref="A1:AP35"/>
  <sheetViews>
    <sheetView topLeftCell="D1" zoomScale="80" zoomScaleNormal="80" workbookViewId="0">
      <selection activeCell="E5" sqref="E5"/>
    </sheetView>
  </sheetViews>
  <sheetFormatPr defaultRowHeight="14.5" x14ac:dyDescent="0.35"/>
  <cols>
    <col min="1" max="1" width="30.54296875" customWidth="1"/>
    <col min="2" max="2" width="5.26953125" bestFit="1" customWidth="1"/>
    <col min="3" max="32" width="5.7265625" customWidth="1"/>
    <col min="33" max="33" width="14.54296875" customWidth="1"/>
    <col min="34" max="37" width="11.26953125" customWidth="1"/>
    <col min="38" max="38" width="9.1796875" customWidth="1"/>
    <col min="39" max="39" width="29.26953125" bestFit="1" customWidth="1"/>
  </cols>
  <sheetData>
    <row r="1" spans="1:42" s="3" customFormat="1" ht="25.15" customHeight="1" x14ac:dyDescent="0.35">
      <c r="A1" s="81" t="s">
        <v>140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2"/>
      <c r="AM1" s="2"/>
      <c r="AN1" s="2"/>
      <c r="AO1" s="2"/>
      <c r="AP1" s="2"/>
    </row>
    <row r="2" spans="1:42" s="3" customFormat="1" ht="25.15" customHeight="1" x14ac:dyDescent="0.3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2"/>
      <c r="AM2" s="2"/>
      <c r="AN2" s="2"/>
      <c r="AO2" s="2"/>
      <c r="AP2" s="2"/>
    </row>
    <row r="3" spans="1:42" s="3" customFormat="1" ht="25.15" customHeight="1" x14ac:dyDescent="0.35">
      <c r="A3" s="83" t="s">
        <v>136</v>
      </c>
      <c r="B3" s="51" t="str">
        <f>IF(B4="","",INDEX({"Sun";"Mon";"Tue";"Wen";"Thu";"Fri";"Sat"},WEEKDAY(B4,1)))</f>
        <v>Wen</v>
      </c>
      <c r="C3" s="51" t="str">
        <f>IF(C4="","",INDEX({"Sun";"Mon";"Tue";"Wen";"Thu";"Fri";"Sat"},WEEKDAY(C4,1)))</f>
        <v>Thu</v>
      </c>
      <c r="D3" s="51" t="str">
        <f>IF(D4="","",INDEX({"Sun";"Mon";"Tue";"Wen";"Thu";"Fri";"Sat"},WEEKDAY(D4,1)))</f>
        <v>Fri</v>
      </c>
      <c r="E3" s="51" t="str">
        <f>IF(E4="","",INDEX({"Sun";"Mon";"Tue";"Wen";"Thu";"Fri";"Sat"},WEEKDAY(E4,1)))</f>
        <v>Sat</v>
      </c>
      <c r="F3" s="51" t="str">
        <f>IF(F4="","",INDEX({"Sun";"Mon";"Tue";"Wen";"Thu";"Fri";"Sat"},WEEKDAY(F4,1)))</f>
        <v>Sun</v>
      </c>
      <c r="G3" s="51" t="str">
        <f>IF(G4="","",INDEX({"Sun";"Mon";"Tue";"Wen";"Thu";"Fri";"Sat"},WEEKDAY(G4,1)))</f>
        <v>Mon</v>
      </c>
      <c r="H3" s="51" t="str">
        <f>IF(H4="","",INDEX({"Sun";"Mon";"Tue";"Wen";"Thu";"Fri";"Sat"},WEEKDAY(H4,1)))</f>
        <v>Tue</v>
      </c>
      <c r="I3" s="51" t="str">
        <f>IF(I4="","",INDEX({"Sun";"Mon";"Tue";"Wen";"Thu";"Fri";"Sat"},WEEKDAY(I4,1)))</f>
        <v>Wen</v>
      </c>
      <c r="J3" s="51" t="str">
        <f>IF(J4="","",INDEX({"Sun";"Mon";"Tue";"Wen";"Thu";"Fri";"Sat"},WEEKDAY(J4,1)))</f>
        <v>Thu</v>
      </c>
      <c r="K3" s="51" t="str">
        <f>IF(K4="","",INDEX({"Sun";"Mon";"Tue";"Wen";"Thu";"Fri";"Sat"},WEEKDAY(K4,1)))</f>
        <v>Fri</v>
      </c>
      <c r="L3" s="51" t="str">
        <f>IF(L4="","",INDEX({"Sun";"Mon";"Tue";"Wen";"Thu";"Fri";"Sat"},WEEKDAY(L4,1)))</f>
        <v>Sat</v>
      </c>
      <c r="M3" s="51" t="str">
        <f>IF(M4="","",INDEX({"Sun";"Mon";"Tue";"Wen";"Thu";"Fri";"Sat"},WEEKDAY(M4,1)))</f>
        <v>Sun</v>
      </c>
      <c r="N3" s="51" t="str">
        <f>IF(N4="","",INDEX({"Sun";"Mon";"Tue";"Wen";"Thu";"Fri";"Sat"},WEEKDAY(N4,1)))</f>
        <v>Mon</v>
      </c>
      <c r="O3" s="51" t="str">
        <f>IF(O4="","",INDEX({"Sun";"Mon";"Tue";"Wen";"Thu";"Fri";"Sat"},WEEKDAY(O4,1)))</f>
        <v>Tue</v>
      </c>
      <c r="P3" s="51" t="str">
        <f>IF(P4="","",INDEX({"Sun";"Mon";"Tue";"Wen";"Thu";"Fri";"Sat"},WEEKDAY(P4,1)))</f>
        <v>Wen</v>
      </c>
      <c r="Q3" s="51" t="str">
        <f>IF(Q4="","",INDEX({"Sun";"Mon";"Tue";"Wen";"Thu";"Fri";"Sat"},WEEKDAY(Q4,1)))</f>
        <v>Thu</v>
      </c>
      <c r="R3" s="51" t="str">
        <f>IF(R4="","",INDEX({"Sun";"Mon";"Tue";"Wen";"Thu";"Fri";"Sat"},WEEKDAY(R4,1)))</f>
        <v>Fri</v>
      </c>
      <c r="S3" s="51" t="str">
        <f>IF(S4="","",INDEX({"Sun";"Mon";"Tue";"Wen";"Thu";"Fri";"Sat"},WEEKDAY(S4,1)))</f>
        <v>Sat</v>
      </c>
      <c r="T3" s="51" t="str">
        <f>IF(T4="","",INDEX({"Sun";"Mon";"Tue";"Wen";"Thu";"Fri";"Sat"},WEEKDAY(T4,1)))</f>
        <v>Sun</v>
      </c>
      <c r="U3" s="51" t="str">
        <f>IF(U4="","",INDEX({"Sun";"Mon";"Tue";"Wen";"Thu";"Fri";"Sat"},WEEKDAY(U4,1)))</f>
        <v>Mon</v>
      </c>
      <c r="V3" s="51" t="str">
        <f>IF(V4="","",INDEX({"Sun";"Mon";"Tue";"Wen";"Thu";"Fri";"Sat"},WEEKDAY(V4,1)))</f>
        <v>Tue</v>
      </c>
      <c r="W3" s="51" t="str">
        <f>IF(W4="","",INDEX({"Sun";"Mon";"Tue";"Wen";"Thu";"Fri";"Sat"},WEEKDAY(W4,1)))</f>
        <v>Wen</v>
      </c>
      <c r="X3" s="51" t="str">
        <f>IF(X4="","",INDEX({"Sun";"Mon";"Tue";"Wen";"Thu";"Fri";"Sat"},WEEKDAY(X4,1)))</f>
        <v>Thu</v>
      </c>
      <c r="Y3" s="51" t="str">
        <f>IF(Y4="","",INDEX({"Sun";"Mon";"Tue";"Wen";"Thu";"Fri";"Sat"},WEEKDAY(Y4,1)))</f>
        <v>Fri</v>
      </c>
      <c r="Z3" s="51" t="str">
        <f>IF(Z4="","",INDEX({"Sun";"Mon";"Tue";"Wen";"Thu";"Fri";"Sat"},WEEKDAY(Z4,1)))</f>
        <v>Sat</v>
      </c>
      <c r="AA3" s="51" t="str">
        <f>IF(AA4="","",INDEX({"Sun";"Mon";"Tue";"Wen";"Thu";"Fri";"Sat"},WEEKDAY(AA4,1)))</f>
        <v>Sun</v>
      </c>
      <c r="AB3" s="51" t="str">
        <f>IF(AB4="","",INDEX({"Sun";"Mon";"Tue";"Wen";"Thu";"Fri";"Sat"},WEEKDAY(AB4,1)))</f>
        <v>Mon</v>
      </c>
      <c r="AC3" s="51" t="str">
        <f>IF(AC4="","",INDEX({"Sun";"Mon";"Tue";"Wen";"Thu";"Fri";"Sat"},WEEKDAY(AC4,1)))</f>
        <v>Tue</v>
      </c>
      <c r="AD3" s="51" t="str">
        <f>IF(AD4="","",INDEX({"Sun";"Mon";"Tue";"Wen";"Thu";"Fri";"Sat"},WEEKDAY(AD4,1)))</f>
        <v>Wen</v>
      </c>
      <c r="AE3" s="51" t="str">
        <f>IF(AE4="","",INDEX({"Sun";"Mon";"Tue";"Wen";"Thu";"Fri";"Sat"},WEEKDAY(AE4,1)))</f>
        <v>Thu</v>
      </c>
      <c r="AF3" s="51" t="str">
        <f>IF(AF4="","",INDEX({"Sun";"Mon";"Tue";"Wen";"Thu";"Fri";"Sat"},WEEKDAY(AF4,1)))</f>
        <v>Fri</v>
      </c>
      <c r="AG3" s="84" t="s">
        <v>112</v>
      </c>
      <c r="AH3" s="85" t="s">
        <v>113</v>
      </c>
      <c r="AI3" s="86" t="s">
        <v>133</v>
      </c>
      <c r="AJ3" s="87" t="s">
        <v>115</v>
      </c>
      <c r="AK3" s="88" t="s">
        <v>116</v>
      </c>
      <c r="AL3" s="28"/>
      <c r="AM3" s="70" t="s">
        <v>134</v>
      </c>
      <c r="AN3" s="70" t="s">
        <v>118</v>
      </c>
      <c r="AO3" s="2"/>
      <c r="AP3" s="2"/>
    </row>
    <row r="4" spans="1:42" s="3" customFormat="1" ht="25.15" customHeight="1" x14ac:dyDescent="0.35">
      <c r="A4" s="83"/>
      <c r="B4" s="52">
        <f>DATE(Year!$B$2,7,1)</f>
        <v>46204</v>
      </c>
      <c r="C4" s="53">
        <f t="shared" ref="C4:AF4" si="0">B4+1</f>
        <v>46205</v>
      </c>
      <c r="D4" s="53">
        <f t="shared" si="0"/>
        <v>46206</v>
      </c>
      <c r="E4" s="53">
        <f t="shared" si="0"/>
        <v>46207</v>
      </c>
      <c r="F4" s="53">
        <f t="shared" si="0"/>
        <v>46208</v>
      </c>
      <c r="G4" s="53">
        <f t="shared" si="0"/>
        <v>46209</v>
      </c>
      <c r="H4" s="53">
        <f t="shared" si="0"/>
        <v>46210</v>
      </c>
      <c r="I4" s="53">
        <f t="shared" si="0"/>
        <v>46211</v>
      </c>
      <c r="J4" s="53">
        <f t="shared" si="0"/>
        <v>46212</v>
      </c>
      <c r="K4" s="53">
        <f t="shared" si="0"/>
        <v>46213</v>
      </c>
      <c r="L4" s="53">
        <f t="shared" si="0"/>
        <v>46214</v>
      </c>
      <c r="M4" s="53">
        <f t="shared" si="0"/>
        <v>46215</v>
      </c>
      <c r="N4" s="53">
        <f t="shared" si="0"/>
        <v>46216</v>
      </c>
      <c r="O4" s="53">
        <f t="shared" si="0"/>
        <v>46217</v>
      </c>
      <c r="P4" s="53">
        <f t="shared" si="0"/>
        <v>46218</v>
      </c>
      <c r="Q4" s="53">
        <f t="shared" si="0"/>
        <v>46219</v>
      </c>
      <c r="R4" s="53">
        <f t="shared" si="0"/>
        <v>46220</v>
      </c>
      <c r="S4" s="53">
        <f t="shared" si="0"/>
        <v>46221</v>
      </c>
      <c r="T4" s="53">
        <f t="shared" si="0"/>
        <v>46222</v>
      </c>
      <c r="U4" s="53">
        <f t="shared" si="0"/>
        <v>46223</v>
      </c>
      <c r="V4" s="53">
        <f t="shared" si="0"/>
        <v>46224</v>
      </c>
      <c r="W4" s="53">
        <f t="shared" si="0"/>
        <v>46225</v>
      </c>
      <c r="X4" s="53">
        <f t="shared" si="0"/>
        <v>46226</v>
      </c>
      <c r="Y4" s="53">
        <f t="shared" si="0"/>
        <v>46227</v>
      </c>
      <c r="Z4" s="53">
        <f t="shared" si="0"/>
        <v>46228</v>
      </c>
      <c r="AA4" s="53">
        <f t="shared" si="0"/>
        <v>46229</v>
      </c>
      <c r="AB4" s="53">
        <f t="shared" si="0"/>
        <v>46230</v>
      </c>
      <c r="AC4" s="53">
        <f t="shared" si="0"/>
        <v>46231</v>
      </c>
      <c r="AD4" s="53">
        <f t="shared" si="0"/>
        <v>46232</v>
      </c>
      <c r="AE4" s="53">
        <f t="shared" si="0"/>
        <v>46233</v>
      </c>
      <c r="AF4" s="53">
        <f t="shared" si="0"/>
        <v>46234</v>
      </c>
      <c r="AG4" s="84"/>
      <c r="AH4" s="85"/>
      <c r="AI4" s="86"/>
      <c r="AJ4" s="87"/>
      <c r="AK4" s="89"/>
      <c r="AL4" s="28"/>
      <c r="AM4" s="71"/>
      <c r="AN4" s="71"/>
      <c r="AO4" s="2"/>
      <c r="AP4" s="2"/>
    </row>
    <row r="5" spans="1:42" s="3" customFormat="1" ht="24.75" customHeight="1" x14ac:dyDescent="0.55000000000000004">
      <c r="A5" s="9" t="s">
        <v>14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8">
        <f t="shared" ref="AG5:AG35" si="1">SUM(AH5:AK5)</f>
        <v>0</v>
      </c>
      <c r="AH5" s="8">
        <f t="shared" ref="AH5:AH35" si="2">COUNTIF(B5:AF5,"V")+COUNTIF(B5:AF5,"V1")/2+COUNTIF(B5:AF5,"V2")/2</f>
        <v>0</v>
      </c>
      <c r="AI5" s="8">
        <f t="shared" ref="AI5:AI35" si="3">COUNTIF(B5:AF5,"S")+COUNTIF(B5:AF5,"S1")/2+COUNTIF(B5:AF5,"S2")/2</f>
        <v>0</v>
      </c>
      <c r="AJ5" s="8">
        <f t="shared" ref="AJ5:AJ35" si="4">COUNTIF(B5:AF5,"M")</f>
        <v>0</v>
      </c>
      <c r="AK5" s="8">
        <f t="shared" ref="AK5:AK35" si="5">COUNTIF(B5:AF5,"U")</f>
        <v>0</v>
      </c>
      <c r="AL5" s="32"/>
      <c r="AM5" s="41" t="s">
        <v>15</v>
      </c>
      <c r="AN5" s="34" t="s">
        <v>119</v>
      </c>
      <c r="AO5" s="2"/>
      <c r="AP5" s="2"/>
    </row>
    <row r="6" spans="1:42" s="3" customFormat="1" ht="25.15" customHeight="1" x14ac:dyDescent="0.55000000000000004">
      <c r="A6" s="10" t="s">
        <v>37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8">
        <f t="shared" si="1"/>
        <v>0</v>
      </c>
      <c r="AH6" s="8">
        <f t="shared" si="2"/>
        <v>0</v>
      </c>
      <c r="AI6" s="8">
        <f t="shared" si="3"/>
        <v>0</v>
      </c>
      <c r="AJ6" s="8">
        <f t="shared" si="4"/>
        <v>0</v>
      </c>
      <c r="AK6" s="8">
        <f t="shared" si="5"/>
        <v>0</v>
      </c>
      <c r="AL6" s="32"/>
      <c r="AM6" s="42" t="s">
        <v>120</v>
      </c>
      <c r="AN6" s="34" t="s">
        <v>121</v>
      </c>
      <c r="AO6" s="2"/>
      <c r="AP6" s="2"/>
    </row>
    <row r="7" spans="1:42" s="3" customFormat="1" ht="25.15" customHeight="1" x14ac:dyDescent="0.55000000000000004">
      <c r="A7" s="10" t="s">
        <v>17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8">
        <f t="shared" si="1"/>
        <v>0</v>
      </c>
      <c r="AH7" s="8">
        <f t="shared" si="2"/>
        <v>0</v>
      </c>
      <c r="AI7" s="8">
        <f t="shared" si="3"/>
        <v>0</v>
      </c>
      <c r="AJ7" s="8">
        <f t="shared" si="4"/>
        <v>0</v>
      </c>
      <c r="AK7" s="8">
        <f t="shared" si="5"/>
        <v>0</v>
      </c>
      <c r="AL7" s="32"/>
      <c r="AM7" s="43" t="s">
        <v>23</v>
      </c>
      <c r="AN7" s="34" t="s">
        <v>122</v>
      </c>
      <c r="AO7" s="2"/>
      <c r="AP7" s="2"/>
    </row>
    <row r="8" spans="1:42" s="3" customFormat="1" ht="25.15" customHeight="1" x14ac:dyDescent="0.55000000000000004">
      <c r="A8" s="10" t="s">
        <v>41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8">
        <f t="shared" si="1"/>
        <v>0</v>
      </c>
      <c r="AH8" s="8">
        <f t="shared" si="2"/>
        <v>0</v>
      </c>
      <c r="AI8" s="8">
        <f t="shared" si="3"/>
        <v>0</v>
      </c>
      <c r="AJ8" s="8">
        <f t="shared" si="4"/>
        <v>0</v>
      </c>
      <c r="AK8" s="8">
        <f t="shared" si="5"/>
        <v>0</v>
      </c>
      <c r="AL8" s="32"/>
      <c r="AM8" s="44" t="s">
        <v>123</v>
      </c>
      <c r="AN8" s="34" t="s">
        <v>124</v>
      </c>
      <c r="AO8" s="2"/>
      <c r="AP8" s="2"/>
    </row>
    <row r="9" spans="1:42" s="3" customFormat="1" ht="25.15" customHeight="1" x14ac:dyDescent="0.55000000000000004">
      <c r="A9" s="10" t="s">
        <v>36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8">
        <f t="shared" si="1"/>
        <v>0</v>
      </c>
      <c r="AH9" s="8">
        <f t="shared" si="2"/>
        <v>0</v>
      </c>
      <c r="AI9" s="8">
        <f t="shared" si="3"/>
        <v>0</v>
      </c>
      <c r="AJ9" s="8">
        <f t="shared" si="4"/>
        <v>0</v>
      </c>
      <c r="AK9" s="8">
        <f t="shared" si="5"/>
        <v>0</v>
      </c>
      <c r="AL9" s="32"/>
      <c r="AM9" s="38" t="s">
        <v>125</v>
      </c>
      <c r="AN9" s="34" t="s">
        <v>126</v>
      </c>
      <c r="AO9" s="2"/>
      <c r="AP9" s="2"/>
    </row>
    <row r="10" spans="1:42" s="3" customFormat="1" ht="25.15" customHeight="1" x14ac:dyDescent="0.55000000000000004">
      <c r="A10" s="10" t="s">
        <v>46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8">
        <f t="shared" si="1"/>
        <v>0</v>
      </c>
      <c r="AH10" s="8">
        <f t="shared" si="2"/>
        <v>0</v>
      </c>
      <c r="AI10" s="8">
        <f t="shared" si="3"/>
        <v>0</v>
      </c>
      <c r="AJ10" s="8">
        <f t="shared" si="4"/>
        <v>0</v>
      </c>
      <c r="AK10" s="8">
        <f t="shared" si="5"/>
        <v>0</v>
      </c>
      <c r="AL10" s="32"/>
      <c r="AM10" s="39" t="s">
        <v>116</v>
      </c>
      <c r="AN10" s="34" t="s">
        <v>127</v>
      </c>
      <c r="AO10" s="2"/>
      <c r="AP10" s="2"/>
    </row>
    <row r="11" spans="1:42" s="3" customFormat="1" ht="25.15" customHeight="1" x14ac:dyDescent="0.55000000000000004">
      <c r="A11" s="10" t="s">
        <v>43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8">
        <f t="shared" si="1"/>
        <v>0</v>
      </c>
      <c r="AH11" s="8">
        <f t="shared" si="2"/>
        <v>0</v>
      </c>
      <c r="AI11" s="8">
        <f t="shared" si="3"/>
        <v>0</v>
      </c>
      <c r="AJ11" s="8">
        <f t="shared" si="4"/>
        <v>0</v>
      </c>
      <c r="AK11" s="8">
        <f t="shared" si="5"/>
        <v>0</v>
      </c>
      <c r="AL11" s="32"/>
      <c r="AM11" s="11"/>
      <c r="AN11" s="49"/>
      <c r="AO11" s="2"/>
      <c r="AP11" s="2"/>
    </row>
    <row r="12" spans="1:42" s="3" customFormat="1" ht="25.15" customHeight="1" x14ac:dyDescent="0.55000000000000004">
      <c r="A12" s="10" t="s">
        <v>47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8">
        <f t="shared" si="1"/>
        <v>0</v>
      </c>
      <c r="AH12" s="8">
        <f t="shared" si="2"/>
        <v>0</v>
      </c>
      <c r="AI12" s="8">
        <f t="shared" si="3"/>
        <v>0</v>
      </c>
      <c r="AJ12" s="8">
        <f t="shared" si="4"/>
        <v>0</v>
      </c>
      <c r="AK12" s="8">
        <f t="shared" si="5"/>
        <v>0</v>
      </c>
      <c r="AL12" s="32"/>
      <c r="AM12" s="11"/>
      <c r="AN12" s="49"/>
      <c r="AO12" s="2"/>
      <c r="AP12" s="2"/>
    </row>
    <row r="13" spans="1:42" s="3" customFormat="1" ht="25.15" customHeight="1" x14ac:dyDescent="0.55000000000000004">
      <c r="A13" s="10" t="s">
        <v>32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8">
        <f t="shared" si="1"/>
        <v>0</v>
      </c>
      <c r="AH13" s="8">
        <f t="shared" si="2"/>
        <v>0</v>
      </c>
      <c r="AI13" s="8">
        <f t="shared" si="3"/>
        <v>0</v>
      </c>
      <c r="AJ13" s="8">
        <f t="shared" si="4"/>
        <v>0</v>
      </c>
      <c r="AK13" s="8">
        <f t="shared" si="5"/>
        <v>0</v>
      </c>
      <c r="AL13" s="32"/>
      <c r="AM13" s="2"/>
      <c r="AN13" s="2"/>
      <c r="AO13" s="2"/>
      <c r="AP13" s="2"/>
    </row>
    <row r="14" spans="1:42" s="3" customFormat="1" ht="25.15" customHeight="1" x14ac:dyDescent="0.55000000000000004">
      <c r="A14" s="10" t="s">
        <v>40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8">
        <f t="shared" si="1"/>
        <v>0</v>
      </c>
      <c r="AH14" s="8">
        <f t="shared" si="2"/>
        <v>0</v>
      </c>
      <c r="AI14" s="8">
        <f t="shared" si="3"/>
        <v>0</v>
      </c>
      <c r="AJ14" s="8">
        <f t="shared" si="4"/>
        <v>0</v>
      </c>
      <c r="AK14" s="8">
        <f t="shared" si="5"/>
        <v>0</v>
      </c>
      <c r="AL14" s="32"/>
      <c r="AM14" s="2"/>
      <c r="AN14" s="2"/>
      <c r="AO14" s="2"/>
      <c r="AP14" s="2"/>
    </row>
    <row r="15" spans="1:42" s="3" customFormat="1" ht="25.15" customHeight="1" x14ac:dyDescent="0.55000000000000004">
      <c r="A15" s="10" t="s">
        <v>34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8">
        <f t="shared" si="1"/>
        <v>0</v>
      </c>
      <c r="AH15" s="8">
        <f t="shared" si="2"/>
        <v>0</v>
      </c>
      <c r="AI15" s="8">
        <f t="shared" si="3"/>
        <v>0</v>
      </c>
      <c r="AJ15" s="8">
        <f t="shared" si="4"/>
        <v>0</v>
      </c>
      <c r="AK15" s="8">
        <f t="shared" si="5"/>
        <v>0</v>
      </c>
      <c r="AL15" s="2"/>
      <c r="AM15" s="2"/>
      <c r="AN15" s="2"/>
      <c r="AO15" s="2"/>
      <c r="AP15" s="2"/>
    </row>
    <row r="16" spans="1:42" ht="23.5" customHeight="1" x14ac:dyDescent="0.55000000000000004">
      <c r="A16" s="10" t="s">
        <v>29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8">
        <f t="shared" si="1"/>
        <v>0</v>
      </c>
      <c r="AH16" s="8">
        <f t="shared" si="2"/>
        <v>0</v>
      </c>
      <c r="AI16" s="8">
        <f t="shared" si="3"/>
        <v>0</v>
      </c>
      <c r="AJ16" s="8">
        <f t="shared" si="4"/>
        <v>0</v>
      </c>
      <c r="AK16" s="8">
        <f t="shared" si="5"/>
        <v>0</v>
      </c>
      <c r="AO16" s="2"/>
      <c r="AP16" s="2"/>
    </row>
    <row r="17" spans="1:37" ht="23.5" customHeight="1" x14ac:dyDescent="0.55000000000000004">
      <c r="A17" s="10" t="s">
        <v>128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8">
        <f t="shared" si="1"/>
        <v>0</v>
      </c>
      <c r="AH17" s="8">
        <f t="shared" si="2"/>
        <v>0</v>
      </c>
      <c r="AI17" s="8">
        <f t="shared" si="3"/>
        <v>0</v>
      </c>
      <c r="AJ17" s="8">
        <f t="shared" si="4"/>
        <v>0</v>
      </c>
      <c r="AK17" s="8">
        <f t="shared" si="5"/>
        <v>0</v>
      </c>
    </row>
    <row r="18" spans="1:37" ht="23.5" customHeight="1" x14ac:dyDescent="0.55000000000000004">
      <c r="A18" s="10" t="s">
        <v>22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f t="shared" si="4"/>
        <v>0</v>
      </c>
      <c r="AK18" s="8">
        <f t="shared" si="5"/>
        <v>0</v>
      </c>
    </row>
    <row r="19" spans="1:37" ht="23.5" customHeight="1" x14ac:dyDescent="0.55000000000000004">
      <c r="A19" s="10" t="s">
        <v>39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8">
        <f t="shared" si="1"/>
        <v>0</v>
      </c>
      <c r="AH19" s="8">
        <f t="shared" si="2"/>
        <v>0</v>
      </c>
      <c r="AI19" s="8">
        <f t="shared" si="3"/>
        <v>0</v>
      </c>
      <c r="AJ19" s="8">
        <f t="shared" si="4"/>
        <v>0</v>
      </c>
      <c r="AK19" s="8">
        <f t="shared" si="5"/>
        <v>0</v>
      </c>
    </row>
    <row r="20" spans="1:37" ht="23.5" customHeight="1" x14ac:dyDescent="0.55000000000000004">
      <c r="A20" s="10" t="s">
        <v>50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8">
        <f t="shared" si="1"/>
        <v>0</v>
      </c>
      <c r="AH20" s="8">
        <f t="shared" si="2"/>
        <v>0</v>
      </c>
      <c r="AI20" s="8">
        <f t="shared" si="3"/>
        <v>0</v>
      </c>
      <c r="AJ20" s="8">
        <f t="shared" si="4"/>
        <v>0</v>
      </c>
      <c r="AK20" s="8">
        <f t="shared" si="5"/>
        <v>0</v>
      </c>
    </row>
    <row r="21" spans="1:37" ht="23.5" customHeight="1" x14ac:dyDescent="0.55000000000000004">
      <c r="A21" s="10" t="s">
        <v>129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8">
        <f t="shared" si="1"/>
        <v>0</v>
      </c>
      <c r="AH21" s="8">
        <f t="shared" si="2"/>
        <v>0</v>
      </c>
      <c r="AI21" s="8">
        <f t="shared" si="3"/>
        <v>0</v>
      </c>
      <c r="AJ21" s="8">
        <f t="shared" si="4"/>
        <v>0</v>
      </c>
      <c r="AK21" s="8">
        <f t="shared" si="5"/>
        <v>0</v>
      </c>
    </row>
    <row r="22" spans="1:37" ht="23.5" customHeight="1" x14ac:dyDescent="0.55000000000000004">
      <c r="A22" s="10" t="s">
        <v>27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f t="shared" si="4"/>
        <v>0</v>
      </c>
      <c r="AK22" s="8">
        <f t="shared" si="5"/>
        <v>0</v>
      </c>
    </row>
    <row r="23" spans="1:37" ht="23.5" customHeight="1" x14ac:dyDescent="0.55000000000000004">
      <c r="A23" s="10" t="s">
        <v>28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8">
        <f t="shared" si="1"/>
        <v>0</v>
      </c>
      <c r="AH23" s="8">
        <f t="shared" si="2"/>
        <v>0</v>
      </c>
      <c r="AI23" s="8">
        <f t="shared" si="3"/>
        <v>0</v>
      </c>
      <c r="AJ23" s="8">
        <f t="shared" si="4"/>
        <v>0</v>
      </c>
      <c r="AK23" s="8">
        <f t="shared" si="5"/>
        <v>0</v>
      </c>
    </row>
    <row r="24" spans="1:37" ht="23.5" customHeight="1" x14ac:dyDescent="0.55000000000000004">
      <c r="A24" s="10" t="s">
        <v>21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f t="shared" si="4"/>
        <v>0</v>
      </c>
      <c r="AK24" s="8">
        <f t="shared" si="5"/>
        <v>0</v>
      </c>
    </row>
    <row r="25" spans="1:37" ht="23.5" customHeight="1" x14ac:dyDescent="0.55000000000000004">
      <c r="A25" s="10" t="s">
        <v>42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f t="shared" si="4"/>
        <v>0</v>
      </c>
      <c r="AK25" s="8">
        <f t="shared" si="5"/>
        <v>0</v>
      </c>
    </row>
    <row r="26" spans="1:37" ht="23.5" customHeight="1" x14ac:dyDescent="0.55000000000000004">
      <c r="A26" s="10" t="s">
        <v>26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8">
        <f t="shared" si="1"/>
        <v>0</v>
      </c>
      <c r="AH26" s="8">
        <f t="shared" si="2"/>
        <v>0</v>
      </c>
      <c r="AI26" s="8">
        <f t="shared" si="3"/>
        <v>0</v>
      </c>
      <c r="AJ26" s="8">
        <f t="shared" si="4"/>
        <v>0</v>
      </c>
      <c r="AK26" s="8">
        <f t="shared" si="5"/>
        <v>0</v>
      </c>
    </row>
    <row r="27" spans="1:37" ht="23.5" customHeight="1" x14ac:dyDescent="0.55000000000000004">
      <c r="A27" s="10" t="s">
        <v>44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8">
        <f t="shared" si="1"/>
        <v>0</v>
      </c>
      <c r="AH27" s="8">
        <f t="shared" si="2"/>
        <v>0</v>
      </c>
      <c r="AI27" s="8">
        <f t="shared" si="3"/>
        <v>0</v>
      </c>
      <c r="AJ27" s="8">
        <f t="shared" si="4"/>
        <v>0</v>
      </c>
      <c r="AK27" s="8">
        <f t="shared" si="5"/>
        <v>0</v>
      </c>
    </row>
    <row r="28" spans="1:37" ht="23.5" customHeight="1" x14ac:dyDescent="0.55000000000000004">
      <c r="A28" s="10" t="s">
        <v>25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8">
        <f t="shared" si="1"/>
        <v>0</v>
      </c>
      <c r="AH28" s="8">
        <f t="shared" si="2"/>
        <v>0</v>
      </c>
      <c r="AI28" s="8">
        <f t="shared" si="3"/>
        <v>0</v>
      </c>
      <c r="AJ28" s="8">
        <f t="shared" si="4"/>
        <v>0</v>
      </c>
      <c r="AK28" s="8">
        <f t="shared" si="5"/>
        <v>0</v>
      </c>
    </row>
    <row r="29" spans="1:37" ht="23.5" customHeight="1" x14ac:dyDescent="0.55000000000000004">
      <c r="A29" s="10" t="s">
        <v>24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f t="shared" si="4"/>
        <v>0</v>
      </c>
      <c r="AK29" s="8">
        <f t="shared" si="5"/>
        <v>0</v>
      </c>
    </row>
    <row r="30" spans="1:37" ht="23.5" customHeight="1" x14ac:dyDescent="0.55000000000000004">
      <c r="A30" s="10" t="s">
        <v>60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8">
        <f t="shared" si="1"/>
        <v>0</v>
      </c>
      <c r="AH30" s="8">
        <f t="shared" si="2"/>
        <v>0</v>
      </c>
      <c r="AI30" s="8">
        <f t="shared" si="3"/>
        <v>0</v>
      </c>
      <c r="AJ30" s="8">
        <f t="shared" si="4"/>
        <v>0</v>
      </c>
      <c r="AK30" s="8">
        <f t="shared" si="5"/>
        <v>0</v>
      </c>
    </row>
    <row r="31" spans="1:37" ht="23.5" customHeight="1" x14ac:dyDescent="0.55000000000000004">
      <c r="A31" s="10" t="s">
        <v>52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8">
        <f t="shared" si="1"/>
        <v>0</v>
      </c>
      <c r="AH31" s="8">
        <f t="shared" si="2"/>
        <v>0</v>
      </c>
      <c r="AI31" s="8">
        <f t="shared" si="3"/>
        <v>0</v>
      </c>
      <c r="AJ31" s="8">
        <f t="shared" si="4"/>
        <v>0</v>
      </c>
      <c r="AK31" s="8">
        <f t="shared" si="5"/>
        <v>0</v>
      </c>
    </row>
    <row r="32" spans="1:37" ht="23.5" customHeight="1" x14ac:dyDescent="0.55000000000000004">
      <c r="A32" s="10" t="s">
        <v>130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8">
        <f t="shared" si="1"/>
        <v>0</v>
      </c>
      <c r="AH32" s="8">
        <f t="shared" si="2"/>
        <v>0</v>
      </c>
      <c r="AI32" s="8">
        <f t="shared" si="3"/>
        <v>0</v>
      </c>
      <c r="AJ32" s="8">
        <f t="shared" si="4"/>
        <v>0</v>
      </c>
      <c r="AK32" s="8">
        <f t="shared" si="5"/>
        <v>0</v>
      </c>
    </row>
    <row r="33" spans="1:37" ht="23.5" customHeight="1" x14ac:dyDescent="0.55000000000000004">
      <c r="A33" s="10" t="s">
        <v>53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8">
        <f t="shared" si="1"/>
        <v>0</v>
      </c>
      <c r="AH33" s="8">
        <f t="shared" si="2"/>
        <v>0</v>
      </c>
      <c r="AI33" s="8">
        <f t="shared" si="3"/>
        <v>0</v>
      </c>
      <c r="AJ33" s="8">
        <f t="shared" si="4"/>
        <v>0</v>
      </c>
      <c r="AK33" s="8">
        <f t="shared" si="5"/>
        <v>0</v>
      </c>
    </row>
    <row r="34" spans="1:37" ht="23.5" customHeight="1" x14ac:dyDescent="0.55000000000000004">
      <c r="A34" s="10" t="s">
        <v>70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8">
        <f t="shared" si="1"/>
        <v>0</v>
      </c>
      <c r="AH34" s="8">
        <f t="shared" si="2"/>
        <v>0</v>
      </c>
      <c r="AI34" s="8">
        <f t="shared" si="3"/>
        <v>0</v>
      </c>
      <c r="AJ34" s="8">
        <f t="shared" si="4"/>
        <v>0</v>
      </c>
      <c r="AK34" s="8">
        <f t="shared" si="5"/>
        <v>0</v>
      </c>
    </row>
    <row r="35" spans="1:37" ht="23.5" customHeight="1" x14ac:dyDescent="0.55000000000000004">
      <c r="A35" s="10" t="s">
        <v>131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8">
        <f t="shared" si="1"/>
        <v>0</v>
      </c>
      <c r="AH35" s="8">
        <f t="shared" si="2"/>
        <v>0</v>
      </c>
      <c r="AI35" s="8">
        <f t="shared" si="3"/>
        <v>0</v>
      </c>
      <c r="AJ35" s="8">
        <f t="shared" si="4"/>
        <v>0</v>
      </c>
      <c r="AK35" s="8">
        <f t="shared" si="5"/>
        <v>0</v>
      </c>
    </row>
  </sheetData>
  <mergeCells count="9">
    <mergeCell ref="AM3:AM4"/>
    <mergeCell ref="AN3:AN4"/>
    <mergeCell ref="A1:AK2"/>
    <mergeCell ref="A3:A4"/>
    <mergeCell ref="AG3:AG4"/>
    <mergeCell ref="AH3:AH4"/>
    <mergeCell ref="AI3:AI4"/>
    <mergeCell ref="AJ3:AJ4"/>
    <mergeCell ref="AK3:AK4"/>
  </mergeCells>
  <conditionalFormatting sqref="B5:AF35">
    <cfRule type="cellIs" dxfId="30" priority="2" operator="equal">
      <formula>"U"</formula>
    </cfRule>
    <cfRule type="cellIs" dxfId="29" priority="3" operator="equal">
      <formula>"M"</formula>
    </cfRule>
    <cfRule type="beginsWith" dxfId="28" priority="4" operator="beginsWith" text="S">
      <formula>LEFT(B5,1)="S"</formula>
    </cfRule>
    <cfRule type="beginsWith" dxfId="27" priority="5" operator="beginsWith" text="V">
      <formula>LEFT(B5,1)="V"</formula>
    </cfRule>
  </conditionalFormatting>
  <conditionalFormatting sqref="AG5:AK35">
    <cfRule type="cellIs" dxfId="26" priority="1" operator="equal">
      <formula>0</formula>
    </cfRule>
  </conditionalFormatting>
  <dataValidations count="1">
    <dataValidation type="list" allowBlank="1" showInputMessage="1" showErrorMessage="1" sqref="B5:AF35" xr:uid="{00000000-0002-0000-0900-000000000000}">
      <formula1>$AN$5:$AN$12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6AB9-35DB-439F-BC93-EB4AD94E3BD5}">
  <sheetPr codeName="Sheet10"/>
  <dimension ref="A1:AP35"/>
  <sheetViews>
    <sheetView topLeftCell="A15" zoomScale="51" zoomScaleNormal="80" workbookViewId="0">
      <selection activeCell="AJ12" sqref="AJ12"/>
    </sheetView>
  </sheetViews>
  <sheetFormatPr defaultRowHeight="14.5" x14ac:dyDescent="0.35"/>
  <cols>
    <col min="1" max="1" width="33.7265625" customWidth="1"/>
    <col min="2" max="2" width="5.26953125" bestFit="1" customWidth="1"/>
    <col min="3" max="32" width="5.7265625" customWidth="1"/>
    <col min="33" max="33" width="9.1796875" customWidth="1"/>
    <col min="34" max="37" width="11.26953125" customWidth="1"/>
    <col min="38" max="38" width="9.1796875" customWidth="1"/>
    <col min="39" max="39" width="29.26953125" bestFit="1" customWidth="1"/>
  </cols>
  <sheetData>
    <row r="1" spans="1:42" s="3" customFormat="1" ht="25.15" customHeight="1" x14ac:dyDescent="0.35">
      <c r="A1" s="62" t="s">
        <v>141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2"/>
      <c r="AM1" s="2"/>
      <c r="AN1" s="2"/>
      <c r="AO1" s="2"/>
      <c r="AP1" s="2"/>
    </row>
    <row r="2" spans="1:42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2"/>
      <c r="AM2" s="2"/>
      <c r="AN2" s="2"/>
      <c r="AO2" s="2"/>
      <c r="AP2" s="2"/>
    </row>
    <row r="3" spans="1:42" s="3" customFormat="1" ht="25.15" customHeight="1" x14ac:dyDescent="0.35">
      <c r="A3" s="72" t="s">
        <v>136</v>
      </c>
      <c r="B3" s="47" t="str">
        <f>IF(B4="","",INDEX({"Sun";"Mon";"Tue";"Wen";"Thu";"Fri";"Sat"},WEEKDAY(B4,1)))</f>
        <v>Sat</v>
      </c>
      <c r="C3" s="47" t="str">
        <f>IF(C4="","",INDEX({"Sun";"Mon";"Tue";"Wen";"Thu";"Fri";"Sat"},WEEKDAY(C4,1)))</f>
        <v>Sun</v>
      </c>
      <c r="D3" s="47" t="str">
        <f>IF(D4="","",INDEX({"Sun";"Mon";"Tue";"Wen";"Thu";"Fri";"Sat"},WEEKDAY(D4,1)))</f>
        <v>Mon</v>
      </c>
      <c r="E3" s="47" t="str">
        <f>IF(E4="","",INDEX({"Sun";"Mon";"Tue";"Wen";"Thu";"Fri";"Sat"},WEEKDAY(E4,1)))</f>
        <v>Tue</v>
      </c>
      <c r="F3" s="47" t="str">
        <f>IF(F4="","",INDEX({"Sun";"Mon";"Tue";"Wen";"Thu";"Fri";"Sat"},WEEKDAY(F4,1)))</f>
        <v>Wen</v>
      </c>
      <c r="G3" s="47" t="str">
        <f>IF(G4="","",INDEX({"Sun";"Mon";"Tue";"Wen";"Thu";"Fri";"Sat"},WEEKDAY(G4,1)))</f>
        <v>Thu</v>
      </c>
      <c r="H3" s="47" t="str">
        <f>IF(H4="","",INDEX({"Sun";"Mon";"Tue";"Wen";"Thu";"Fri";"Sat"},WEEKDAY(H4,1)))</f>
        <v>Fri</v>
      </c>
      <c r="I3" s="47" t="str">
        <f>IF(I4="","",INDEX({"Sun";"Mon";"Tue";"Wen";"Thu";"Fri";"Sat"},WEEKDAY(I4,1)))</f>
        <v>Sat</v>
      </c>
      <c r="J3" s="47" t="str">
        <f>IF(J4="","",INDEX({"Sun";"Mon";"Tue";"Wen";"Thu";"Fri";"Sat"},WEEKDAY(J4,1)))</f>
        <v>Sun</v>
      </c>
      <c r="K3" s="47" t="str">
        <f>IF(K4="","",INDEX({"Sun";"Mon";"Tue";"Wen";"Thu";"Fri";"Sat"},WEEKDAY(K4,1)))</f>
        <v>Mon</v>
      </c>
      <c r="L3" s="47" t="str">
        <f>IF(L4="","",INDEX({"Sun";"Mon";"Tue";"Wen";"Thu";"Fri";"Sat"},WEEKDAY(L4,1)))</f>
        <v>Tue</v>
      </c>
      <c r="M3" s="47" t="str">
        <f>IF(M4="","",INDEX({"Sun";"Mon";"Tue";"Wen";"Thu";"Fri";"Sat"},WEEKDAY(M4,1)))</f>
        <v>Wen</v>
      </c>
      <c r="N3" s="47" t="str">
        <f>IF(N4="","",INDEX({"Sun";"Mon";"Tue";"Wen";"Thu";"Fri";"Sat"},WEEKDAY(N4,1)))</f>
        <v>Thu</v>
      </c>
      <c r="O3" s="47" t="str">
        <f>IF(O4="","",INDEX({"Sun";"Mon";"Tue";"Wen";"Thu";"Fri";"Sat"},WEEKDAY(O4,1)))</f>
        <v>Fri</v>
      </c>
      <c r="P3" s="47" t="str">
        <f>IF(P4="","",INDEX({"Sun";"Mon";"Tue";"Wen";"Thu";"Fri";"Sat"},WEEKDAY(P4,1)))</f>
        <v>Sat</v>
      </c>
      <c r="Q3" s="47" t="str">
        <f>IF(Q4="","",INDEX({"Sun";"Mon";"Tue";"Wen";"Thu";"Fri";"Sat"},WEEKDAY(Q4,1)))</f>
        <v>Sun</v>
      </c>
      <c r="R3" s="47" t="str">
        <f>IF(R4="","",INDEX({"Sun";"Mon";"Tue";"Wen";"Thu";"Fri";"Sat"},WEEKDAY(R4,1)))</f>
        <v>Mon</v>
      </c>
      <c r="S3" s="47" t="str">
        <f>IF(S4="","",INDEX({"Sun";"Mon";"Tue";"Wen";"Thu";"Fri";"Sat"},WEEKDAY(S4,1)))</f>
        <v>Tue</v>
      </c>
      <c r="T3" s="47" t="str">
        <f>IF(T4="","",INDEX({"Sun";"Mon";"Tue";"Wen";"Thu";"Fri";"Sat"},WEEKDAY(T4,1)))</f>
        <v>Wen</v>
      </c>
      <c r="U3" s="47" t="str">
        <f>IF(U4="","",INDEX({"Sun";"Mon";"Tue";"Wen";"Thu";"Fri";"Sat"},WEEKDAY(U4,1)))</f>
        <v>Thu</v>
      </c>
      <c r="V3" s="47" t="str">
        <f>IF(V4="","",INDEX({"Sun";"Mon";"Tue";"Wen";"Thu";"Fri";"Sat"},WEEKDAY(V4,1)))</f>
        <v>Fri</v>
      </c>
      <c r="W3" s="47" t="str">
        <f>IF(W4="","",INDEX({"Sun";"Mon";"Tue";"Wen";"Thu";"Fri";"Sat"},WEEKDAY(W4,1)))</f>
        <v>Sat</v>
      </c>
      <c r="X3" s="47" t="str">
        <f>IF(X4="","",INDEX({"Sun";"Mon";"Tue";"Wen";"Thu";"Fri";"Sat"},WEEKDAY(X4,1)))</f>
        <v>Sun</v>
      </c>
      <c r="Y3" s="47" t="str">
        <f>IF(Y4="","",INDEX({"Sun";"Mon";"Tue";"Wen";"Thu";"Fri";"Sat"},WEEKDAY(Y4,1)))</f>
        <v>Mon</v>
      </c>
      <c r="Z3" s="47" t="str">
        <f>IF(Z4="","",INDEX({"Sun";"Mon";"Tue";"Wen";"Thu";"Fri";"Sat"},WEEKDAY(Z4,1)))</f>
        <v>Tue</v>
      </c>
      <c r="AA3" s="47" t="str">
        <f>IF(AA4="","",INDEX({"Sun";"Mon";"Tue";"Wen";"Thu";"Fri";"Sat"},WEEKDAY(AA4,1)))</f>
        <v>Wen</v>
      </c>
      <c r="AB3" s="47" t="str">
        <f>IF(AB4="","",INDEX({"Sun";"Mon";"Tue";"Wen";"Thu";"Fri";"Sat"},WEEKDAY(AB4,1)))</f>
        <v>Thu</v>
      </c>
      <c r="AC3" s="47" t="str">
        <f>IF(AC4="","",INDEX({"Sun";"Mon";"Tue";"Wen";"Thu";"Fri";"Sat"},WEEKDAY(AC4,1)))</f>
        <v>Fri</v>
      </c>
      <c r="AD3" s="47" t="str">
        <f>IF(AD4="","",INDEX({"Sun";"Mon";"Tue";"Wen";"Thu";"Fri";"Sat"},WEEKDAY(AD4,1)))</f>
        <v>Sat</v>
      </c>
      <c r="AE3" s="47" t="str">
        <f>IF(AE4="","",INDEX({"Sun";"Mon";"Tue";"Wen";"Thu";"Fri";"Sat"},WEEKDAY(AE4,1)))</f>
        <v>Sun</v>
      </c>
      <c r="AF3" s="47" t="str">
        <f>IF(AF4="","",INDEX({"Sun";"Mon";"Tue";"Wen";"Thu";"Fri";"Sat"},WEEKDAY(AF4,1)))</f>
        <v>Mon</v>
      </c>
      <c r="AG3" s="80" t="s">
        <v>112</v>
      </c>
      <c r="AH3" s="66" t="s">
        <v>113</v>
      </c>
      <c r="AI3" s="78" t="s">
        <v>133</v>
      </c>
      <c r="AJ3" s="79" t="s">
        <v>115</v>
      </c>
      <c r="AK3" s="73" t="s">
        <v>116</v>
      </c>
      <c r="AL3" s="28"/>
      <c r="AM3" s="70" t="s">
        <v>134</v>
      </c>
      <c r="AN3" s="70" t="s">
        <v>118</v>
      </c>
      <c r="AO3" s="2"/>
      <c r="AP3" s="2"/>
    </row>
    <row r="4" spans="1:42" s="3" customFormat="1" ht="25.15" customHeight="1" x14ac:dyDescent="0.35">
      <c r="A4" s="72"/>
      <c r="B4" s="48">
        <f>DATE(Year!$B$2,8,1)</f>
        <v>46235</v>
      </c>
      <c r="C4" s="48">
        <f t="shared" ref="C4:AF4" si="0">B4+1</f>
        <v>46236</v>
      </c>
      <c r="D4" s="48">
        <f t="shared" si="0"/>
        <v>46237</v>
      </c>
      <c r="E4" s="48">
        <f t="shared" si="0"/>
        <v>46238</v>
      </c>
      <c r="F4" s="48">
        <f t="shared" si="0"/>
        <v>46239</v>
      </c>
      <c r="G4" s="48">
        <f t="shared" si="0"/>
        <v>46240</v>
      </c>
      <c r="H4" s="48">
        <f t="shared" si="0"/>
        <v>46241</v>
      </c>
      <c r="I4" s="48">
        <f t="shared" si="0"/>
        <v>46242</v>
      </c>
      <c r="J4" s="48">
        <f t="shared" si="0"/>
        <v>46243</v>
      </c>
      <c r="K4" s="48">
        <f t="shared" si="0"/>
        <v>46244</v>
      </c>
      <c r="L4" s="48">
        <f t="shared" si="0"/>
        <v>46245</v>
      </c>
      <c r="M4" s="48">
        <f t="shared" si="0"/>
        <v>46246</v>
      </c>
      <c r="N4" s="48">
        <f t="shared" si="0"/>
        <v>46247</v>
      </c>
      <c r="O4" s="48">
        <f t="shared" si="0"/>
        <v>46248</v>
      </c>
      <c r="P4" s="48">
        <f t="shared" si="0"/>
        <v>46249</v>
      </c>
      <c r="Q4" s="48">
        <f t="shared" si="0"/>
        <v>46250</v>
      </c>
      <c r="R4" s="48">
        <f t="shared" si="0"/>
        <v>46251</v>
      </c>
      <c r="S4" s="48">
        <f t="shared" si="0"/>
        <v>46252</v>
      </c>
      <c r="T4" s="48">
        <f t="shared" si="0"/>
        <v>46253</v>
      </c>
      <c r="U4" s="48">
        <f t="shared" si="0"/>
        <v>46254</v>
      </c>
      <c r="V4" s="48">
        <f t="shared" si="0"/>
        <v>46255</v>
      </c>
      <c r="W4" s="48">
        <f t="shared" si="0"/>
        <v>46256</v>
      </c>
      <c r="X4" s="48">
        <f t="shared" si="0"/>
        <v>46257</v>
      </c>
      <c r="Y4" s="48">
        <f t="shared" si="0"/>
        <v>46258</v>
      </c>
      <c r="Z4" s="48">
        <f t="shared" si="0"/>
        <v>46259</v>
      </c>
      <c r="AA4" s="48">
        <f t="shared" si="0"/>
        <v>46260</v>
      </c>
      <c r="AB4" s="48">
        <f t="shared" si="0"/>
        <v>46261</v>
      </c>
      <c r="AC4" s="48">
        <f t="shared" si="0"/>
        <v>46262</v>
      </c>
      <c r="AD4" s="48">
        <f t="shared" si="0"/>
        <v>46263</v>
      </c>
      <c r="AE4" s="48">
        <f t="shared" si="0"/>
        <v>46264</v>
      </c>
      <c r="AF4" s="48">
        <f t="shared" si="0"/>
        <v>46265</v>
      </c>
      <c r="AG4" s="80"/>
      <c r="AH4" s="66"/>
      <c r="AI4" s="78"/>
      <c r="AJ4" s="79"/>
      <c r="AK4" s="73"/>
      <c r="AL4" s="28"/>
      <c r="AM4" s="71"/>
      <c r="AN4" s="71"/>
      <c r="AO4" s="2"/>
      <c r="AP4" s="2"/>
    </row>
    <row r="5" spans="1:42" s="3" customFormat="1" ht="24.75" customHeight="1" x14ac:dyDescent="0.55000000000000004">
      <c r="A5" s="9" t="s">
        <v>14</v>
      </c>
      <c r="B5" s="13"/>
      <c r="C5" s="13"/>
      <c r="D5" s="31"/>
      <c r="E5" s="31"/>
      <c r="F5" s="31"/>
      <c r="G5" s="31"/>
      <c r="H5" s="31"/>
      <c r="I5" s="13"/>
      <c r="J5" s="13"/>
      <c r="K5" s="31"/>
      <c r="L5" s="31"/>
      <c r="M5" s="31"/>
      <c r="N5" s="31"/>
      <c r="O5" s="31"/>
      <c r="P5" s="13"/>
      <c r="Q5" s="13"/>
      <c r="R5" s="31"/>
      <c r="S5" s="31"/>
      <c r="T5" s="31"/>
      <c r="U5" s="31"/>
      <c r="V5" s="31"/>
      <c r="W5" s="13"/>
      <c r="X5" s="13"/>
      <c r="Y5" s="31"/>
      <c r="Z5" s="31"/>
      <c r="AA5" s="31"/>
      <c r="AB5" s="31"/>
      <c r="AC5" s="31"/>
      <c r="AD5" s="13"/>
      <c r="AE5" s="13"/>
      <c r="AF5" s="31"/>
      <c r="AG5" s="8">
        <f t="shared" ref="AG5:AG35" si="1">SUM(AH5:AK5)</f>
        <v>0</v>
      </c>
      <c r="AH5" s="8">
        <f t="shared" ref="AH5:AH35" si="2">COUNTIF(B5:AF5,"V")+COUNTIF(B5:AF5,"V1")/2+COUNTIF(B5:AF5,"V2")/2</f>
        <v>0</v>
      </c>
      <c r="AI5" s="8">
        <f t="shared" ref="AI5:AI35" si="3">COUNTIF(B5:AF5,"S")+COUNTIF(B5:AF5,"S1")/2+COUNTIF(B5:AF5,"S2")/2</f>
        <v>0</v>
      </c>
      <c r="AJ5" s="8">
        <f t="shared" ref="AJ5:AJ35" si="4">COUNTIF(B5:AF5,"M")</f>
        <v>0</v>
      </c>
      <c r="AK5" s="8">
        <f t="shared" ref="AK5:AK35" si="5">COUNTIF(B5:AF5,"U")</f>
        <v>0</v>
      </c>
      <c r="AL5" s="32"/>
      <c r="AM5" s="41" t="s">
        <v>15</v>
      </c>
      <c r="AN5" s="34" t="s">
        <v>119</v>
      </c>
      <c r="AO5" s="2"/>
      <c r="AP5" s="2"/>
    </row>
    <row r="6" spans="1:42" s="3" customFormat="1" ht="25.15" customHeight="1" x14ac:dyDescent="0.55000000000000004">
      <c r="A6" s="10" t="s">
        <v>37</v>
      </c>
      <c r="B6" s="13"/>
      <c r="C6" s="13"/>
      <c r="D6" s="31"/>
      <c r="E6" s="31"/>
      <c r="F6" s="31"/>
      <c r="G6" s="31"/>
      <c r="H6" s="31"/>
      <c r="I6" s="13"/>
      <c r="J6" s="13"/>
      <c r="K6" s="31"/>
      <c r="L6" s="31"/>
      <c r="M6" s="31"/>
      <c r="N6" s="31"/>
      <c r="O6" s="31"/>
      <c r="P6" s="13"/>
      <c r="Q6" s="13"/>
      <c r="R6" s="31"/>
      <c r="S6" s="31"/>
      <c r="T6" s="31"/>
      <c r="U6" s="31"/>
      <c r="V6" s="31"/>
      <c r="W6" s="13"/>
      <c r="X6" s="13"/>
      <c r="Y6" s="31"/>
      <c r="Z6" s="31"/>
      <c r="AA6" s="31"/>
      <c r="AB6" s="31"/>
      <c r="AC6" s="31"/>
      <c r="AD6" s="13"/>
      <c r="AE6" s="13"/>
      <c r="AF6" s="31"/>
      <c r="AG6" s="8">
        <f t="shared" si="1"/>
        <v>0</v>
      </c>
      <c r="AH6" s="8">
        <f t="shared" si="2"/>
        <v>0</v>
      </c>
      <c r="AI6" s="8">
        <f t="shared" si="3"/>
        <v>0</v>
      </c>
      <c r="AJ6" s="8">
        <f t="shared" si="4"/>
        <v>0</v>
      </c>
      <c r="AK6" s="8">
        <f t="shared" si="5"/>
        <v>0</v>
      </c>
      <c r="AL6" s="32"/>
      <c r="AM6" s="42" t="s">
        <v>120</v>
      </c>
      <c r="AN6" s="34" t="s">
        <v>121</v>
      </c>
      <c r="AO6" s="2"/>
      <c r="AP6" s="2"/>
    </row>
    <row r="7" spans="1:42" s="3" customFormat="1" ht="25.15" customHeight="1" x14ac:dyDescent="0.55000000000000004">
      <c r="A7" s="10" t="s">
        <v>17</v>
      </c>
      <c r="B7" s="13"/>
      <c r="C7" s="13"/>
      <c r="D7" s="31"/>
      <c r="E7" s="31"/>
      <c r="F7" s="31"/>
      <c r="G7" s="31"/>
      <c r="H7" s="31"/>
      <c r="I7" s="13"/>
      <c r="J7" s="13"/>
      <c r="K7" s="31"/>
      <c r="L7" s="31"/>
      <c r="M7" s="31"/>
      <c r="N7" s="31"/>
      <c r="O7" s="31"/>
      <c r="P7" s="13"/>
      <c r="Q7" s="13"/>
      <c r="R7" s="31"/>
      <c r="S7" s="31"/>
      <c r="T7" s="31"/>
      <c r="U7" s="31"/>
      <c r="V7" s="31"/>
      <c r="W7" s="13"/>
      <c r="X7" s="13"/>
      <c r="Y7" s="31"/>
      <c r="Z7" s="31"/>
      <c r="AA7" s="31"/>
      <c r="AB7" s="31"/>
      <c r="AC7" s="31"/>
      <c r="AD7" s="13"/>
      <c r="AE7" s="13"/>
      <c r="AF7" s="31"/>
      <c r="AG7" s="8">
        <f t="shared" si="1"/>
        <v>0</v>
      </c>
      <c r="AH7" s="8">
        <f t="shared" si="2"/>
        <v>0</v>
      </c>
      <c r="AI7" s="8">
        <f t="shared" si="3"/>
        <v>0</v>
      </c>
      <c r="AJ7" s="8">
        <f t="shared" si="4"/>
        <v>0</v>
      </c>
      <c r="AK7" s="8">
        <f t="shared" si="5"/>
        <v>0</v>
      </c>
      <c r="AL7" s="32"/>
      <c r="AM7" s="43" t="s">
        <v>23</v>
      </c>
      <c r="AN7" s="34" t="s">
        <v>122</v>
      </c>
      <c r="AO7" s="2"/>
      <c r="AP7" s="2"/>
    </row>
    <row r="8" spans="1:42" s="3" customFormat="1" ht="25.15" customHeight="1" x14ac:dyDescent="0.55000000000000004">
      <c r="A8" s="10" t="s">
        <v>41</v>
      </c>
      <c r="B8" s="13"/>
      <c r="C8" s="13"/>
      <c r="D8" s="31"/>
      <c r="E8" s="31"/>
      <c r="F8" s="31"/>
      <c r="G8" s="31"/>
      <c r="H8" s="31"/>
      <c r="I8" s="13"/>
      <c r="J8" s="13"/>
      <c r="K8" s="31"/>
      <c r="L8" s="31"/>
      <c r="M8" s="31"/>
      <c r="N8" s="31"/>
      <c r="O8" s="31"/>
      <c r="P8" s="13"/>
      <c r="Q8" s="13"/>
      <c r="R8" s="31"/>
      <c r="S8" s="31"/>
      <c r="T8" s="31"/>
      <c r="U8" s="31"/>
      <c r="V8" s="31"/>
      <c r="W8" s="13"/>
      <c r="X8" s="13"/>
      <c r="Y8" s="31"/>
      <c r="Z8" s="31"/>
      <c r="AA8" s="31"/>
      <c r="AB8" s="31"/>
      <c r="AC8" s="31"/>
      <c r="AD8" s="13"/>
      <c r="AE8" s="13"/>
      <c r="AF8" s="31"/>
      <c r="AG8" s="8">
        <f t="shared" si="1"/>
        <v>0</v>
      </c>
      <c r="AH8" s="8">
        <f t="shared" si="2"/>
        <v>0</v>
      </c>
      <c r="AI8" s="8">
        <f t="shared" si="3"/>
        <v>0</v>
      </c>
      <c r="AJ8" s="8">
        <f t="shared" si="4"/>
        <v>0</v>
      </c>
      <c r="AK8" s="8">
        <f t="shared" si="5"/>
        <v>0</v>
      </c>
      <c r="AL8" s="32"/>
      <c r="AM8" s="44" t="s">
        <v>123</v>
      </c>
      <c r="AN8" s="34" t="s">
        <v>124</v>
      </c>
      <c r="AO8" s="2"/>
      <c r="AP8" s="2"/>
    </row>
    <row r="9" spans="1:42" s="3" customFormat="1" ht="25.15" customHeight="1" x14ac:dyDescent="0.55000000000000004">
      <c r="A9" s="10" t="s">
        <v>36</v>
      </c>
      <c r="B9" s="13"/>
      <c r="C9" s="13"/>
      <c r="D9" s="31"/>
      <c r="E9" s="31"/>
      <c r="F9" s="31"/>
      <c r="G9" s="31"/>
      <c r="H9" s="31"/>
      <c r="I9" s="13"/>
      <c r="J9" s="13"/>
      <c r="K9" s="31"/>
      <c r="L9" s="31"/>
      <c r="M9" s="31"/>
      <c r="N9" s="31"/>
      <c r="O9" s="31"/>
      <c r="P9" s="13"/>
      <c r="Q9" s="13"/>
      <c r="R9" s="31"/>
      <c r="S9" s="31"/>
      <c r="T9" s="31"/>
      <c r="U9" s="31"/>
      <c r="V9" s="31"/>
      <c r="W9" s="13"/>
      <c r="X9" s="13"/>
      <c r="Y9" s="31"/>
      <c r="Z9" s="31"/>
      <c r="AA9" s="31"/>
      <c r="AB9" s="31"/>
      <c r="AC9" s="31"/>
      <c r="AD9" s="13"/>
      <c r="AE9" s="13"/>
      <c r="AF9" s="31"/>
      <c r="AG9" s="8">
        <f t="shared" si="1"/>
        <v>0</v>
      </c>
      <c r="AH9" s="8">
        <f t="shared" si="2"/>
        <v>0</v>
      </c>
      <c r="AI9" s="8">
        <f t="shared" si="3"/>
        <v>0</v>
      </c>
      <c r="AJ9" s="8">
        <f t="shared" si="4"/>
        <v>0</v>
      </c>
      <c r="AK9" s="8">
        <f t="shared" si="5"/>
        <v>0</v>
      </c>
      <c r="AL9" s="32"/>
      <c r="AM9" s="38" t="s">
        <v>125</v>
      </c>
      <c r="AN9" s="34" t="s">
        <v>126</v>
      </c>
      <c r="AO9" s="2"/>
      <c r="AP9" s="2"/>
    </row>
    <row r="10" spans="1:42" s="3" customFormat="1" ht="25.15" customHeight="1" x14ac:dyDescent="0.55000000000000004">
      <c r="A10" s="10" t="s">
        <v>46</v>
      </c>
      <c r="B10" s="13"/>
      <c r="C10" s="13"/>
      <c r="D10" s="31"/>
      <c r="E10" s="31"/>
      <c r="F10" s="31"/>
      <c r="G10" s="31"/>
      <c r="H10" s="31"/>
      <c r="I10" s="13"/>
      <c r="J10" s="13"/>
      <c r="K10" s="31"/>
      <c r="L10" s="31"/>
      <c r="M10" s="31"/>
      <c r="N10" s="31"/>
      <c r="O10" s="31"/>
      <c r="P10" s="13"/>
      <c r="Q10" s="13"/>
      <c r="R10" s="31"/>
      <c r="S10" s="31"/>
      <c r="T10" s="31"/>
      <c r="U10" s="31"/>
      <c r="V10" s="31"/>
      <c r="W10" s="13"/>
      <c r="X10" s="13"/>
      <c r="Y10" s="31"/>
      <c r="Z10" s="31"/>
      <c r="AA10" s="31"/>
      <c r="AB10" s="31"/>
      <c r="AC10" s="31"/>
      <c r="AD10" s="13"/>
      <c r="AE10" s="13"/>
      <c r="AF10" s="31"/>
      <c r="AG10" s="8">
        <f t="shared" si="1"/>
        <v>0</v>
      </c>
      <c r="AH10" s="8">
        <f t="shared" si="2"/>
        <v>0</v>
      </c>
      <c r="AI10" s="8">
        <f t="shared" si="3"/>
        <v>0</v>
      </c>
      <c r="AJ10" s="8">
        <f t="shared" si="4"/>
        <v>0</v>
      </c>
      <c r="AK10" s="8">
        <f t="shared" si="5"/>
        <v>0</v>
      </c>
      <c r="AL10" s="32"/>
      <c r="AM10" s="39" t="s">
        <v>116</v>
      </c>
      <c r="AN10" s="34" t="s">
        <v>127</v>
      </c>
      <c r="AO10" s="2"/>
      <c r="AP10" s="2"/>
    </row>
    <row r="11" spans="1:42" s="3" customFormat="1" ht="25.15" customHeight="1" x14ac:dyDescent="0.55000000000000004">
      <c r="A11" s="10" t="s">
        <v>43</v>
      </c>
      <c r="B11" s="13"/>
      <c r="C11" s="13"/>
      <c r="D11" s="31"/>
      <c r="E11" s="31"/>
      <c r="F11" s="31"/>
      <c r="G11" s="31"/>
      <c r="H11" s="31"/>
      <c r="I11" s="13"/>
      <c r="J11" s="13"/>
      <c r="K11" s="31"/>
      <c r="L11" s="31"/>
      <c r="M11" s="31"/>
      <c r="N11" s="31"/>
      <c r="O11" s="31"/>
      <c r="P11" s="13"/>
      <c r="Q11" s="13"/>
      <c r="R11" s="31"/>
      <c r="S11" s="31"/>
      <c r="T11" s="31"/>
      <c r="U11" s="31"/>
      <c r="V11" s="31"/>
      <c r="W11" s="13"/>
      <c r="X11" s="13"/>
      <c r="Y11" s="31"/>
      <c r="Z11" s="31"/>
      <c r="AA11" s="31"/>
      <c r="AB11" s="31"/>
      <c r="AC11" s="31"/>
      <c r="AD11" s="13"/>
      <c r="AE11" s="13"/>
      <c r="AF11" s="31"/>
      <c r="AG11" s="8">
        <f t="shared" si="1"/>
        <v>0</v>
      </c>
      <c r="AH11" s="8">
        <f t="shared" si="2"/>
        <v>0</v>
      </c>
      <c r="AI11" s="8">
        <f t="shared" si="3"/>
        <v>0</v>
      </c>
      <c r="AJ11" s="8">
        <f t="shared" si="4"/>
        <v>0</v>
      </c>
      <c r="AK11" s="8">
        <f t="shared" si="5"/>
        <v>0</v>
      </c>
      <c r="AL11" s="32"/>
      <c r="AM11" s="11"/>
      <c r="AN11" s="49"/>
      <c r="AO11" s="2"/>
      <c r="AP11" s="2"/>
    </row>
    <row r="12" spans="1:42" s="3" customFormat="1" ht="25.15" customHeight="1" x14ac:dyDescent="0.55000000000000004">
      <c r="A12" s="10" t="s">
        <v>47</v>
      </c>
      <c r="B12" s="13"/>
      <c r="C12" s="13"/>
      <c r="D12" s="31"/>
      <c r="E12" s="31"/>
      <c r="F12" s="31"/>
      <c r="G12" s="31"/>
      <c r="H12" s="31"/>
      <c r="I12" s="13"/>
      <c r="J12" s="13"/>
      <c r="K12" s="31"/>
      <c r="L12" s="31"/>
      <c r="M12" s="31"/>
      <c r="N12" s="31"/>
      <c r="O12" s="31"/>
      <c r="P12" s="13"/>
      <c r="Q12" s="13"/>
      <c r="R12" s="31"/>
      <c r="S12" s="31"/>
      <c r="T12" s="31"/>
      <c r="U12" s="31"/>
      <c r="V12" s="31"/>
      <c r="W12" s="13"/>
      <c r="X12" s="13"/>
      <c r="Y12" s="31"/>
      <c r="Z12" s="31"/>
      <c r="AA12" s="31"/>
      <c r="AB12" s="31"/>
      <c r="AC12" s="31"/>
      <c r="AD12" s="13"/>
      <c r="AE12" s="13"/>
      <c r="AF12" s="31"/>
      <c r="AG12" s="8">
        <f t="shared" si="1"/>
        <v>0</v>
      </c>
      <c r="AH12" s="8">
        <f t="shared" si="2"/>
        <v>0</v>
      </c>
      <c r="AI12" s="8">
        <f t="shared" si="3"/>
        <v>0</v>
      </c>
      <c r="AJ12" s="8">
        <f t="shared" si="4"/>
        <v>0</v>
      </c>
      <c r="AK12" s="8">
        <f t="shared" si="5"/>
        <v>0</v>
      </c>
      <c r="AL12" s="32"/>
      <c r="AM12" s="11"/>
      <c r="AN12" s="49"/>
      <c r="AO12" s="2"/>
      <c r="AP12" s="2"/>
    </row>
    <row r="13" spans="1:42" s="3" customFormat="1" ht="25.15" customHeight="1" x14ac:dyDescent="0.55000000000000004">
      <c r="A13" s="10" t="s">
        <v>32</v>
      </c>
      <c r="B13" s="13"/>
      <c r="C13" s="13"/>
      <c r="D13" s="31"/>
      <c r="E13" s="31"/>
      <c r="F13" s="31"/>
      <c r="G13" s="31"/>
      <c r="H13" s="31"/>
      <c r="I13" s="13"/>
      <c r="J13" s="13"/>
      <c r="K13" s="31"/>
      <c r="L13" s="31"/>
      <c r="M13" s="31"/>
      <c r="N13" s="31"/>
      <c r="O13" s="31"/>
      <c r="P13" s="13"/>
      <c r="Q13" s="13"/>
      <c r="R13" s="31"/>
      <c r="S13" s="31"/>
      <c r="T13" s="31"/>
      <c r="U13" s="31"/>
      <c r="V13" s="31"/>
      <c r="W13" s="13"/>
      <c r="X13" s="13"/>
      <c r="Y13" s="31"/>
      <c r="Z13" s="31"/>
      <c r="AA13" s="31"/>
      <c r="AB13" s="31"/>
      <c r="AC13" s="31"/>
      <c r="AD13" s="13"/>
      <c r="AE13" s="13"/>
      <c r="AF13" s="31"/>
      <c r="AG13" s="8">
        <f t="shared" si="1"/>
        <v>0</v>
      </c>
      <c r="AH13" s="8">
        <f t="shared" si="2"/>
        <v>0</v>
      </c>
      <c r="AI13" s="8">
        <f t="shared" si="3"/>
        <v>0</v>
      </c>
      <c r="AJ13" s="8">
        <f t="shared" si="4"/>
        <v>0</v>
      </c>
      <c r="AK13" s="8">
        <f t="shared" si="5"/>
        <v>0</v>
      </c>
      <c r="AL13" s="32"/>
      <c r="AM13" s="2"/>
      <c r="AN13" s="2"/>
      <c r="AO13" s="2"/>
      <c r="AP13" s="2"/>
    </row>
    <row r="14" spans="1:42" s="3" customFormat="1" ht="25.15" customHeight="1" x14ac:dyDescent="0.55000000000000004">
      <c r="A14" s="10" t="s">
        <v>40</v>
      </c>
      <c r="B14" s="13"/>
      <c r="C14" s="13"/>
      <c r="D14" s="31"/>
      <c r="E14" s="31"/>
      <c r="F14" s="31"/>
      <c r="G14" s="31"/>
      <c r="H14" s="31"/>
      <c r="I14" s="13"/>
      <c r="J14" s="13"/>
      <c r="K14" s="31"/>
      <c r="L14" s="31"/>
      <c r="M14" s="31"/>
      <c r="N14" s="31"/>
      <c r="O14" s="31"/>
      <c r="P14" s="13"/>
      <c r="Q14" s="13"/>
      <c r="R14" s="31"/>
      <c r="S14" s="31"/>
      <c r="T14" s="31"/>
      <c r="U14" s="31"/>
      <c r="V14" s="31"/>
      <c r="W14" s="13"/>
      <c r="X14" s="13"/>
      <c r="Y14" s="31"/>
      <c r="Z14" s="31"/>
      <c r="AA14" s="31"/>
      <c r="AB14" s="31"/>
      <c r="AC14" s="31"/>
      <c r="AD14" s="13"/>
      <c r="AE14" s="13"/>
      <c r="AF14" s="31"/>
      <c r="AG14" s="8">
        <f t="shared" si="1"/>
        <v>0</v>
      </c>
      <c r="AH14" s="8">
        <f t="shared" si="2"/>
        <v>0</v>
      </c>
      <c r="AI14" s="8">
        <f t="shared" si="3"/>
        <v>0</v>
      </c>
      <c r="AJ14" s="8">
        <f t="shared" si="4"/>
        <v>0</v>
      </c>
      <c r="AK14" s="8">
        <f t="shared" si="5"/>
        <v>0</v>
      </c>
      <c r="AL14" s="32"/>
      <c r="AM14" s="2"/>
      <c r="AN14" s="2"/>
      <c r="AO14" s="2"/>
      <c r="AP14" s="2"/>
    </row>
    <row r="15" spans="1:42" s="3" customFormat="1" ht="25.15" customHeight="1" x14ac:dyDescent="0.55000000000000004">
      <c r="A15" s="10" t="s">
        <v>34</v>
      </c>
      <c r="B15" s="13"/>
      <c r="C15" s="13"/>
      <c r="D15" s="31"/>
      <c r="E15" s="31"/>
      <c r="F15" s="31"/>
      <c r="G15" s="31"/>
      <c r="H15" s="31"/>
      <c r="I15" s="13"/>
      <c r="J15" s="13"/>
      <c r="K15" s="31"/>
      <c r="L15" s="31"/>
      <c r="M15" s="31"/>
      <c r="N15" s="31"/>
      <c r="O15" s="31"/>
      <c r="P15" s="13"/>
      <c r="Q15" s="13"/>
      <c r="R15" s="31"/>
      <c r="S15" s="31"/>
      <c r="T15" s="31"/>
      <c r="U15" s="31"/>
      <c r="V15" s="31"/>
      <c r="W15" s="13"/>
      <c r="X15" s="13"/>
      <c r="Y15" s="31"/>
      <c r="Z15" s="31"/>
      <c r="AA15" s="31"/>
      <c r="AB15" s="31"/>
      <c r="AC15" s="31"/>
      <c r="AD15" s="13"/>
      <c r="AE15" s="13"/>
      <c r="AF15" s="31"/>
      <c r="AG15" s="8">
        <f t="shared" si="1"/>
        <v>0</v>
      </c>
      <c r="AH15" s="8">
        <f t="shared" si="2"/>
        <v>0</v>
      </c>
      <c r="AI15" s="8">
        <f t="shared" si="3"/>
        <v>0</v>
      </c>
      <c r="AJ15" s="8">
        <f t="shared" si="4"/>
        <v>0</v>
      </c>
      <c r="AK15" s="8">
        <f t="shared" si="5"/>
        <v>0</v>
      </c>
      <c r="AL15" s="2"/>
      <c r="AM15" s="2"/>
      <c r="AN15" s="2"/>
      <c r="AO15" s="2"/>
      <c r="AP15" s="2"/>
    </row>
    <row r="16" spans="1:42" ht="23.5" customHeight="1" x14ac:dyDescent="0.55000000000000004">
      <c r="A16" s="10" t="s">
        <v>29</v>
      </c>
      <c r="B16" s="13"/>
      <c r="C16" s="13"/>
      <c r="D16" s="31"/>
      <c r="E16" s="31"/>
      <c r="F16" s="31"/>
      <c r="G16" s="31"/>
      <c r="H16" s="31"/>
      <c r="I16" s="13"/>
      <c r="J16" s="13"/>
      <c r="K16" s="31"/>
      <c r="L16" s="31"/>
      <c r="M16" s="31"/>
      <c r="N16" s="31"/>
      <c r="O16" s="31"/>
      <c r="P16" s="13"/>
      <c r="Q16" s="13"/>
      <c r="R16" s="31"/>
      <c r="S16" s="31"/>
      <c r="T16" s="31"/>
      <c r="U16" s="31"/>
      <c r="V16" s="31"/>
      <c r="W16" s="13"/>
      <c r="X16" s="13"/>
      <c r="Y16" s="31"/>
      <c r="Z16" s="31"/>
      <c r="AA16" s="31"/>
      <c r="AB16" s="31"/>
      <c r="AC16" s="31"/>
      <c r="AD16" s="13"/>
      <c r="AE16" s="13"/>
      <c r="AF16" s="31"/>
      <c r="AG16" s="8">
        <f t="shared" si="1"/>
        <v>0</v>
      </c>
      <c r="AH16" s="8">
        <f t="shared" si="2"/>
        <v>0</v>
      </c>
      <c r="AI16" s="8">
        <f t="shared" si="3"/>
        <v>0</v>
      </c>
      <c r="AJ16" s="8">
        <f t="shared" si="4"/>
        <v>0</v>
      </c>
      <c r="AK16" s="8">
        <f t="shared" si="5"/>
        <v>0</v>
      </c>
      <c r="AO16" s="2"/>
      <c r="AP16" s="2"/>
    </row>
    <row r="17" spans="1:37" ht="23.5" customHeight="1" x14ac:dyDescent="0.55000000000000004">
      <c r="A17" s="10" t="s">
        <v>128</v>
      </c>
      <c r="B17" s="13"/>
      <c r="C17" s="13"/>
      <c r="D17" s="31"/>
      <c r="E17" s="31"/>
      <c r="F17" s="31"/>
      <c r="G17" s="31"/>
      <c r="H17" s="31"/>
      <c r="I17" s="13"/>
      <c r="J17" s="13"/>
      <c r="K17" s="31"/>
      <c r="L17" s="31"/>
      <c r="M17" s="31"/>
      <c r="N17" s="31"/>
      <c r="O17" s="31"/>
      <c r="P17" s="13"/>
      <c r="Q17" s="13"/>
      <c r="R17" s="31"/>
      <c r="S17" s="31"/>
      <c r="T17" s="31"/>
      <c r="U17" s="31"/>
      <c r="V17" s="31"/>
      <c r="W17" s="13"/>
      <c r="X17" s="13"/>
      <c r="Y17" s="31"/>
      <c r="Z17" s="31"/>
      <c r="AA17" s="31"/>
      <c r="AB17" s="31"/>
      <c r="AC17" s="31"/>
      <c r="AD17" s="13"/>
      <c r="AE17" s="13"/>
      <c r="AF17" s="31"/>
      <c r="AG17" s="8">
        <f t="shared" si="1"/>
        <v>0</v>
      </c>
      <c r="AH17" s="8">
        <f t="shared" si="2"/>
        <v>0</v>
      </c>
      <c r="AI17" s="8">
        <f t="shared" si="3"/>
        <v>0</v>
      </c>
      <c r="AJ17" s="8">
        <f t="shared" si="4"/>
        <v>0</v>
      </c>
      <c r="AK17" s="8">
        <f t="shared" si="5"/>
        <v>0</v>
      </c>
    </row>
    <row r="18" spans="1:37" ht="23.5" customHeight="1" x14ac:dyDescent="0.55000000000000004">
      <c r="A18" s="10" t="s">
        <v>22</v>
      </c>
      <c r="B18" s="13"/>
      <c r="C18" s="13"/>
      <c r="D18" s="31"/>
      <c r="E18" s="31"/>
      <c r="F18" s="31"/>
      <c r="G18" s="31"/>
      <c r="H18" s="31"/>
      <c r="I18" s="13"/>
      <c r="J18" s="13"/>
      <c r="K18" s="31"/>
      <c r="L18" s="31"/>
      <c r="M18" s="31"/>
      <c r="N18" s="31"/>
      <c r="O18" s="31"/>
      <c r="P18" s="13"/>
      <c r="Q18" s="13"/>
      <c r="R18" s="31"/>
      <c r="S18" s="31"/>
      <c r="T18" s="31"/>
      <c r="U18" s="31"/>
      <c r="V18" s="31"/>
      <c r="W18" s="13"/>
      <c r="X18" s="13"/>
      <c r="Y18" s="31"/>
      <c r="Z18" s="31"/>
      <c r="AA18" s="31"/>
      <c r="AB18" s="31"/>
      <c r="AC18" s="31"/>
      <c r="AD18" s="13"/>
      <c r="AE18" s="13"/>
      <c r="AF18" s="31"/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f t="shared" si="4"/>
        <v>0</v>
      </c>
      <c r="AK18" s="8">
        <f t="shared" si="5"/>
        <v>0</v>
      </c>
    </row>
    <row r="19" spans="1:37" ht="23.5" customHeight="1" x14ac:dyDescent="0.55000000000000004">
      <c r="A19" s="10" t="s">
        <v>39</v>
      </c>
      <c r="B19" s="13"/>
      <c r="C19" s="13"/>
      <c r="D19" s="31"/>
      <c r="E19" s="31"/>
      <c r="F19" s="31"/>
      <c r="G19" s="31"/>
      <c r="H19" s="31"/>
      <c r="I19" s="13"/>
      <c r="J19" s="13"/>
      <c r="K19" s="31"/>
      <c r="L19" s="31"/>
      <c r="M19" s="31"/>
      <c r="N19" s="31"/>
      <c r="O19" s="31"/>
      <c r="P19" s="13"/>
      <c r="Q19" s="13"/>
      <c r="R19" s="31"/>
      <c r="S19" s="31"/>
      <c r="T19" s="31"/>
      <c r="U19" s="31"/>
      <c r="V19" s="31"/>
      <c r="W19" s="13"/>
      <c r="X19" s="13"/>
      <c r="Y19" s="31"/>
      <c r="Z19" s="31"/>
      <c r="AA19" s="31"/>
      <c r="AB19" s="31"/>
      <c r="AC19" s="31"/>
      <c r="AD19" s="13"/>
      <c r="AE19" s="13"/>
      <c r="AF19" s="31"/>
      <c r="AG19" s="8">
        <f t="shared" si="1"/>
        <v>0</v>
      </c>
      <c r="AH19" s="8">
        <f t="shared" si="2"/>
        <v>0</v>
      </c>
      <c r="AI19" s="8">
        <f t="shared" si="3"/>
        <v>0</v>
      </c>
      <c r="AJ19" s="8">
        <f t="shared" si="4"/>
        <v>0</v>
      </c>
      <c r="AK19" s="8">
        <f t="shared" si="5"/>
        <v>0</v>
      </c>
    </row>
    <row r="20" spans="1:37" ht="23.5" customHeight="1" x14ac:dyDescent="0.55000000000000004">
      <c r="A20" s="10" t="s">
        <v>50</v>
      </c>
      <c r="B20" s="13"/>
      <c r="C20" s="13"/>
      <c r="D20" s="31"/>
      <c r="E20" s="31"/>
      <c r="F20" s="31"/>
      <c r="G20" s="31"/>
      <c r="H20" s="31"/>
      <c r="I20" s="13"/>
      <c r="J20" s="13"/>
      <c r="K20" s="31"/>
      <c r="L20" s="31"/>
      <c r="M20" s="31"/>
      <c r="N20" s="31"/>
      <c r="O20" s="31"/>
      <c r="P20" s="13"/>
      <c r="Q20" s="13"/>
      <c r="R20" s="31"/>
      <c r="S20" s="31"/>
      <c r="T20" s="31"/>
      <c r="U20" s="31"/>
      <c r="V20" s="31"/>
      <c r="W20" s="13"/>
      <c r="X20" s="13"/>
      <c r="Y20" s="31"/>
      <c r="Z20" s="31"/>
      <c r="AA20" s="31"/>
      <c r="AB20" s="31"/>
      <c r="AC20" s="31"/>
      <c r="AD20" s="13"/>
      <c r="AE20" s="13"/>
      <c r="AF20" s="31"/>
      <c r="AG20" s="8">
        <f t="shared" si="1"/>
        <v>0</v>
      </c>
      <c r="AH20" s="8">
        <f t="shared" si="2"/>
        <v>0</v>
      </c>
      <c r="AI20" s="8">
        <f t="shared" si="3"/>
        <v>0</v>
      </c>
      <c r="AJ20" s="8">
        <f t="shared" si="4"/>
        <v>0</v>
      </c>
      <c r="AK20" s="8">
        <f t="shared" si="5"/>
        <v>0</v>
      </c>
    </row>
    <row r="21" spans="1:37" ht="23.5" customHeight="1" x14ac:dyDescent="0.55000000000000004">
      <c r="A21" s="10" t="s">
        <v>129</v>
      </c>
      <c r="B21" s="13"/>
      <c r="C21" s="13"/>
      <c r="D21" s="31"/>
      <c r="E21" s="31"/>
      <c r="F21" s="31"/>
      <c r="G21" s="31"/>
      <c r="H21" s="31"/>
      <c r="I21" s="13"/>
      <c r="J21" s="13"/>
      <c r="K21" s="31"/>
      <c r="L21" s="31"/>
      <c r="M21" s="31"/>
      <c r="N21" s="31"/>
      <c r="O21" s="31"/>
      <c r="P21" s="13"/>
      <c r="Q21" s="13"/>
      <c r="R21" s="31"/>
      <c r="S21" s="31"/>
      <c r="T21" s="31"/>
      <c r="U21" s="31"/>
      <c r="V21" s="31"/>
      <c r="W21" s="13"/>
      <c r="X21" s="13"/>
      <c r="Y21" s="31"/>
      <c r="Z21" s="31"/>
      <c r="AA21" s="31"/>
      <c r="AB21" s="31"/>
      <c r="AC21" s="31"/>
      <c r="AD21" s="13"/>
      <c r="AE21" s="13"/>
      <c r="AF21" s="31"/>
      <c r="AG21" s="8">
        <f t="shared" si="1"/>
        <v>0</v>
      </c>
      <c r="AH21" s="8">
        <f t="shared" si="2"/>
        <v>0</v>
      </c>
      <c r="AI21" s="8">
        <f t="shared" si="3"/>
        <v>0</v>
      </c>
      <c r="AJ21" s="8">
        <f t="shared" si="4"/>
        <v>0</v>
      </c>
      <c r="AK21" s="8">
        <f t="shared" si="5"/>
        <v>0</v>
      </c>
    </row>
    <row r="22" spans="1:37" ht="23.5" customHeight="1" x14ac:dyDescent="0.55000000000000004">
      <c r="A22" s="10" t="s">
        <v>27</v>
      </c>
      <c r="B22" s="13"/>
      <c r="C22" s="13"/>
      <c r="D22" s="31"/>
      <c r="E22" s="31"/>
      <c r="F22" s="31"/>
      <c r="G22" s="31"/>
      <c r="H22" s="31"/>
      <c r="I22" s="13"/>
      <c r="J22" s="13"/>
      <c r="K22" s="31"/>
      <c r="L22" s="31"/>
      <c r="M22" s="31"/>
      <c r="N22" s="31"/>
      <c r="O22" s="31"/>
      <c r="P22" s="13"/>
      <c r="Q22" s="13"/>
      <c r="R22" s="31"/>
      <c r="S22" s="31"/>
      <c r="T22" s="31"/>
      <c r="U22" s="31"/>
      <c r="V22" s="31"/>
      <c r="W22" s="13"/>
      <c r="X22" s="13"/>
      <c r="Y22" s="31"/>
      <c r="Z22" s="31"/>
      <c r="AA22" s="31"/>
      <c r="AB22" s="31"/>
      <c r="AC22" s="31"/>
      <c r="AD22" s="13"/>
      <c r="AE22" s="13"/>
      <c r="AF22" s="31"/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f t="shared" si="4"/>
        <v>0</v>
      </c>
      <c r="AK22" s="8">
        <f t="shared" si="5"/>
        <v>0</v>
      </c>
    </row>
    <row r="23" spans="1:37" ht="23.5" customHeight="1" x14ac:dyDescent="0.55000000000000004">
      <c r="A23" s="10" t="s">
        <v>28</v>
      </c>
      <c r="B23" s="13"/>
      <c r="C23" s="13"/>
      <c r="D23" s="31"/>
      <c r="E23" s="31"/>
      <c r="F23" s="31"/>
      <c r="G23" s="31"/>
      <c r="H23" s="31"/>
      <c r="I23" s="13"/>
      <c r="J23" s="13"/>
      <c r="K23" s="31"/>
      <c r="L23" s="31"/>
      <c r="M23" s="31"/>
      <c r="N23" s="31"/>
      <c r="O23" s="31"/>
      <c r="P23" s="13"/>
      <c r="Q23" s="13"/>
      <c r="R23" s="31"/>
      <c r="S23" s="31"/>
      <c r="T23" s="31"/>
      <c r="U23" s="31"/>
      <c r="V23" s="31"/>
      <c r="W23" s="13"/>
      <c r="X23" s="13"/>
      <c r="Y23" s="31"/>
      <c r="Z23" s="31"/>
      <c r="AA23" s="31"/>
      <c r="AB23" s="31"/>
      <c r="AC23" s="31"/>
      <c r="AD23" s="13"/>
      <c r="AE23" s="13"/>
      <c r="AF23" s="31"/>
      <c r="AG23" s="8">
        <f t="shared" si="1"/>
        <v>0</v>
      </c>
      <c r="AH23" s="8">
        <f t="shared" si="2"/>
        <v>0</v>
      </c>
      <c r="AI23" s="8">
        <f t="shared" si="3"/>
        <v>0</v>
      </c>
      <c r="AJ23" s="8">
        <f t="shared" si="4"/>
        <v>0</v>
      </c>
      <c r="AK23" s="8">
        <f t="shared" si="5"/>
        <v>0</v>
      </c>
    </row>
    <row r="24" spans="1:37" ht="23.5" customHeight="1" x14ac:dyDescent="0.55000000000000004">
      <c r="A24" s="10" t="s">
        <v>21</v>
      </c>
      <c r="B24" s="13"/>
      <c r="C24" s="13"/>
      <c r="D24" s="31"/>
      <c r="E24" s="31"/>
      <c r="F24" s="31"/>
      <c r="G24" s="31"/>
      <c r="H24" s="31"/>
      <c r="I24" s="13"/>
      <c r="J24" s="13"/>
      <c r="K24" s="31"/>
      <c r="L24" s="31"/>
      <c r="M24" s="31"/>
      <c r="N24" s="31"/>
      <c r="O24" s="31"/>
      <c r="P24" s="13"/>
      <c r="Q24" s="13"/>
      <c r="R24" s="31"/>
      <c r="S24" s="31"/>
      <c r="T24" s="31"/>
      <c r="U24" s="31"/>
      <c r="V24" s="31"/>
      <c r="W24" s="13"/>
      <c r="X24" s="13"/>
      <c r="Y24" s="31"/>
      <c r="Z24" s="31"/>
      <c r="AA24" s="31"/>
      <c r="AB24" s="31"/>
      <c r="AC24" s="31"/>
      <c r="AD24" s="13"/>
      <c r="AE24" s="13"/>
      <c r="AF24" s="31"/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f t="shared" si="4"/>
        <v>0</v>
      </c>
      <c r="AK24" s="8">
        <f t="shared" si="5"/>
        <v>0</v>
      </c>
    </row>
    <row r="25" spans="1:37" ht="23.5" customHeight="1" x14ac:dyDescent="0.55000000000000004">
      <c r="A25" s="10" t="s">
        <v>42</v>
      </c>
      <c r="B25" s="13"/>
      <c r="C25" s="13"/>
      <c r="D25" s="31"/>
      <c r="E25" s="31"/>
      <c r="F25" s="31"/>
      <c r="G25" s="31"/>
      <c r="H25" s="31"/>
      <c r="I25" s="13"/>
      <c r="J25" s="13"/>
      <c r="K25" s="31"/>
      <c r="L25" s="31"/>
      <c r="M25" s="31"/>
      <c r="N25" s="31"/>
      <c r="O25" s="31"/>
      <c r="P25" s="13"/>
      <c r="Q25" s="13"/>
      <c r="R25" s="31"/>
      <c r="S25" s="31"/>
      <c r="T25" s="31"/>
      <c r="U25" s="31"/>
      <c r="V25" s="31"/>
      <c r="W25" s="13"/>
      <c r="X25" s="13"/>
      <c r="Y25" s="31"/>
      <c r="Z25" s="31"/>
      <c r="AA25" s="31"/>
      <c r="AB25" s="31"/>
      <c r="AC25" s="31"/>
      <c r="AD25" s="13"/>
      <c r="AE25" s="13"/>
      <c r="AF25" s="31"/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f t="shared" si="4"/>
        <v>0</v>
      </c>
      <c r="AK25" s="8">
        <f t="shared" si="5"/>
        <v>0</v>
      </c>
    </row>
    <row r="26" spans="1:37" ht="23.5" customHeight="1" x14ac:dyDescent="0.55000000000000004">
      <c r="A26" s="10" t="s">
        <v>26</v>
      </c>
      <c r="B26" s="13"/>
      <c r="C26" s="13"/>
      <c r="D26" s="31"/>
      <c r="E26" s="31"/>
      <c r="F26" s="31"/>
      <c r="G26" s="31"/>
      <c r="H26" s="31"/>
      <c r="I26" s="13"/>
      <c r="J26" s="13"/>
      <c r="K26" s="31"/>
      <c r="L26" s="31"/>
      <c r="M26" s="31"/>
      <c r="N26" s="31"/>
      <c r="O26" s="31"/>
      <c r="P26" s="13"/>
      <c r="Q26" s="13"/>
      <c r="R26" s="31"/>
      <c r="S26" s="31"/>
      <c r="T26" s="31"/>
      <c r="U26" s="31"/>
      <c r="V26" s="31"/>
      <c r="W26" s="13"/>
      <c r="X26" s="13"/>
      <c r="Y26" s="31"/>
      <c r="Z26" s="31"/>
      <c r="AA26" s="31"/>
      <c r="AB26" s="31"/>
      <c r="AC26" s="31"/>
      <c r="AD26" s="13"/>
      <c r="AE26" s="13"/>
      <c r="AF26" s="31"/>
      <c r="AG26" s="8">
        <f t="shared" si="1"/>
        <v>0</v>
      </c>
      <c r="AH26" s="8">
        <f t="shared" si="2"/>
        <v>0</v>
      </c>
      <c r="AI26" s="8">
        <f t="shared" si="3"/>
        <v>0</v>
      </c>
      <c r="AJ26" s="8">
        <f t="shared" si="4"/>
        <v>0</v>
      </c>
      <c r="AK26" s="8">
        <f t="shared" si="5"/>
        <v>0</v>
      </c>
    </row>
    <row r="27" spans="1:37" ht="23.5" customHeight="1" x14ac:dyDescent="0.55000000000000004">
      <c r="A27" s="10" t="s">
        <v>44</v>
      </c>
      <c r="B27" s="13"/>
      <c r="C27" s="13"/>
      <c r="D27" s="31"/>
      <c r="E27" s="31"/>
      <c r="F27" s="31"/>
      <c r="G27" s="31"/>
      <c r="H27" s="31"/>
      <c r="I27" s="13"/>
      <c r="J27" s="13"/>
      <c r="K27" s="31"/>
      <c r="L27" s="31"/>
      <c r="M27" s="31"/>
      <c r="N27" s="31"/>
      <c r="O27" s="31"/>
      <c r="P27" s="13"/>
      <c r="Q27" s="13"/>
      <c r="R27" s="31"/>
      <c r="S27" s="31"/>
      <c r="T27" s="31"/>
      <c r="U27" s="31"/>
      <c r="V27" s="31"/>
      <c r="W27" s="13"/>
      <c r="X27" s="13"/>
      <c r="Y27" s="31"/>
      <c r="Z27" s="31"/>
      <c r="AA27" s="31"/>
      <c r="AB27" s="31"/>
      <c r="AC27" s="31"/>
      <c r="AD27" s="13"/>
      <c r="AE27" s="13"/>
      <c r="AF27" s="31"/>
      <c r="AG27" s="8">
        <f t="shared" si="1"/>
        <v>0</v>
      </c>
      <c r="AH27" s="8">
        <f t="shared" si="2"/>
        <v>0</v>
      </c>
      <c r="AI27" s="8">
        <f t="shared" si="3"/>
        <v>0</v>
      </c>
      <c r="AJ27" s="8">
        <f t="shared" si="4"/>
        <v>0</v>
      </c>
      <c r="AK27" s="8">
        <f t="shared" si="5"/>
        <v>0</v>
      </c>
    </row>
    <row r="28" spans="1:37" ht="23.5" customHeight="1" x14ac:dyDescent="0.55000000000000004">
      <c r="A28" s="10" t="s">
        <v>25</v>
      </c>
      <c r="B28" s="13"/>
      <c r="C28" s="13"/>
      <c r="D28" s="31"/>
      <c r="E28" s="31"/>
      <c r="F28" s="31"/>
      <c r="G28" s="31"/>
      <c r="H28" s="31"/>
      <c r="I28" s="13"/>
      <c r="J28" s="13"/>
      <c r="K28" s="31"/>
      <c r="L28" s="31"/>
      <c r="M28" s="31"/>
      <c r="N28" s="31"/>
      <c r="O28" s="31"/>
      <c r="P28" s="13"/>
      <c r="Q28" s="13"/>
      <c r="R28" s="31"/>
      <c r="S28" s="31"/>
      <c r="T28" s="31"/>
      <c r="U28" s="31"/>
      <c r="V28" s="31"/>
      <c r="W28" s="13"/>
      <c r="X28" s="13"/>
      <c r="Y28" s="31"/>
      <c r="Z28" s="31"/>
      <c r="AA28" s="31"/>
      <c r="AB28" s="31"/>
      <c r="AC28" s="31"/>
      <c r="AD28" s="13"/>
      <c r="AE28" s="13"/>
      <c r="AF28" s="31"/>
      <c r="AG28" s="8">
        <f t="shared" si="1"/>
        <v>0</v>
      </c>
      <c r="AH28" s="8">
        <f t="shared" si="2"/>
        <v>0</v>
      </c>
      <c r="AI28" s="8">
        <f t="shared" si="3"/>
        <v>0</v>
      </c>
      <c r="AJ28" s="8">
        <f t="shared" si="4"/>
        <v>0</v>
      </c>
      <c r="AK28" s="8">
        <f t="shared" si="5"/>
        <v>0</v>
      </c>
    </row>
    <row r="29" spans="1:37" ht="23.5" customHeight="1" x14ac:dyDescent="0.55000000000000004">
      <c r="A29" s="10" t="s">
        <v>24</v>
      </c>
      <c r="B29" s="13"/>
      <c r="C29" s="13"/>
      <c r="D29" s="31"/>
      <c r="E29" s="31"/>
      <c r="F29" s="31"/>
      <c r="G29" s="31"/>
      <c r="H29" s="31"/>
      <c r="I29" s="13"/>
      <c r="J29" s="13"/>
      <c r="K29" s="31"/>
      <c r="L29" s="31"/>
      <c r="M29" s="31"/>
      <c r="N29" s="31"/>
      <c r="O29" s="31"/>
      <c r="P29" s="13"/>
      <c r="Q29" s="13"/>
      <c r="R29" s="31"/>
      <c r="S29" s="31"/>
      <c r="T29" s="31"/>
      <c r="U29" s="31"/>
      <c r="V29" s="31"/>
      <c r="W29" s="13"/>
      <c r="X29" s="13"/>
      <c r="Y29" s="31"/>
      <c r="Z29" s="31"/>
      <c r="AA29" s="31"/>
      <c r="AB29" s="31"/>
      <c r="AC29" s="31"/>
      <c r="AD29" s="13"/>
      <c r="AE29" s="13"/>
      <c r="AF29" s="31"/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f t="shared" si="4"/>
        <v>0</v>
      </c>
      <c r="AK29" s="8">
        <f t="shared" si="5"/>
        <v>0</v>
      </c>
    </row>
    <row r="30" spans="1:37" ht="23.5" customHeight="1" x14ac:dyDescent="0.55000000000000004">
      <c r="A30" s="10" t="s">
        <v>60</v>
      </c>
      <c r="B30" s="13"/>
      <c r="C30" s="13"/>
      <c r="D30" s="31"/>
      <c r="E30" s="31"/>
      <c r="F30" s="31"/>
      <c r="G30" s="31"/>
      <c r="H30" s="31"/>
      <c r="I30" s="13"/>
      <c r="J30" s="13"/>
      <c r="K30" s="31"/>
      <c r="L30" s="31"/>
      <c r="M30" s="31"/>
      <c r="N30" s="31"/>
      <c r="O30" s="31"/>
      <c r="P30" s="13"/>
      <c r="Q30" s="13"/>
      <c r="R30" s="31"/>
      <c r="S30" s="31"/>
      <c r="T30" s="31"/>
      <c r="U30" s="31"/>
      <c r="V30" s="31"/>
      <c r="W30" s="13"/>
      <c r="X30" s="13"/>
      <c r="Y30" s="31"/>
      <c r="Z30" s="31"/>
      <c r="AA30" s="31"/>
      <c r="AB30" s="31"/>
      <c r="AC30" s="31"/>
      <c r="AD30" s="13"/>
      <c r="AE30" s="13"/>
      <c r="AF30" s="31"/>
      <c r="AG30" s="8">
        <f t="shared" si="1"/>
        <v>0</v>
      </c>
      <c r="AH30" s="8">
        <f t="shared" si="2"/>
        <v>0</v>
      </c>
      <c r="AI30" s="8">
        <f t="shared" si="3"/>
        <v>0</v>
      </c>
      <c r="AJ30" s="8">
        <f t="shared" si="4"/>
        <v>0</v>
      </c>
      <c r="AK30" s="8">
        <f t="shared" si="5"/>
        <v>0</v>
      </c>
    </row>
    <row r="31" spans="1:37" ht="23.5" customHeight="1" x14ac:dyDescent="0.55000000000000004">
      <c r="A31" s="10" t="s">
        <v>52</v>
      </c>
      <c r="B31" s="13"/>
      <c r="C31" s="13"/>
      <c r="D31" s="31"/>
      <c r="E31" s="31"/>
      <c r="F31" s="31"/>
      <c r="G31" s="31"/>
      <c r="H31" s="31"/>
      <c r="I31" s="13"/>
      <c r="J31" s="13"/>
      <c r="K31" s="31"/>
      <c r="L31" s="31"/>
      <c r="M31" s="31"/>
      <c r="N31" s="31"/>
      <c r="O31" s="31"/>
      <c r="P31" s="13"/>
      <c r="Q31" s="13"/>
      <c r="R31" s="31"/>
      <c r="S31" s="31"/>
      <c r="T31" s="31"/>
      <c r="U31" s="31"/>
      <c r="V31" s="31"/>
      <c r="W31" s="13"/>
      <c r="X31" s="13"/>
      <c r="Y31" s="31"/>
      <c r="Z31" s="31"/>
      <c r="AA31" s="31"/>
      <c r="AB31" s="31"/>
      <c r="AC31" s="31"/>
      <c r="AD31" s="13"/>
      <c r="AE31" s="13"/>
      <c r="AF31" s="31"/>
      <c r="AG31" s="8">
        <f t="shared" si="1"/>
        <v>0</v>
      </c>
      <c r="AH31" s="8">
        <f t="shared" si="2"/>
        <v>0</v>
      </c>
      <c r="AI31" s="8">
        <f t="shared" si="3"/>
        <v>0</v>
      </c>
      <c r="AJ31" s="8">
        <f t="shared" si="4"/>
        <v>0</v>
      </c>
      <c r="AK31" s="8">
        <f t="shared" si="5"/>
        <v>0</v>
      </c>
    </row>
    <row r="32" spans="1:37" ht="23.5" customHeight="1" x14ac:dyDescent="0.55000000000000004">
      <c r="A32" s="10" t="s">
        <v>130</v>
      </c>
      <c r="B32" s="13"/>
      <c r="C32" s="13"/>
      <c r="D32" s="31"/>
      <c r="E32" s="31"/>
      <c r="F32" s="31"/>
      <c r="G32" s="31"/>
      <c r="H32" s="31"/>
      <c r="I32" s="13"/>
      <c r="J32" s="13"/>
      <c r="K32" s="31"/>
      <c r="L32" s="31"/>
      <c r="M32" s="31"/>
      <c r="N32" s="31"/>
      <c r="O32" s="31"/>
      <c r="P32" s="13"/>
      <c r="Q32" s="13"/>
      <c r="R32" s="31"/>
      <c r="S32" s="31"/>
      <c r="T32" s="31"/>
      <c r="U32" s="31"/>
      <c r="V32" s="31"/>
      <c r="W32" s="13"/>
      <c r="X32" s="13"/>
      <c r="Y32" s="31"/>
      <c r="Z32" s="31"/>
      <c r="AA32" s="31"/>
      <c r="AB32" s="31"/>
      <c r="AC32" s="31"/>
      <c r="AD32" s="13"/>
      <c r="AE32" s="13"/>
      <c r="AF32" s="31"/>
      <c r="AG32" s="8">
        <f t="shared" si="1"/>
        <v>0</v>
      </c>
      <c r="AH32" s="8">
        <f t="shared" si="2"/>
        <v>0</v>
      </c>
      <c r="AI32" s="8">
        <f t="shared" si="3"/>
        <v>0</v>
      </c>
      <c r="AJ32" s="8">
        <f t="shared" si="4"/>
        <v>0</v>
      </c>
      <c r="AK32" s="8">
        <f t="shared" si="5"/>
        <v>0</v>
      </c>
    </row>
    <row r="33" spans="1:37" ht="23.5" customHeight="1" x14ac:dyDescent="0.55000000000000004">
      <c r="A33" s="10" t="s">
        <v>53</v>
      </c>
      <c r="B33" s="13"/>
      <c r="C33" s="13"/>
      <c r="D33" s="31"/>
      <c r="E33" s="31"/>
      <c r="F33" s="31"/>
      <c r="G33" s="31"/>
      <c r="H33" s="31"/>
      <c r="I33" s="13"/>
      <c r="J33" s="13"/>
      <c r="K33" s="31"/>
      <c r="L33" s="31"/>
      <c r="M33" s="31"/>
      <c r="N33" s="31"/>
      <c r="O33" s="31"/>
      <c r="P33" s="13"/>
      <c r="Q33" s="13"/>
      <c r="R33" s="31"/>
      <c r="S33" s="31"/>
      <c r="T33" s="31"/>
      <c r="U33" s="31"/>
      <c r="V33" s="31"/>
      <c r="W33" s="13"/>
      <c r="X33" s="13"/>
      <c r="Y33" s="31"/>
      <c r="Z33" s="31"/>
      <c r="AA33" s="31"/>
      <c r="AB33" s="31"/>
      <c r="AC33" s="31"/>
      <c r="AD33" s="13"/>
      <c r="AE33" s="13"/>
      <c r="AF33" s="31"/>
      <c r="AG33" s="8">
        <f t="shared" si="1"/>
        <v>0</v>
      </c>
      <c r="AH33" s="8">
        <f t="shared" si="2"/>
        <v>0</v>
      </c>
      <c r="AI33" s="8">
        <f t="shared" si="3"/>
        <v>0</v>
      </c>
      <c r="AJ33" s="8">
        <f t="shared" si="4"/>
        <v>0</v>
      </c>
      <c r="AK33" s="8">
        <f t="shared" si="5"/>
        <v>0</v>
      </c>
    </row>
    <row r="34" spans="1:37" ht="23.5" customHeight="1" x14ac:dyDescent="0.55000000000000004">
      <c r="A34" s="10" t="s">
        <v>70</v>
      </c>
      <c r="B34" s="13"/>
      <c r="C34" s="13"/>
      <c r="D34" s="31"/>
      <c r="E34" s="31"/>
      <c r="F34" s="31"/>
      <c r="G34" s="31"/>
      <c r="H34" s="31"/>
      <c r="I34" s="13"/>
      <c r="J34" s="13"/>
      <c r="K34" s="31"/>
      <c r="L34" s="31"/>
      <c r="M34" s="31"/>
      <c r="N34" s="31"/>
      <c r="O34" s="31"/>
      <c r="P34" s="13"/>
      <c r="Q34" s="13"/>
      <c r="R34" s="31"/>
      <c r="S34" s="31"/>
      <c r="T34" s="31"/>
      <c r="U34" s="31"/>
      <c r="V34" s="31"/>
      <c r="W34" s="13"/>
      <c r="X34" s="13"/>
      <c r="Y34" s="31"/>
      <c r="Z34" s="31"/>
      <c r="AA34" s="31"/>
      <c r="AB34" s="31"/>
      <c r="AC34" s="31"/>
      <c r="AD34" s="13"/>
      <c r="AE34" s="13"/>
      <c r="AF34" s="31"/>
      <c r="AG34" s="8">
        <f t="shared" si="1"/>
        <v>0</v>
      </c>
      <c r="AH34" s="8">
        <f t="shared" si="2"/>
        <v>0</v>
      </c>
      <c r="AI34" s="8">
        <f t="shared" si="3"/>
        <v>0</v>
      </c>
      <c r="AJ34" s="8">
        <f t="shared" si="4"/>
        <v>0</v>
      </c>
      <c r="AK34" s="8">
        <f t="shared" si="5"/>
        <v>0</v>
      </c>
    </row>
    <row r="35" spans="1:37" ht="23.5" customHeight="1" x14ac:dyDescent="0.55000000000000004">
      <c r="A35" s="10" t="s">
        <v>131</v>
      </c>
      <c r="B35" s="13"/>
      <c r="C35" s="13"/>
      <c r="D35" s="31"/>
      <c r="E35" s="31"/>
      <c r="F35" s="31"/>
      <c r="G35" s="31"/>
      <c r="H35" s="31"/>
      <c r="I35" s="13"/>
      <c r="J35" s="13"/>
      <c r="K35" s="31"/>
      <c r="L35" s="31"/>
      <c r="M35" s="31"/>
      <c r="N35" s="31"/>
      <c r="O35" s="31"/>
      <c r="P35" s="13"/>
      <c r="Q35" s="13"/>
      <c r="R35" s="31"/>
      <c r="S35" s="31"/>
      <c r="T35" s="31"/>
      <c r="U35" s="31"/>
      <c r="V35" s="31"/>
      <c r="W35" s="13"/>
      <c r="X35" s="13"/>
      <c r="Y35" s="31"/>
      <c r="Z35" s="31"/>
      <c r="AA35" s="31"/>
      <c r="AB35" s="31"/>
      <c r="AC35" s="31"/>
      <c r="AD35" s="13"/>
      <c r="AE35" s="13"/>
      <c r="AF35" s="31"/>
      <c r="AG35" s="8">
        <f t="shared" si="1"/>
        <v>0</v>
      </c>
      <c r="AH35" s="8">
        <f t="shared" si="2"/>
        <v>0</v>
      </c>
      <c r="AI35" s="8">
        <f t="shared" si="3"/>
        <v>0</v>
      </c>
      <c r="AJ35" s="8">
        <f t="shared" si="4"/>
        <v>0</v>
      </c>
      <c r="AK35" s="8">
        <f t="shared" si="5"/>
        <v>0</v>
      </c>
    </row>
  </sheetData>
  <mergeCells count="9">
    <mergeCell ref="AM3:AM4"/>
    <mergeCell ref="AN3:AN4"/>
    <mergeCell ref="A1:AK2"/>
    <mergeCell ref="A3:A4"/>
    <mergeCell ref="AG3:AG4"/>
    <mergeCell ref="AH3:AH4"/>
    <mergeCell ref="AI3:AI4"/>
    <mergeCell ref="AJ3:AJ4"/>
    <mergeCell ref="AK3:AK4"/>
  </mergeCells>
  <conditionalFormatting sqref="B5:AF35">
    <cfRule type="cellIs" dxfId="25" priority="2" operator="equal">
      <formula>"U"</formula>
    </cfRule>
    <cfRule type="cellIs" dxfId="24" priority="3" operator="equal">
      <formula>"M"</formula>
    </cfRule>
    <cfRule type="beginsWith" dxfId="23" priority="4" operator="beginsWith" text="S">
      <formula>LEFT(B5,1)="S"</formula>
    </cfRule>
    <cfRule type="beginsWith" dxfId="22" priority="5" operator="beginsWith" text="V">
      <formula>LEFT(B5,1)="V"</formula>
    </cfRule>
  </conditionalFormatting>
  <conditionalFormatting sqref="AG5:AK35">
    <cfRule type="cellIs" dxfId="21" priority="1" operator="equal">
      <formula>0</formula>
    </cfRule>
  </conditionalFormatting>
  <dataValidations count="1">
    <dataValidation type="list" allowBlank="1" showInputMessage="1" showErrorMessage="1" sqref="B5:AF35" xr:uid="{00000000-0002-0000-0A00-000000000000}">
      <formula1>$AN$5:$AN$12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B2F3-35F6-4F65-BD0F-EAB583BAD6EA}">
  <sheetPr codeName="Sheet11"/>
  <dimension ref="A1:AO35"/>
  <sheetViews>
    <sheetView zoomScale="57" zoomScaleNormal="80" workbookViewId="0">
      <selection activeCell="AG15" sqref="AG15"/>
    </sheetView>
  </sheetViews>
  <sheetFormatPr defaultRowHeight="14.5" x14ac:dyDescent="0.35"/>
  <cols>
    <col min="1" max="1" width="36.26953125" customWidth="1"/>
    <col min="2" max="2" width="5.26953125" bestFit="1" customWidth="1"/>
    <col min="3" max="31" width="5.7265625" customWidth="1"/>
    <col min="32" max="32" width="9.1796875" customWidth="1"/>
    <col min="33" max="36" width="11.26953125" customWidth="1"/>
    <col min="37" max="37" width="9.1796875" customWidth="1"/>
    <col min="38" max="38" width="29.26953125" bestFit="1" customWidth="1"/>
  </cols>
  <sheetData>
    <row r="1" spans="1:41" s="3" customFormat="1" ht="25.15" customHeight="1" x14ac:dyDescent="0.35">
      <c r="A1" s="62" t="s">
        <v>142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2"/>
      <c r="AL1" s="2"/>
      <c r="AM1" s="2"/>
      <c r="AN1" s="2"/>
      <c r="AO1" s="2"/>
    </row>
    <row r="2" spans="1:41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2"/>
      <c r="AL2" s="2"/>
      <c r="AM2" s="2"/>
      <c r="AN2" s="2"/>
      <c r="AO2" s="2"/>
    </row>
    <row r="3" spans="1:41" s="3" customFormat="1" ht="25.15" customHeight="1" x14ac:dyDescent="0.35">
      <c r="A3" s="72" t="s">
        <v>136</v>
      </c>
      <c r="B3" s="47" t="str">
        <f>IF(B4="","",INDEX({"Sun";"Mon";"Tue";"Wen";"Thu";"Fri";"Sat"},WEEKDAY(B4,1)))</f>
        <v>Tue</v>
      </c>
      <c r="C3" s="47" t="str">
        <f>IF(C4="","",INDEX({"Sun";"Mon";"Tue";"Wen";"Thu";"Fri";"Sat"},WEEKDAY(C4,1)))</f>
        <v>Wen</v>
      </c>
      <c r="D3" s="47" t="str">
        <f>IF(D4="","",INDEX({"Sun";"Mon";"Tue";"Wen";"Thu";"Fri";"Sat"},WEEKDAY(D4,1)))</f>
        <v>Thu</v>
      </c>
      <c r="E3" s="47" t="str">
        <f>IF(E4="","",INDEX({"Sun";"Mon";"Tue";"Wen";"Thu";"Fri";"Sat"},WEEKDAY(E4,1)))</f>
        <v>Fri</v>
      </c>
      <c r="F3" s="47" t="str">
        <f>IF(F4="","",INDEX({"Sun";"Mon";"Tue";"Wen";"Thu";"Fri";"Sat"},WEEKDAY(F4,1)))</f>
        <v>Sat</v>
      </c>
      <c r="G3" s="47" t="str">
        <f>IF(G4="","",INDEX({"Sun";"Mon";"Tue";"Wen";"Thu";"Fri";"Sat"},WEEKDAY(G4,1)))</f>
        <v>Sun</v>
      </c>
      <c r="H3" s="47" t="str">
        <f>IF(H4="","",INDEX({"Sun";"Mon";"Tue";"Wen";"Thu";"Fri";"Sat"},WEEKDAY(H4,1)))</f>
        <v>Mon</v>
      </c>
      <c r="I3" s="47" t="str">
        <f>IF(I4="","",INDEX({"Sun";"Mon";"Tue";"Wen";"Thu";"Fri";"Sat"},WEEKDAY(I4,1)))</f>
        <v>Tue</v>
      </c>
      <c r="J3" s="47" t="str">
        <f>IF(J4="","",INDEX({"Sun";"Mon";"Tue";"Wen";"Thu";"Fri";"Sat"},WEEKDAY(J4,1)))</f>
        <v>Wen</v>
      </c>
      <c r="K3" s="47" t="str">
        <f>IF(K4="","",INDEX({"Sun";"Mon";"Tue";"Wen";"Thu";"Fri";"Sat"},WEEKDAY(K4,1)))</f>
        <v>Thu</v>
      </c>
      <c r="L3" s="47" t="str">
        <f>IF(L4="","",INDEX({"Sun";"Mon";"Tue";"Wen";"Thu";"Fri";"Sat"},WEEKDAY(L4,1)))</f>
        <v>Fri</v>
      </c>
      <c r="M3" s="47" t="str">
        <f>IF(M4="","",INDEX({"Sun";"Mon";"Tue";"Wen";"Thu";"Fri";"Sat"},WEEKDAY(M4,1)))</f>
        <v>Sat</v>
      </c>
      <c r="N3" s="47" t="str">
        <f>IF(N4="","",INDEX({"Sun";"Mon";"Tue";"Wen";"Thu";"Fri";"Sat"},WEEKDAY(N4,1)))</f>
        <v>Sun</v>
      </c>
      <c r="O3" s="47" t="str">
        <f>IF(O4="","",INDEX({"Sun";"Mon";"Tue";"Wen";"Thu";"Fri";"Sat"},WEEKDAY(O4,1)))</f>
        <v>Mon</v>
      </c>
      <c r="P3" s="47" t="str">
        <f>IF(P4="","",INDEX({"Sun";"Mon";"Tue";"Wen";"Thu";"Fri";"Sat"},WEEKDAY(P4,1)))</f>
        <v>Tue</v>
      </c>
      <c r="Q3" s="47" t="str">
        <f>IF(Q4="","",INDEX({"Sun";"Mon";"Tue";"Wen";"Thu";"Fri";"Sat"},WEEKDAY(Q4,1)))</f>
        <v>Wen</v>
      </c>
      <c r="R3" s="47" t="str">
        <f>IF(R4="","",INDEX({"Sun";"Mon";"Tue";"Wen";"Thu";"Fri";"Sat"},WEEKDAY(R4,1)))</f>
        <v>Thu</v>
      </c>
      <c r="S3" s="47" t="str">
        <f>IF(S4="","",INDEX({"Sun";"Mon";"Tue";"Wen";"Thu";"Fri";"Sat"},WEEKDAY(S4,1)))</f>
        <v>Fri</v>
      </c>
      <c r="T3" s="47" t="str">
        <f>IF(T4="","",INDEX({"Sun";"Mon";"Tue";"Wen";"Thu";"Fri";"Sat"},WEEKDAY(T4,1)))</f>
        <v>Sat</v>
      </c>
      <c r="U3" s="47" t="str">
        <f>IF(U4="","",INDEX({"Sun";"Mon";"Tue";"Wen";"Thu";"Fri";"Sat"},WEEKDAY(U4,1)))</f>
        <v>Sun</v>
      </c>
      <c r="V3" s="47" t="str">
        <f>IF(V4="","",INDEX({"Sun";"Mon";"Tue";"Wen";"Thu";"Fri";"Sat"},WEEKDAY(V4,1)))</f>
        <v>Mon</v>
      </c>
      <c r="W3" s="47" t="str">
        <f>IF(W4="","",INDEX({"Sun";"Mon";"Tue";"Wen";"Thu";"Fri";"Sat"},WEEKDAY(W4,1)))</f>
        <v>Tue</v>
      </c>
      <c r="X3" s="47" t="str">
        <f>IF(X4="","",INDEX({"Sun";"Mon";"Tue";"Wen";"Thu";"Fri";"Sat"},WEEKDAY(X4,1)))</f>
        <v>Wen</v>
      </c>
      <c r="Y3" s="47" t="str">
        <f>IF(Y4="","",INDEX({"Sun";"Mon";"Tue";"Wen";"Thu";"Fri";"Sat"},WEEKDAY(Y4,1)))</f>
        <v>Thu</v>
      </c>
      <c r="Z3" s="47" t="str">
        <f>IF(Z4="","",INDEX({"Sun";"Mon";"Tue";"Wen";"Thu";"Fri";"Sat"},WEEKDAY(Z4,1)))</f>
        <v>Fri</v>
      </c>
      <c r="AA3" s="47" t="str">
        <f>IF(AA4="","",INDEX({"Sun";"Mon";"Tue";"Wen";"Thu";"Fri";"Sat"},WEEKDAY(AA4,1)))</f>
        <v>Sat</v>
      </c>
      <c r="AB3" s="47" t="str">
        <f>IF(AB4="","",INDEX({"Sun";"Mon";"Tue";"Wen";"Thu";"Fri";"Sat"},WEEKDAY(AB4,1)))</f>
        <v>Sun</v>
      </c>
      <c r="AC3" s="47" t="str">
        <f>IF(AC4="","",INDEX({"Sun";"Mon";"Tue";"Wen";"Thu";"Fri";"Sat"},WEEKDAY(AC4,1)))</f>
        <v>Mon</v>
      </c>
      <c r="AD3" s="47" t="str">
        <f>IF(AD4="","",INDEX({"Sun";"Mon";"Tue";"Wen";"Thu";"Fri";"Sat"},WEEKDAY(AD4,1)))</f>
        <v>Tue</v>
      </c>
      <c r="AE3" s="47" t="str">
        <f>IF(AE4="","",INDEX({"Sun";"Mon";"Tue";"Wen";"Thu";"Fri";"Sat"},WEEKDAY(AE4,1)))</f>
        <v>Wen</v>
      </c>
      <c r="AF3" s="77" t="s">
        <v>112</v>
      </c>
      <c r="AG3" s="66" t="s">
        <v>113</v>
      </c>
      <c r="AH3" s="78" t="s">
        <v>133</v>
      </c>
      <c r="AI3" s="79" t="s">
        <v>115</v>
      </c>
      <c r="AJ3" s="73" t="s">
        <v>116</v>
      </c>
      <c r="AK3" s="28"/>
      <c r="AL3" s="70" t="s">
        <v>134</v>
      </c>
      <c r="AM3" s="70" t="s">
        <v>118</v>
      </c>
      <c r="AN3" s="2"/>
      <c r="AO3" s="2"/>
    </row>
    <row r="4" spans="1:41" s="3" customFormat="1" ht="25.15" customHeight="1" x14ac:dyDescent="0.35">
      <c r="A4" s="72"/>
      <c r="B4" s="48">
        <f>DATE(Year!$B$2,9,1)</f>
        <v>46266</v>
      </c>
      <c r="C4" s="48">
        <f t="shared" ref="C4:AE4" si="0">B4+1</f>
        <v>46267</v>
      </c>
      <c r="D4" s="48">
        <f t="shared" si="0"/>
        <v>46268</v>
      </c>
      <c r="E4" s="48">
        <f t="shared" si="0"/>
        <v>46269</v>
      </c>
      <c r="F4" s="48">
        <f t="shared" si="0"/>
        <v>46270</v>
      </c>
      <c r="G4" s="48">
        <f t="shared" si="0"/>
        <v>46271</v>
      </c>
      <c r="H4" s="48">
        <f t="shared" si="0"/>
        <v>46272</v>
      </c>
      <c r="I4" s="48">
        <f t="shared" si="0"/>
        <v>46273</v>
      </c>
      <c r="J4" s="48">
        <f t="shared" si="0"/>
        <v>46274</v>
      </c>
      <c r="K4" s="48">
        <f t="shared" si="0"/>
        <v>46275</v>
      </c>
      <c r="L4" s="48">
        <f t="shared" si="0"/>
        <v>46276</v>
      </c>
      <c r="M4" s="48">
        <f t="shared" si="0"/>
        <v>46277</v>
      </c>
      <c r="N4" s="48">
        <f t="shared" si="0"/>
        <v>46278</v>
      </c>
      <c r="O4" s="48">
        <f t="shared" si="0"/>
        <v>46279</v>
      </c>
      <c r="P4" s="48">
        <f t="shared" si="0"/>
        <v>46280</v>
      </c>
      <c r="Q4" s="48">
        <f t="shared" si="0"/>
        <v>46281</v>
      </c>
      <c r="R4" s="48">
        <f t="shared" si="0"/>
        <v>46282</v>
      </c>
      <c r="S4" s="48">
        <f t="shared" si="0"/>
        <v>46283</v>
      </c>
      <c r="T4" s="48">
        <f t="shared" si="0"/>
        <v>46284</v>
      </c>
      <c r="U4" s="48">
        <f t="shared" si="0"/>
        <v>46285</v>
      </c>
      <c r="V4" s="48">
        <f t="shared" si="0"/>
        <v>46286</v>
      </c>
      <c r="W4" s="48">
        <f t="shared" si="0"/>
        <v>46287</v>
      </c>
      <c r="X4" s="48">
        <f t="shared" si="0"/>
        <v>46288</v>
      </c>
      <c r="Y4" s="48">
        <f t="shared" si="0"/>
        <v>46289</v>
      </c>
      <c r="Z4" s="48">
        <f t="shared" si="0"/>
        <v>46290</v>
      </c>
      <c r="AA4" s="48">
        <f t="shared" si="0"/>
        <v>46291</v>
      </c>
      <c r="AB4" s="48">
        <f t="shared" si="0"/>
        <v>46292</v>
      </c>
      <c r="AC4" s="48">
        <f t="shared" si="0"/>
        <v>46293</v>
      </c>
      <c r="AD4" s="48">
        <f t="shared" si="0"/>
        <v>46294</v>
      </c>
      <c r="AE4" s="48">
        <f t="shared" si="0"/>
        <v>46295</v>
      </c>
      <c r="AF4" s="77"/>
      <c r="AG4" s="66"/>
      <c r="AH4" s="78"/>
      <c r="AI4" s="79"/>
      <c r="AJ4" s="73"/>
      <c r="AK4" s="28"/>
      <c r="AL4" s="71"/>
      <c r="AM4" s="71"/>
      <c r="AN4" s="2"/>
      <c r="AO4" s="2"/>
    </row>
    <row r="5" spans="1:41" s="3" customFormat="1" ht="24.75" customHeight="1" x14ac:dyDescent="0.55000000000000004">
      <c r="A5" s="9" t="s">
        <v>14</v>
      </c>
      <c r="B5" s="31"/>
      <c r="C5" s="31"/>
      <c r="D5" s="31"/>
      <c r="E5" s="31"/>
      <c r="F5" s="13"/>
      <c r="G5" s="13"/>
      <c r="H5" s="31"/>
      <c r="I5" s="31"/>
      <c r="J5" s="31"/>
      <c r="K5" s="31"/>
      <c r="L5" s="31"/>
      <c r="M5" s="13"/>
      <c r="N5" s="13"/>
      <c r="O5" s="31"/>
      <c r="P5" s="31"/>
      <c r="Q5" s="31"/>
      <c r="R5" s="31"/>
      <c r="S5" s="31"/>
      <c r="T5" s="13"/>
      <c r="U5" s="13"/>
      <c r="V5" s="31"/>
      <c r="W5" s="31"/>
      <c r="X5" s="31"/>
      <c r="Y5" s="31"/>
      <c r="Z5" s="31"/>
      <c r="AA5" s="13"/>
      <c r="AB5" s="13"/>
      <c r="AC5" s="31"/>
      <c r="AD5" s="31"/>
      <c r="AE5" s="31"/>
      <c r="AF5" s="8">
        <f t="shared" ref="AF5:AF35" si="1">SUM(AG5:AJ5)</f>
        <v>0</v>
      </c>
      <c r="AG5" s="8">
        <f t="shared" ref="AG5:AG35" si="2">COUNTIF(B5:AE5,"V")+COUNTIF(B5:AE5,"V1")/2+COUNTIF(B5:AE5,"V2")/2</f>
        <v>0</v>
      </c>
      <c r="AH5" s="8">
        <f t="shared" ref="AH5:AH35" si="3">COUNTIF(B5:AE5,"S")+COUNTIF(B5:AE5,"S1")/2+COUNTIF(B5:AE5,"S2")/2</f>
        <v>0</v>
      </c>
      <c r="AI5" s="8">
        <f t="shared" ref="AI5:AI35" si="4">COUNTIF(B5:AE5,"M")</f>
        <v>0</v>
      </c>
      <c r="AJ5" s="8">
        <f t="shared" ref="AJ5:AJ35" si="5">COUNTIF(B5:AE5,"U")</f>
        <v>0</v>
      </c>
      <c r="AK5" s="32"/>
      <c r="AL5" s="41" t="s">
        <v>15</v>
      </c>
      <c r="AM5" s="34" t="s">
        <v>119</v>
      </c>
      <c r="AN5" s="2"/>
      <c r="AO5" s="2"/>
    </row>
    <row r="6" spans="1:41" s="3" customFormat="1" ht="25.15" customHeight="1" x14ac:dyDescent="0.55000000000000004">
      <c r="A6" s="10" t="s">
        <v>37</v>
      </c>
      <c r="B6" s="31"/>
      <c r="C6" s="31"/>
      <c r="D6" s="31"/>
      <c r="E6" s="31"/>
      <c r="F6" s="13"/>
      <c r="G6" s="13"/>
      <c r="H6" s="31"/>
      <c r="I6" s="31"/>
      <c r="J6" s="31"/>
      <c r="K6" s="31"/>
      <c r="L6" s="31"/>
      <c r="M6" s="13"/>
      <c r="N6" s="13"/>
      <c r="O6" s="31"/>
      <c r="P6" s="31"/>
      <c r="Q6" s="31"/>
      <c r="R6" s="31"/>
      <c r="S6" s="31"/>
      <c r="T6" s="13"/>
      <c r="U6" s="13"/>
      <c r="V6" s="31"/>
      <c r="W6" s="31"/>
      <c r="X6" s="31"/>
      <c r="Y6" s="31"/>
      <c r="Z6" s="31"/>
      <c r="AA6" s="13"/>
      <c r="AB6" s="13"/>
      <c r="AC6" s="31"/>
      <c r="AD6" s="31"/>
      <c r="AE6" s="31"/>
      <c r="AF6" s="8">
        <f t="shared" si="1"/>
        <v>0</v>
      </c>
      <c r="AG6" s="8">
        <f t="shared" si="2"/>
        <v>0</v>
      </c>
      <c r="AH6" s="8">
        <f t="shared" si="3"/>
        <v>0</v>
      </c>
      <c r="AI6" s="8">
        <f t="shared" si="4"/>
        <v>0</v>
      </c>
      <c r="AJ6" s="8">
        <f t="shared" si="5"/>
        <v>0</v>
      </c>
      <c r="AK6" s="32"/>
      <c r="AL6" s="42" t="s">
        <v>120</v>
      </c>
      <c r="AM6" s="34" t="s">
        <v>121</v>
      </c>
      <c r="AN6" s="2"/>
      <c r="AO6" s="2"/>
    </row>
    <row r="7" spans="1:41" s="3" customFormat="1" ht="25.15" customHeight="1" x14ac:dyDescent="0.55000000000000004">
      <c r="A7" s="10" t="s">
        <v>17</v>
      </c>
      <c r="B7" s="31"/>
      <c r="C7" s="31"/>
      <c r="D7" s="31"/>
      <c r="E7" s="31"/>
      <c r="F7" s="13"/>
      <c r="G7" s="13"/>
      <c r="H7" s="31"/>
      <c r="I7" s="31"/>
      <c r="J7" s="31"/>
      <c r="K7" s="31"/>
      <c r="L7" s="31"/>
      <c r="M7" s="13"/>
      <c r="N7" s="13"/>
      <c r="O7" s="31"/>
      <c r="P7" s="31"/>
      <c r="Q7" s="31"/>
      <c r="R7" s="31"/>
      <c r="S7" s="31"/>
      <c r="T7" s="13"/>
      <c r="U7" s="13"/>
      <c r="V7" s="31"/>
      <c r="W7" s="31"/>
      <c r="X7" s="31"/>
      <c r="Y7" s="31"/>
      <c r="Z7" s="31"/>
      <c r="AA7" s="13"/>
      <c r="AB7" s="13"/>
      <c r="AC7" s="31"/>
      <c r="AD7" s="31"/>
      <c r="AE7" s="31"/>
      <c r="AF7" s="8">
        <f t="shared" si="1"/>
        <v>0</v>
      </c>
      <c r="AG7" s="8">
        <f t="shared" si="2"/>
        <v>0</v>
      </c>
      <c r="AH7" s="8">
        <f t="shared" si="3"/>
        <v>0</v>
      </c>
      <c r="AI7" s="8">
        <f t="shared" si="4"/>
        <v>0</v>
      </c>
      <c r="AJ7" s="8">
        <f t="shared" si="5"/>
        <v>0</v>
      </c>
      <c r="AK7" s="32"/>
      <c r="AL7" s="43" t="s">
        <v>23</v>
      </c>
      <c r="AM7" s="34" t="s">
        <v>122</v>
      </c>
      <c r="AN7" s="2"/>
      <c r="AO7" s="2"/>
    </row>
    <row r="8" spans="1:41" s="3" customFormat="1" ht="25.15" customHeight="1" x14ac:dyDescent="0.55000000000000004">
      <c r="A8" s="10" t="s">
        <v>41</v>
      </c>
      <c r="B8" s="31"/>
      <c r="C8" s="31"/>
      <c r="D8" s="31"/>
      <c r="E8" s="31"/>
      <c r="F8" s="13"/>
      <c r="G8" s="13"/>
      <c r="H8" s="31"/>
      <c r="I8" s="31"/>
      <c r="J8" s="31"/>
      <c r="K8" s="31"/>
      <c r="L8" s="31"/>
      <c r="M8" s="13"/>
      <c r="N8" s="13"/>
      <c r="O8" s="31"/>
      <c r="P8" s="31"/>
      <c r="Q8" s="31"/>
      <c r="R8" s="31"/>
      <c r="S8" s="31"/>
      <c r="T8" s="13"/>
      <c r="U8" s="13"/>
      <c r="V8" s="31"/>
      <c r="W8" s="31"/>
      <c r="X8" s="31"/>
      <c r="Y8" s="31"/>
      <c r="Z8" s="31"/>
      <c r="AA8" s="13"/>
      <c r="AB8" s="13"/>
      <c r="AC8" s="31"/>
      <c r="AD8" s="31"/>
      <c r="AE8" s="31"/>
      <c r="AF8" s="8">
        <f t="shared" si="1"/>
        <v>0</v>
      </c>
      <c r="AG8" s="8">
        <f t="shared" si="2"/>
        <v>0</v>
      </c>
      <c r="AH8" s="8">
        <f t="shared" si="3"/>
        <v>0</v>
      </c>
      <c r="AI8" s="8">
        <f t="shared" si="4"/>
        <v>0</v>
      </c>
      <c r="AJ8" s="8">
        <f t="shared" si="5"/>
        <v>0</v>
      </c>
      <c r="AK8" s="32"/>
      <c r="AL8" s="44" t="s">
        <v>123</v>
      </c>
      <c r="AM8" s="34" t="s">
        <v>124</v>
      </c>
      <c r="AN8" s="2"/>
      <c r="AO8" s="2"/>
    </row>
    <row r="9" spans="1:41" s="3" customFormat="1" ht="25.15" customHeight="1" x14ac:dyDescent="0.55000000000000004">
      <c r="A9" s="10" t="s">
        <v>36</v>
      </c>
      <c r="B9" s="31"/>
      <c r="C9" s="31"/>
      <c r="D9" s="31"/>
      <c r="E9" s="31"/>
      <c r="F9" s="13"/>
      <c r="G9" s="13"/>
      <c r="H9" s="31"/>
      <c r="I9" s="31"/>
      <c r="J9" s="31"/>
      <c r="K9" s="31"/>
      <c r="L9" s="31"/>
      <c r="M9" s="13"/>
      <c r="N9" s="13"/>
      <c r="O9" s="31"/>
      <c r="P9" s="31"/>
      <c r="Q9" s="31"/>
      <c r="R9" s="31"/>
      <c r="S9" s="31"/>
      <c r="T9" s="13"/>
      <c r="U9" s="13"/>
      <c r="V9" s="31"/>
      <c r="W9" s="31"/>
      <c r="X9" s="31"/>
      <c r="Y9" s="31"/>
      <c r="Z9" s="31"/>
      <c r="AA9" s="13"/>
      <c r="AB9" s="13"/>
      <c r="AC9" s="31"/>
      <c r="AD9" s="31"/>
      <c r="AE9" s="31"/>
      <c r="AF9" s="8">
        <f t="shared" si="1"/>
        <v>0</v>
      </c>
      <c r="AG9" s="8">
        <f t="shared" si="2"/>
        <v>0</v>
      </c>
      <c r="AH9" s="8">
        <f t="shared" si="3"/>
        <v>0</v>
      </c>
      <c r="AI9" s="8">
        <f t="shared" si="4"/>
        <v>0</v>
      </c>
      <c r="AJ9" s="8">
        <f t="shared" si="5"/>
        <v>0</v>
      </c>
      <c r="AK9" s="32"/>
      <c r="AL9" s="38" t="s">
        <v>125</v>
      </c>
      <c r="AM9" s="34" t="s">
        <v>126</v>
      </c>
      <c r="AN9" s="2"/>
      <c r="AO9" s="2"/>
    </row>
    <row r="10" spans="1:41" s="3" customFormat="1" ht="25.15" customHeight="1" x14ac:dyDescent="0.55000000000000004">
      <c r="A10" s="10" t="s">
        <v>46</v>
      </c>
      <c r="B10" s="31"/>
      <c r="C10" s="31"/>
      <c r="D10" s="31"/>
      <c r="E10" s="31"/>
      <c r="F10" s="13"/>
      <c r="G10" s="13"/>
      <c r="H10" s="31"/>
      <c r="I10" s="31"/>
      <c r="J10" s="31"/>
      <c r="K10" s="31"/>
      <c r="L10" s="31"/>
      <c r="M10" s="13"/>
      <c r="N10" s="13"/>
      <c r="O10" s="31"/>
      <c r="P10" s="31"/>
      <c r="Q10" s="31"/>
      <c r="R10" s="31"/>
      <c r="S10" s="31"/>
      <c r="T10" s="13"/>
      <c r="U10" s="13"/>
      <c r="V10" s="31"/>
      <c r="W10" s="31"/>
      <c r="X10" s="31"/>
      <c r="Y10" s="31"/>
      <c r="Z10" s="31"/>
      <c r="AA10" s="13"/>
      <c r="AB10" s="13"/>
      <c r="AC10" s="31"/>
      <c r="AD10" s="31"/>
      <c r="AE10" s="31"/>
      <c r="AF10" s="8">
        <f t="shared" si="1"/>
        <v>0</v>
      </c>
      <c r="AG10" s="8">
        <f t="shared" si="2"/>
        <v>0</v>
      </c>
      <c r="AH10" s="8">
        <f t="shared" si="3"/>
        <v>0</v>
      </c>
      <c r="AI10" s="8">
        <f t="shared" si="4"/>
        <v>0</v>
      </c>
      <c r="AJ10" s="8">
        <f t="shared" si="5"/>
        <v>0</v>
      </c>
      <c r="AK10" s="32"/>
      <c r="AL10" s="39" t="s">
        <v>116</v>
      </c>
      <c r="AM10" s="34" t="s">
        <v>127</v>
      </c>
      <c r="AN10" s="2"/>
      <c r="AO10" s="2"/>
    </row>
    <row r="11" spans="1:41" s="3" customFormat="1" ht="25.15" customHeight="1" x14ac:dyDescent="0.55000000000000004">
      <c r="A11" s="10" t="s">
        <v>43</v>
      </c>
      <c r="B11" s="31"/>
      <c r="C11" s="31"/>
      <c r="D11" s="31"/>
      <c r="E11" s="31"/>
      <c r="F11" s="13"/>
      <c r="G11" s="13"/>
      <c r="H11" s="31"/>
      <c r="I11" s="31"/>
      <c r="J11" s="31"/>
      <c r="K11" s="31"/>
      <c r="L11" s="31"/>
      <c r="M11" s="13"/>
      <c r="N11" s="13"/>
      <c r="O11" s="31"/>
      <c r="P11" s="31"/>
      <c r="Q11" s="31"/>
      <c r="R11" s="31"/>
      <c r="S11" s="31"/>
      <c r="T11" s="13"/>
      <c r="U11" s="13"/>
      <c r="V11" s="31"/>
      <c r="W11" s="31"/>
      <c r="X11" s="31"/>
      <c r="Y11" s="31"/>
      <c r="Z11" s="31"/>
      <c r="AA11" s="13"/>
      <c r="AB11" s="13"/>
      <c r="AC11" s="31"/>
      <c r="AD11" s="31"/>
      <c r="AE11" s="31"/>
      <c r="AF11" s="8">
        <f t="shared" si="1"/>
        <v>0</v>
      </c>
      <c r="AG11" s="8">
        <f t="shared" si="2"/>
        <v>0</v>
      </c>
      <c r="AH11" s="8">
        <f t="shared" si="3"/>
        <v>0</v>
      </c>
      <c r="AI11" s="8">
        <f t="shared" si="4"/>
        <v>0</v>
      </c>
      <c r="AJ11" s="8">
        <f t="shared" si="5"/>
        <v>0</v>
      </c>
      <c r="AK11" s="32"/>
      <c r="AL11" s="11"/>
      <c r="AM11" s="49"/>
      <c r="AN11" s="2"/>
      <c r="AO11" s="2"/>
    </row>
    <row r="12" spans="1:41" s="3" customFormat="1" ht="25.15" customHeight="1" x14ac:dyDescent="0.55000000000000004">
      <c r="A12" s="10" t="s">
        <v>47</v>
      </c>
      <c r="B12" s="31"/>
      <c r="C12" s="31"/>
      <c r="D12" s="31"/>
      <c r="E12" s="31"/>
      <c r="F12" s="13"/>
      <c r="G12" s="13"/>
      <c r="H12" s="31"/>
      <c r="I12" s="31"/>
      <c r="J12" s="31"/>
      <c r="K12" s="31"/>
      <c r="L12" s="31"/>
      <c r="M12" s="13"/>
      <c r="N12" s="13"/>
      <c r="O12" s="31"/>
      <c r="P12" s="31"/>
      <c r="Q12" s="31"/>
      <c r="R12" s="31"/>
      <c r="S12" s="31"/>
      <c r="T12" s="13"/>
      <c r="U12" s="13"/>
      <c r="V12" s="31"/>
      <c r="W12" s="31"/>
      <c r="X12" s="31"/>
      <c r="Y12" s="31"/>
      <c r="Z12" s="31"/>
      <c r="AA12" s="13"/>
      <c r="AB12" s="13"/>
      <c r="AC12" s="31"/>
      <c r="AD12" s="31"/>
      <c r="AE12" s="31"/>
      <c r="AF12" s="8">
        <f t="shared" si="1"/>
        <v>0</v>
      </c>
      <c r="AG12" s="8">
        <f t="shared" si="2"/>
        <v>0</v>
      </c>
      <c r="AH12" s="8">
        <f t="shared" si="3"/>
        <v>0</v>
      </c>
      <c r="AI12" s="8">
        <f t="shared" si="4"/>
        <v>0</v>
      </c>
      <c r="AJ12" s="8">
        <f t="shared" si="5"/>
        <v>0</v>
      </c>
      <c r="AK12" s="32"/>
      <c r="AL12" s="11"/>
      <c r="AM12" s="49"/>
      <c r="AN12" s="2"/>
      <c r="AO12" s="2"/>
    </row>
    <row r="13" spans="1:41" s="3" customFormat="1" ht="25.15" customHeight="1" x14ac:dyDescent="0.55000000000000004">
      <c r="A13" s="10" t="s">
        <v>32</v>
      </c>
      <c r="B13" s="31"/>
      <c r="C13" s="31"/>
      <c r="D13" s="31"/>
      <c r="E13" s="31"/>
      <c r="F13" s="13"/>
      <c r="G13" s="13"/>
      <c r="H13" s="31"/>
      <c r="I13" s="31"/>
      <c r="J13" s="31"/>
      <c r="K13" s="31"/>
      <c r="L13" s="31"/>
      <c r="M13" s="13"/>
      <c r="N13" s="13"/>
      <c r="O13" s="31"/>
      <c r="P13" s="31"/>
      <c r="Q13" s="31"/>
      <c r="R13" s="31"/>
      <c r="S13" s="31"/>
      <c r="T13" s="13"/>
      <c r="U13" s="13"/>
      <c r="V13" s="31"/>
      <c r="W13" s="31"/>
      <c r="X13" s="31"/>
      <c r="Y13" s="31"/>
      <c r="Z13" s="31"/>
      <c r="AA13" s="13"/>
      <c r="AB13" s="13"/>
      <c r="AC13" s="31"/>
      <c r="AD13" s="31"/>
      <c r="AE13" s="31"/>
      <c r="AF13" s="8">
        <f t="shared" si="1"/>
        <v>0</v>
      </c>
      <c r="AG13" s="8">
        <f t="shared" si="2"/>
        <v>0</v>
      </c>
      <c r="AH13" s="8">
        <f t="shared" si="3"/>
        <v>0</v>
      </c>
      <c r="AI13" s="8">
        <f t="shared" si="4"/>
        <v>0</v>
      </c>
      <c r="AJ13" s="8">
        <f t="shared" si="5"/>
        <v>0</v>
      </c>
      <c r="AK13" s="32"/>
      <c r="AL13" s="2"/>
      <c r="AM13" s="2"/>
      <c r="AN13" s="2"/>
      <c r="AO13" s="2"/>
    </row>
    <row r="14" spans="1:41" s="3" customFormat="1" ht="25.15" customHeight="1" x14ac:dyDescent="0.55000000000000004">
      <c r="A14" s="10" t="s">
        <v>40</v>
      </c>
      <c r="B14" s="31"/>
      <c r="C14" s="31"/>
      <c r="D14" s="31"/>
      <c r="E14" s="31"/>
      <c r="F14" s="13"/>
      <c r="G14" s="13"/>
      <c r="H14" s="31"/>
      <c r="I14" s="31"/>
      <c r="J14" s="31"/>
      <c r="K14" s="31"/>
      <c r="L14" s="31"/>
      <c r="M14" s="13"/>
      <c r="N14" s="13"/>
      <c r="O14" s="31"/>
      <c r="P14" s="31"/>
      <c r="Q14" s="31"/>
      <c r="R14" s="31"/>
      <c r="S14" s="31"/>
      <c r="T14" s="13"/>
      <c r="U14" s="13"/>
      <c r="V14" s="31"/>
      <c r="W14" s="31"/>
      <c r="X14" s="31"/>
      <c r="Y14" s="31"/>
      <c r="Z14" s="31"/>
      <c r="AA14" s="13"/>
      <c r="AB14" s="13"/>
      <c r="AC14" s="31"/>
      <c r="AD14" s="31"/>
      <c r="AE14" s="31"/>
      <c r="AF14" s="8">
        <f t="shared" si="1"/>
        <v>0</v>
      </c>
      <c r="AG14" s="8">
        <f t="shared" si="2"/>
        <v>0</v>
      </c>
      <c r="AH14" s="8">
        <f t="shared" si="3"/>
        <v>0</v>
      </c>
      <c r="AI14" s="8">
        <f t="shared" si="4"/>
        <v>0</v>
      </c>
      <c r="AJ14" s="8">
        <f t="shared" si="5"/>
        <v>0</v>
      </c>
      <c r="AK14" s="32"/>
      <c r="AL14" s="2"/>
      <c r="AM14" s="2"/>
      <c r="AN14" s="2"/>
      <c r="AO14" s="2"/>
    </row>
    <row r="15" spans="1:41" s="3" customFormat="1" ht="25.15" customHeight="1" x14ac:dyDescent="0.55000000000000004">
      <c r="A15" s="10" t="s">
        <v>34</v>
      </c>
      <c r="B15" s="31"/>
      <c r="C15" s="31"/>
      <c r="D15" s="31"/>
      <c r="E15" s="31"/>
      <c r="F15" s="13"/>
      <c r="G15" s="13"/>
      <c r="H15" s="31"/>
      <c r="I15" s="31"/>
      <c r="J15" s="31"/>
      <c r="K15" s="31"/>
      <c r="L15" s="31"/>
      <c r="M15" s="13"/>
      <c r="N15" s="13"/>
      <c r="O15" s="31"/>
      <c r="P15" s="31"/>
      <c r="Q15" s="31"/>
      <c r="R15" s="31"/>
      <c r="S15" s="31"/>
      <c r="T15" s="13"/>
      <c r="U15" s="13"/>
      <c r="V15" s="31"/>
      <c r="W15" s="31"/>
      <c r="X15" s="31"/>
      <c r="Y15" s="31"/>
      <c r="Z15" s="31"/>
      <c r="AA15" s="13"/>
      <c r="AB15" s="13"/>
      <c r="AC15" s="31"/>
      <c r="AD15" s="31"/>
      <c r="AE15" s="31"/>
      <c r="AF15" s="8">
        <f t="shared" si="1"/>
        <v>0</v>
      </c>
      <c r="AG15" s="8">
        <f t="shared" si="2"/>
        <v>0</v>
      </c>
      <c r="AH15" s="8">
        <f t="shared" si="3"/>
        <v>0</v>
      </c>
      <c r="AI15" s="8">
        <f t="shared" si="4"/>
        <v>0</v>
      </c>
      <c r="AJ15" s="8">
        <f t="shared" si="5"/>
        <v>0</v>
      </c>
      <c r="AK15" s="2"/>
      <c r="AL15" s="2"/>
      <c r="AM15" s="2"/>
      <c r="AN15" s="2"/>
      <c r="AO15" s="2"/>
    </row>
    <row r="16" spans="1:41" ht="23.5" customHeight="1" x14ac:dyDescent="0.55000000000000004">
      <c r="A16" s="10" t="s">
        <v>29</v>
      </c>
      <c r="B16" s="31"/>
      <c r="C16" s="31"/>
      <c r="D16" s="31"/>
      <c r="E16" s="31"/>
      <c r="F16" s="13"/>
      <c r="G16" s="13"/>
      <c r="H16" s="31"/>
      <c r="I16" s="31"/>
      <c r="J16" s="31"/>
      <c r="K16" s="31"/>
      <c r="L16" s="31"/>
      <c r="M16" s="13"/>
      <c r="N16" s="13"/>
      <c r="O16" s="31"/>
      <c r="P16" s="31"/>
      <c r="Q16" s="31"/>
      <c r="R16" s="31"/>
      <c r="S16" s="31"/>
      <c r="T16" s="13"/>
      <c r="U16" s="13"/>
      <c r="V16" s="31"/>
      <c r="W16" s="31"/>
      <c r="X16" s="31"/>
      <c r="Y16" s="31"/>
      <c r="Z16" s="31"/>
      <c r="AA16" s="13"/>
      <c r="AB16" s="13"/>
      <c r="AC16" s="31"/>
      <c r="AD16" s="31"/>
      <c r="AE16" s="31"/>
      <c r="AF16" s="8">
        <f t="shared" si="1"/>
        <v>0</v>
      </c>
      <c r="AG16" s="8">
        <f t="shared" si="2"/>
        <v>0</v>
      </c>
      <c r="AH16" s="8">
        <f t="shared" si="3"/>
        <v>0</v>
      </c>
      <c r="AI16" s="8">
        <f t="shared" si="4"/>
        <v>0</v>
      </c>
      <c r="AJ16" s="8">
        <f t="shared" si="5"/>
        <v>0</v>
      </c>
      <c r="AN16" s="2"/>
      <c r="AO16" s="2"/>
    </row>
    <row r="17" spans="1:36" ht="23.5" customHeight="1" x14ac:dyDescent="0.55000000000000004">
      <c r="A17" s="10" t="s">
        <v>128</v>
      </c>
      <c r="B17" s="31"/>
      <c r="C17" s="31"/>
      <c r="D17" s="31"/>
      <c r="E17" s="31"/>
      <c r="F17" s="13"/>
      <c r="G17" s="13"/>
      <c r="H17" s="31"/>
      <c r="I17" s="31"/>
      <c r="J17" s="31"/>
      <c r="K17" s="31"/>
      <c r="L17" s="31"/>
      <c r="M17" s="13"/>
      <c r="N17" s="13"/>
      <c r="O17" s="31"/>
      <c r="P17" s="31"/>
      <c r="Q17" s="31"/>
      <c r="R17" s="31"/>
      <c r="S17" s="31"/>
      <c r="T17" s="13"/>
      <c r="U17" s="13"/>
      <c r="V17" s="31"/>
      <c r="W17" s="31"/>
      <c r="X17" s="31"/>
      <c r="Y17" s="31"/>
      <c r="Z17" s="31"/>
      <c r="AA17" s="13"/>
      <c r="AB17" s="13"/>
      <c r="AC17" s="31"/>
      <c r="AD17" s="31"/>
      <c r="AE17" s="31"/>
      <c r="AF17" s="8">
        <f t="shared" si="1"/>
        <v>0</v>
      </c>
      <c r="AG17" s="8">
        <f t="shared" si="2"/>
        <v>0</v>
      </c>
      <c r="AH17" s="8">
        <f t="shared" si="3"/>
        <v>0</v>
      </c>
      <c r="AI17" s="8">
        <f t="shared" si="4"/>
        <v>0</v>
      </c>
      <c r="AJ17" s="8">
        <f t="shared" si="5"/>
        <v>0</v>
      </c>
    </row>
    <row r="18" spans="1:36" ht="23.5" customHeight="1" x14ac:dyDescent="0.55000000000000004">
      <c r="A18" s="10" t="s">
        <v>22</v>
      </c>
      <c r="B18" s="31"/>
      <c r="C18" s="31"/>
      <c r="D18" s="31"/>
      <c r="E18" s="31"/>
      <c r="F18" s="13"/>
      <c r="G18" s="13"/>
      <c r="H18" s="31"/>
      <c r="I18" s="31"/>
      <c r="J18" s="31"/>
      <c r="K18" s="31"/>
      <c r="L18" s="31"/>
      <c r="M18" s="13"/>
      <c r="N18" s="13"/>
      <c r="O18" s="31"/>
      <c r="P18" s="31"/>
      <c r="Q18" s="31"/>
      <c r="R18" s="31"/>
      <c r="S18" s="31"/>
      <c r="T18" s="13"/>
      <c r="U18" s="13"/>
      <c r="V18" s="31"/>
      <c r="W18" s="31"/>
      <c r="X18" s="31"/>
      <c r="Y18" s="31"/>
      <c r="Z18" s="31"/>
      <c r="AA18" s="13"/>
      <c r="AB18" s="13"/>
      <c r="AC18" s="31"/>
      <c r="AD18" s="31"/>
      <c r="AE18" s="31"/>
      <c r="AF18" s="8">
        <f t="shared" si="1"/>
        <v>0</v>
      </c>
      <c r="AG18" s="8">
        <f t="shared" si="2"/>
        <v>0</v>
      </c>
      <c r="AH18" s="8">
        <f t="shared" si="3"/>
        <v>0</v>
      </c>
      <c r="AI18" s="8">
        <f t="shared" si="4"/>
        <v>0</v>
      </c>
      <c r="AJ18" s="8">
        <f t="shared" si="5"/>
        <v>0</v>
      </c>
    </row>
    <row r="19" spans="1:36" ht="23.5" customHeight="1" x14ac:dyDescent="0.55000000000000004">
      <c r="A19" s="10" t="s">
        <v>39</v>
      </c>
      <c r="B19" s="31"/>
      <c r="C19" s="31"/>
      <c r="D19" s="31"/>
      <c r="E19" s="31"/>
      <c r="F19" s="13"/>
      <c r="G19" s="13"/>
      <c r="H19" s="31"/>
      <c r="I19" s="31"/>
      <c r="J19" s="31"/>
      <c r="K19" s="31"/>
      <c r="L19" s="31"/>
      <c r="M19" s="13"/>
      <c r="N19" s="13"/>
      <c r="O19" s="31"/>
      <c r="P19" s="31"/>
      <c r="Q19" s="31"/>
      <c r="R19" s="31"/>
      <c r="S19" s="31"/>
      <c r="T19" s="13"/>
      <c r="U19" s="13"/>
      <c r="V19" s="31"/>
      <c r="W19" s="31"/>
      <c r="X19" s="31"/>
      <c r="Y19" s="31"/>
      <c r="Z19" s="31"/>
      <c r="AA19" s="13"/>
      <c r="AB19" s="13"/>
      <c r="AC19" s="31"/>
      <c r="AD19" s="31"/>
      <c r="AE19" s="31"/>
      <c r="AF19" s="8">
        <f t="shared" si="1"/>
        <v>0</v>
      </c>
      <c r="AG19" s="8">
        <f t="shared" si="2"/>
        <v>0</v>
      </c>
      <c r="AH19" s="8">
        <f t="shared" si="3"/>
        <v>0</v>
      </c>
      <c r="AI19" s="8">
        <f t="shared" si="4"/>
        <v>0</v>
      </c>
      <c r="AJ19" s="8">
        <f t="shared" si="5"/>
        <v>0</v>
      </c>
    </row>
    <row r="20" spans="1:36" ht="23.5" customHeight="1" x14ac:dyDescent="0.55000000000000004">
      <c r="A20" s="10" t="s">
        <v>50</v>
      </c>
      <c r="B20" s="31"/>
      <c r="C20" s="31"/>
      <c r="D20" s="31"/>
      <c r="E20" s="31"/>
      <c r="F20" s="13"/>
      <c r="G20" s="13"/>
      <c r="H20" s="31"/>
      <c r="I20" s="31"/>
      <c r="J20" s="31"/>
      <c r="K20" s="31"/>
      <c r="L20" s="31"/>
      <c r="M20" s="13"/>
      <c r="N20" s="13"/>
      <c r="O20" s="31"/>
      <c r="P20" s="31"/>
      <c r="Q20" s="31"/>
      <c r="R20" s="31"/>
      <c r="S20" s="31"/>
      <c r="T20" s="13"/>
      <c r="U20" s="13"/>
      <c r="V20" s="31"/>
      <c r="W20" s="31"/>
      <c r="X20" s="31"/>
      <c r="Y20" s="31"/>
      <c r="Z20" s="31"/>
      <c r="AA20" s="13"/>
      <c r="AB20" s="13"/>
      <c r="AC20" s="31"/>
      <c r="AD20" s="31"/>
      <c r="AE20" s="31"/>
      <c r="AF20" s="8">
        <f t="shared" si="1"/>
        <v>0</v>
      </c>
      <c r="AG20" s="8">
        <f t="shared" si="2"/>
        <v>0</v>
      </c>
      <c r="AH20" s="8">
        <f t="shared" si="3"/>
        <v>0</v>
      </c>
      <c r="AI20" s="8">
        <f t="shared" si="4"/>
        <v>0</v>
      </c>
      <c r="AJ20" s="8">
        <f t="shared" si="5"/>
        <v>0</v>
      </c>
    </row>
    <row r="21" spans="1:36" ht="23.5" customHeight="1" x14ac:dyDescent="0.55000000000000004">
      <c r="A21" s="10" t="s">
        <v>129</v>
      </c>
      <c r="B21" s="31"/>
      <c r="C21" s="31"/>
      <c r="D21" s="31"/>
      <c r="E21" s="31"/>
      <c r="F21" s="13"/>
      <c r="G21" s="13"/>
      <c r="H21" s="31"/>
      <c r="I21" s="31"/>
      <c r="J21" s="31"/>
      <c r="K21" s="31"/>
      <c r="L21" s="31"/>
      <c r="M21" s="13"/>
      <c r="N21" s="13"/>
      <c r="O21" s="31"/>
      <c r="P21" s="31"/>
      <c r="Q21" s="31"/>
      <c r="R21" s="31"/>
      <c r="S21" s="31"/>
      <c r="T21" s="13"/>
      <c r="U21" s="13"/>
      <c r="V21" s="31"/>
      <c r="W21" s="31"/>
      <c r="X21" s="31"/>
      <c r="Y21" s="31"/>
      <c r="Z21" s="31"/>
      <c r="AA21" s="13"/>
      <c r="AB21" s="13"/>
      <c r="AC21" s="31"/>
      <c r="AD21" s="31"/>
      <c r="AE21" s="31"/>
      <c r="AF21" s="8">
        <f t="shared" si="1"/>
        <v>0</v>
      </c>
      <c r="AG21" s="8">
        <f t="shared" si="2"/>
        <v>0</v>
      </c>
      <c r="AH21" s="8">
        <f t="shared" si="3"/>
        <v>0</v>
      </c>
      <c r="AI21" s="8">
        <f t="shared" si="4"/>
        <v>0</v>
      </c>
      <c r="AJ21" s="8">
        <f t="shared" si="5"/>
        <v>0</v>
      </c>
    </row>
    <row r="22" spans="1:36" ht="23.5" customHeight="1" x14ac:dyDescent="0.55000000000000004">
      <c r="A22" s="10" t="s">
        <v>27</v>
      </c>
      <c r="B22" s="31"/>
      <c r="C22" s="31"/>
      <c r="D22" s="31"/>
      <c r="E22" s="31"/>
      <c r="F22" s="13"/>
      <c r="G22" s="13"/>
      <c r="H22" s="31"/>
      <c r="I22" s="31"/>
      <c r="J22" s="31"/>
      <c r="K22" s="31"/>
      <c r="L22" s="31"/>
      <c r="M22" s="13"/>
      <c r="N22" s="13"/>
      <c r="O22" s="31"/>
      <c r="P22" s="31"/>
      <c r="Q22" s="31"/>
      <c r="R22" s="31"/>
      <c r="S22" s="31"/>
      <c r="T22" s="13"/>
      <c r="U22" s="13"/>
      <c r="V22" s="31"/>
      <c r="W22" s="31"/>
      <c r="X22" s="31"/>
      <c r="Y22" s="31"/>
      <c r="Z22" s="31"/>
      <c r="AA22" s="13"/>
      <c r="AB22" s="13"/>
      <c r="AC22" s="31"/>
      <c r="AD22" s="31"/>
      <c r="AE22" s="31"/>
      <c r="AF22" s="8">
        <f t="shared" si="1"/>
        <v>0</v>
      </c>
      <c r="AG22" s="8">
        <f t="shared" si="2"/>
        <v>0</v>
      </c>
      <c r="AH22" s="8">
        <f t="shared" si="3"/>
        <v>0</v>
      </c>
      <c r="AI22" s="8">
        <f t="shared" si="4"/>
        <v>0</v>
      </c>
      <c r="AJ22" s="8">
        <f t="shared" si="5"/>
        <v>0</v>
      </c>
    </row>
    <row r="23" spans="1:36" ht="23.5" customHeight="1" x14ac:dyDescent="0.55000000000000004">
      <c r="A23" s="10" t="s">
        <v>28</v>
      </c>
      <c r="B23" s="31"/>
      <c r="C23" s="31"/>
      <c r="D23" s="31"/>
      <c r="E23" s="31"/>
      <c r="F23" s="13"/>
      <c r="G23" s="13"/>
      <c r="H23" s="31"/>
      <c r="I23" s="31"/>
      <c r="J23" s="31"/>
      <c r="K23" s="31"/>
      <c r="L23" s="31"/>
      <c r="M23" s="13"/>
      <c r="N23" s="13"/>
      <c r="O23" s="31"/>
      <c r="P23" s="31"/>
      <c r="Q23" s="31"/>
      <c r="R23" s="31"/>
      <c r="S23" s="31"/>
      <c r="T23" s="13"/>
      <c r="U23" s="13"/>
      <c r="V23" s="31"/>
      <c r="W23" s="31"/>
      <c r="X23" s="31"/>
      <c r="Y23" s="31"/>
      <c r="Z23" s="31"/>
      <c r="AA23" s="13"/>
      <c r="AB23" s="13"/>
      <c r="AC23" s="31"/>
      <c r="AD23" s="31"/>
      <c r="AE23" s="31"/>
      <c r="AF23" s="8">
        <f t="shared" si="1"/>
        <v>0</v>
      </c>
      <c r="AG23" s="8">
        <f t="shared" si="2"/>
        <v>0</v>
      </c>
      <c r="AH23" s="8">
        <f t="shared" si="3"/>
        <v>0</v>
      </c>
      <c r="AI23" s="8">
        <f t="shared" si="4"/>
        <v>0</v>
      </c>
      <c r="AJ23" s="8">
        <f t="shared" si="5"/>
        <v>0</v>
      </c>
    </row>
    <row r="24" spans="1:36" ht="23.5" customHeight="1" x14ac:dyDescent="0.55000000000000004">
      <c r="A24" s="10" t="s">
        <v>21</v>
      </c>
      <c r="B24" s="31"/>
      <c r="C24" s="31"/>
      <c r="D24" s="31"/>
      <c r="E24" s="31"/>
      <c r="F24" s="13"/>
      <c r="G24" s="13"/>
      <c r="H24" s="31"/>
      <c r="I24" s="31"/>
      <c r="J24" s="31"/>
      <c r="K24" s="31"/>
      <c r="L24" s="31"/>
      <c r="M24" s="13"/>
      <c r="N24" s="13"/>
      <c r="O24" s="31"/>
      <c r="P24" s="31"/>
      <c r="Q24" s="31"/>
      <c r="R24" s="31"/>
      <c r="S24" s="31"/>
      <c r="T24" s="13"/>
      <c r="U24" s="13"/>
      <c r="V24" s="31"/>
      <c r="W24" s="31"/>
      <c r="X24" s="31"/>
      <c r="Y24" s="31"/>
      <c r="Z24" s="31"/>
      <c r="AA24" s="13"/>
      <c r="AB24" s="13"/>
      <c r="AC24" s="31"/>
      <c r="AD24" s="31"/>
      <c r="AE24" s="31"/>
      <c r="AF24" s="8">
        <f t="shared" si="1"/>
        <v>0</v>
      </c>
      <c r="AG24" s="8">
        <f t="shared" si="2"/>
        <v>0</v>
      </c>
      <c r="AH24" s="8">
        <f t="shared" si="3"/>
        <v>0</v>
      </c>
      <c r="AI24" s="8">
        <f t="shared" si="4"/>
        <v>0</v>
      </c>
      <c r="AJ24" s="8">
        <f t="shared" si="5"/>
        <v>0</v>
      </c>
    </row>
    <row r="25" spans="1:36" ht="23.5" customHeight="1" x14ac:dyDescent="0.55000000000000004">
      <c r="A25" s="10" t="s">
        <v>42</v>
      </c>
      <c r="B25" s="31"/>
      <c r="C25" s="31"/>
      <c r="D25" s="31"/>
      <c r="E25" s="31"/>
      <c r="F25" s="13"/>
      <c r="G25" s="13"/>
      <c r="H25" s="31"/>
      <c r="I25" s="31"/>
      <c r="J25" s="31"/>
      <c r="K25" s="31"/>
      <c r="L25" s="31"/>
      <c r="M25" s="13"/>
      <c r="N25" s="13"/>
      <c r="O25" s="31"/>
      <c r="P25" s="31"/>
      <c r="Q25" s="31"/>
      <c r="R25" s="31"/>
      <c r="S25" s="31"/>
      <c r="T25" s="13"/>
      <c r="U25" s="13"/>
      <c r="V25" s="31"/>
      <c r="W25" s="31"/>
      <c r="X25" s="31"/>
      <c r="Y25" s="31"/>
      <c r="Z25" s="31"/>
      <c r="AA25" s="13"/>
      <c r="AB25" s="13"/>
      <c r="AC25" s="31"/>
      <c r="AD25" s="31"/>
      <c r="AE25" s="31"/>
      <c r="AF25" s="8">
        <f t="shared" si="1"/>
        <v>0</v>
      </c>
      <c r="AG25" s="8">
        <f t="shared" si="2"/>
        <v>0</v>
      </c>
      <c r="AH25" s="8">
        <f t="shared" si="3"/>
        <v>0</v>
      </c>
      <c r="AI25" s="8">
        <f t="shared" si="4"/>
        <v>0</v>
      </c>
      <c r="AJ25" s="8">
        <f t="shared" si="5"/>
        <v>0</v>
      </c>
    </row>
    <row r="26" spans="1:36" ht="23.5" customHeight="1" x14ac:dyDescent="0.55000000000000004">
      <c r="A26" s="10" t="s">
        <v>26</v>
      </c>
      <c r="B26" s="31"/>
      <c r="C26" s="31"/>
      <c r="D26" s="31"/>
      <c r="E26" s="31"/>
      <c r="F26" s="13"/>
      <c r="G26" s="13"/>
      <c r="H26" s="31"/>
      <c r="I26" s="31"/>
      <c r="J26" s="31"/>
      <c r="K26" s="31"/>
      <c r="L26" s="31"/>
      <c r="M26" s="13"/>
      <c r="N26" s="13"/>
      <c r="O26" s="31"/>
      <c r="P26" s="31"/>
      <c r="Q26" s="31"/>
      <c r="R26" s="31"/>
      <c r="S26" s="31"/>
      <c r="T26" s="13"/>
      <c r="U26" s="13"/>
      <c r="V26" s="31"/>
      <c r="W26" s="31"/>
      <c r="X26" s="31"/>
      <c r="Y26" s="31"/>
      <c r="Z26" s="31"/>
      <c r="AA26" s="13"/>
      <c r="AB26" s="13"/>
      <c r="AC26" s="31"/>
      <c r="AD26" s="31"/>
      <c r="AE26" s="31"/>
      <c r="AF26" s="8">
        <f t="shared" si="1"/>
        <v>0</v>
      </c>
      <c r="AG26" s="8">
        <f t="shared" si="2"/>
        <v>0</v>
      </c>
      <c r="AH26" s="8">
        <f t="shared" si="3"/>
        <v>0</v>
      </c>
      <c r="AI26" s="8">
        <f t="shared" si="4"/>
        <v>0</v>
      </c>
      <c r="AJ26" s="8">
        <f t="shared" si="5"/>
        <v>0</v>
      </c>
    </row>
    <row r="27" spans="1:36" ht="23.5" customHeight="1" x14ac:dyDescent="0.55000000000000004">
      <c r="A27" s="10" t="s">
        <v>44</v>
      </c>
      <c r="B27" s="31"/>
      <c r="C27" s="31"/>
      <c r="D27" s="31"/>
      <c r="E27" s="31"/>
      <c r="F27" s="13"/>
      <c r="G27" s="13"/>
      <c r="H27" s="31"/>
      <c r="I27" s="31"/>
      <c r="J27" s="31"/>
      <c r="K27" s="31"/>
      <c r="L27" s="31"/>
      <c r="M27" s="13"/>
      <c r="N27" s="13"/>
      <c r="O27" s="31"/>
      <c r="P27" s="31"/>
      <c r="Q27" s="31"/>
      <c r="R27" s="31"/>
      <c r="S27" s="31"/>
      <c r="T27" s="13"/>
      <c r="U27" s="13"/>
      <c r="V27" s="31"/>
      <c r="W27" s="31"/>
      <c r="X27" s="31"/>
      <c r="Y27" s="31"/>
      <c r="Z27" s="31"/>
      <c r="AA27" s="13"/>
      <c r="AB27" s="13"/>
      <c r="AC27" s="31"/>
      <c r="AD27" s="31"/>
      <c r="AE27" s="31"/>
      <c r="AF27" s="8">
        <f t="shared" si="1"/>
        <v>0</v>
      </c>
      <c r="AG27" s="8">
        <f t="shared" si="2"/>
        <v>0</v>
      </c>
      <c r="AH27" s="8">
        <f t="shared" si="3"/>
        <v>0</v>
      </c>
      <c r="AI27" s="8">
        <f t="shared" si="4"/>
        <v>0</v>
      </c>
      <c r="AJ27" s="8">
        <f t="shared" si="5"/>
        <v>0</v>
      </c>
    </row>
    <row r="28" spans="1:36" ht="23.5" customHeight="1" x14ac:dyDescent="0.55000000000000004">
      <c r="A28" s="10" t="s">
        <v>25</v>
      </c>
      <c r="B28" s="31"/>
      <c r="C28" s="31"/>
      <c r="D28" s="31"/>
      <c r="E28" s="31"/>
      <c r="F28" s="13"/>
      <c r="G28" s="13"/>
      <c r="H28" s="31"/>
      <c r="I28" s="31"/>
      <c r="J28" s="31"/>
      <c r="K28" s="31"/>
      <c r="L28" s="31"/>
      <c r="M28" s="13"/>
      <c r="N28" s="13"/>
      <c r="O28" s="31"/>
      <c r="P28" s="31"/>
      <c r="Q28" s="31"/>
      <c r="R28" s="31"/>
      <c r="S28" s="31"/>
      <c r="T28" s="13"/>
      <c r="U28" s="13"/>
      <c r="V28" s="31"/>
      <c r="W28" s="31"/>
      <c r="X28" s="31"/>
      <c r="Y28" s="31"/>
      <c r="Z28" s="31"/>
      <c r="AA28" s="13"/>
      <c r="AB28" s="13"/>
      <c r="AC28" s="31"/>
      <c r="AD28" s="31"/>
      <c r="AE28" s="31"/>
      <c r="AF28" s="8">
        <f t="shared" si="1"/>
        <v>0</v>
      </c>
      <c r="AG28" s="8">
        <f t="shared" si="2"/>
        <v>0</v>
      </c>
      <c r="AH28" s="8">
        <f t="shared" si="3"/>
        <v>0</v>
      </c>
      <c r="AI28" s="8">
        <f t="shared" si="4"/>
        <v>0</v>
      </c>
      <c r="AJ28" s="8">
        <f t="shared" si="5"/>
        <v>0</v>
      </c>
    </row>
    <row r="29" spans="1:36" ht="23.5" customHeight="1" x14ac:dyDescent="0.55000000000000004">
      <c r="A29" s="10" t="s">
        <v>24</v>
      </c>
      <c r="B29" s="31"/>
      <c r="C29" s="31"/>
      <c r="D29" s="31"/>
      <c r="E29" s="31"/>
      <c r="F29" s="13"/>
      <c r="G29" s="13"/>
      <c r="H29" s="31"/>
      <c r="I29" s="31"/>
      <c r="J29" s="31"/>
      <c r="K29" s="31"/>
      <c r="L29" s="31"/>
      <c r="M29" s="13"/>
      <c r="N29" s="13"/>
      <c r="O29" s="31"/>
      <c r="P29" s="31"/>
      <c r="Q29" s="31"/>
      <c r="R29" s="31"/>
      <c r="S29" s="31"/>
      <c r="T29" s="13"/>
      <c r="U29" s="13"/>
      <c r="V29" s="31"/>
      <c r="W29" s="31"/>
      <c r="X29" s="31"/>
      <c r="Y29" s="31"/>
      <c r="Z29" s="31"/>
      <c r="AA29" s="13"/>
      <c r="AB29" s="13"/>
      <c r="AC29" s="31"/>
      <c r="AD29" s="31"/>
      <c r="AE29" s="31"/>
      <c r="AF29" s="8">
        <f t="shared" si="1"/>
        <v>0</v>
      </c>
      <c r="AG29" s="8">
        <f t="shared" si="2"/>
        <v>0</v>
      </c>
      <c r="AH29" s="8">
        <f t="shared" si="3"/>
        <v>0</v>
      </c>
      <c r="AI29" s="8">
        <f t="shared" si="4"/>
        <v>0</v>
      </c>
      <c r="AJ29" s="8">
        <f t="shared" si="5"/>
        <v>0</v>
      </c>
    </row>
    <row r="30" spans="1:36" ht="23.5" customHeight="1" x14ac:dyDescent="0.55000000000000004">
      <c r="A30" s="10" t="s">
        <v>60</v>
      </c>
      <c r="B30" s="31"/>
      <c r="C30" s="31"/>
      <c r="D30" s="31"/>
      <c r="E30" s="31"/>
      <c r="F30" s="13"/>
      <c r="G30" s="13"/>
      <c r="H30" s="31"/>
      <c r="I30" s="31"/>
      <c r="J30" s="31"/>
      <c r="K30" s="31"/>
      <c r="L30" s="31"/>
      <c r="M30" s="13"/>
      <c r="N30" s="13"/>
      <c r="O30" s="31"/>
      <c r="P30" s="31"/>
      <c r="Q30" s="31"/>
      <c r="R30" s="31"/>
      <c r="S30" s="31"/>
      <c r="T30" s="13"/>
      <c r="U30" s="13"/>
      <c r="V30" s="31"/>
      <c r="W30" s="31"/>
      <c r="X30" s="31"/>
      <c r="Y30" s="31"/>
      <c r="Z30" s="31"/>
      <c r="AA30" s="13"/>
      <c r="AB30" s="13"/>
      <c r="AC30" s="31"/>
      <c r="AD30" s="31"/>
      <c r="AE30" s="31"/>
      <c r="AF30" s="8">
        <f t="shared" si="1"/>
        <v>0</v>
      </c>
      <c r="AG30" s="8">
        <f t="shared" si="2"/>
        <v>0</v>
      </c>
      <c r="AH30" s="8">
        <f t="shared" si="3"/>
        <v>0</v>
      </c>
      <c r="AI30" s="8">
        <f t="shared" si="4"/>
        <v>0</v>
      </c>
      <c r="AJ30" s="8">
        <f t="shared" si="5"/>
        <v>0</v>
      </c>
    </row>
    <row r="31" spans="1:36" ht="23.5" customHeight="1" x14ac:dyDescent="0.55000000000000004">
      <c r="A31" s="10" t="s">
        <v>52</v>
      </c>
      <c r="B31" s="31"/>
      <c r="C31" s="31"/>
      <c r="D31" s="31"/>
      <c r="E31" s="31"/>
      <c r="F31" s="13"/>
      <c r="G31" s="13"/>
      <c r="H31" s="31"/>
      <c r="I31" s="31"/>
      <c r="J31" s="31"/>
      <c r="K31" s="31"/>
      <c r="L31" s="31"/>
      <c r="M31" s="13"/>
      <c r="N31" s="13"/>
      <c r="O31" s="31"/>
      <c r="P31" s="31"/>
      <c r="Q31" s="31"/>
      <c r="R31" s="31"/>
      <c r="S31" s="31"/>
      <c r="T31" s="13"/>
      <c r="U31" s="13"/>
      <c r="V31" s="31"/>
      <c r="W31" s="31"/>
      <c r="X31" s="31"/>
      <c r="Y31" s="31"/>
      <c r="Z31" s="31"/>
      <c r="AA31" s="13"/>
      <c r="AB31" s="13"/>
      <c r="AC31" s="31"/>
      <c r="AD31" s="31"/>
      <c r="AE31" s="31"/>
      <c r="AF31" s="8">
        <f t="shared" si="1"/>
        <v>0</v>
      </c>
      <c r="AG31" s="8">
        <f t="shared" si="2"/>
        <v>0</v>
      </c>
      <c r="AH31" s="8">
        <f t="shared" si="3"/>
        <v>0</v>
      </c>
      <c r="AI31" s="8">
        <f t="shared" si="4"/>
        <v>0</v>
      </c>
      <c r="AJ31" s="8">
        <f t="shared" si="5"/>
        <v>0</v>
      </c>
    </row>
    <row r="32" spans="1:36" ht="23.5" customHeight="1" x14ac:dyDescent="0.55000000000000004">
      <c r="A32" s="10" t="s">
        <v>130</v>
      </c>
      <c r="B32" s="31"/>
      <c r="C32" s="31"/>
      <c r="D32" s="31"/>
      <c r="E32" s="31"/>
      <c r="F32" s="13"/>
      <c r="G32" s="13"/>
      <c r="H32" s="31"/>
      <c r="I32" s="31"/>
      <c r="J32" s="31"/>
      <c r="K32" s="31"/>
      <c r="L32" s="31"/>
      <c r="M32" s="13"/>
      <c r="N32" s="13"/>
      <c r="O32" s="31"/>
      <c r="P32" s="31"/>
      <c r="Q32" s="31"/>
      <c r="R32" s="31"/>
      <c r="S32" s="31"/>
      <c r="T32" s="13"/>
      <c r="U32" s="13"/>
      <c r="V32" s="31"/>
      <c r="W32" s="31"/>
      <c r="X32" s="31"/>
      <c r="Y32" s="31"/>
      <c r="Z32" s="31"/>
      <c r="AA32" s="13"/>
      <c r="AB32" s="13"/>
      <c r="AC32" s="31"/>
      <c r="AD32" s="31"/>
      <c r="AE32" s="31"/>
      <c r="AF32" s="8">
        <f t="shared" si="1"/>
        <v>0</v>
      </c>
      <c r="AG32" s="8">
        <f t="shared" si="2"/>
        <v>0</v>
      </c>
      <c r="AH32" s="8">
        <f t="shared" si="3"/>
        <v>0</v>
      </c>
      <c r="AI32" s="8">
        <f t="shared" si="4"/>
        <v>0</v>
      </c>
      <c r="AJ32" s="8">
        <f t="shared" si="5"/>
        <v>0</v>
      </c>
    </row>
    <row r="33" spans="1:36" ht="23.5" customHeight="1" x14ac:dyDescent="0.55000000000000004">
      <c r="A33" s="10" t="s">
        <v>53</v>
      </c>
      <c r="B33" s="31"/>
      <c r="C33" s="31"/>
      <c r="D33" s="31"/>
      <c r="E33" s="31"/>
      <c r="F33" s="13"/>
      <c r="G33" s="13"/>
      <c r="H33" s="31"/>
      <c r="I33" s="31"/>
      <c r="J33" s="31"/>
      <c r="K33" s="31"/>
      <c r="L33" s="31"/>
      <c r="M33" s="13"/>
      <c r="N33" s="13"/>
      <c r="O33" s="31"/>
      <c r="P33" s="31"/>
      <c r="Q33" s="31"/>
      <c r="R33" s="31"/>
      <c r="S33" s="31"/>
      <c r="T33" s="13"/>
      <c r="U33" s="13"/>
      <c r="V33" s="31"/>
      <c r="W33" s="31"/>
      <c r="X33" s="31"/>
      <c r="Y33" s="31"/>
      <c r="Z33" s="31"/>
      <c r="AA33" s="13"/>
      <c r="AB33" s="13"/>
      <c r="AC33" s="31"/>
      <c r="AD33" s="31"/>
      <c r="AE33" s="31"/>
      <c r="AF33" s="8">
        <f t="shared" si="1"/>
        <v>0</v>
      </c>
      <c r="AG33" s="8">
        <f t="shared" si="2"/>
        <v>0</v>
      </c>
      <c r="AH33" s="8">
        <f t="shared" si="3"/>
        <v>0</v>
      </c>
      <c r="AI33" s="8">
        <f t="shared" si="4"/>
        <v>0</v>
      </c>
      <c r="AJ33" s="8">
        <f t="shared" si="5"/>
        <v>0</v>
      </c>
    </row>
    <row r="34" spans="1:36" ht="23.5" customHeight="1" x14ac:dyDescent="0.55000000000000004">
      <c r="A34" s="10" t="s">
        <v>70</v>
      </c>
      <c r="B34" s="31"/>
      <c r="C34" s="31"/>
      <c r="D34" s="31"/>
      <c r="E34" s="31"/>
      <c r="F34" s="13"/>
      <c r="G34" s="13"/>
      <c r="H34" s="31"/>
      <c r="I34" s="31"/>
      <c r="J34" s="31"/>
      <c r="K34" s="31"/>
      <c r="L34" s="31"/>
      <c r="M34" s="13"/>
      <c r="N34" s="13"/>
      <c r="O34" s="31"/>
      <c r="P34" s="31"/>
      <c r="Q34" s="31"/>
      <c r="R34" s="31"/>
      <c r="S34" s="31"/>
      <c r="T34" s="13"/>
      <c r="U34" s="13"/>
      <c r="V34" s="31"/>
      <c r="W34" s="31"/>
      <c r="X34" s="31"/>
      <c r="Y34" s="31"/>
      <c r="Z34" s="31"/>
      <c r="AA34" s="13"/>
      <c r="AB34" s="13"/>
      <c r="AC34" s="31"/>
      <c r="AD34" s="31"/>
      <c r="AE34" s="31"/>
      <c r="AF34" s="8">
        <f t="shared" si="1"/>
        <v>0</v>
      </c>
      <c r="AG34" s="8">
        <f t="shared" si="2"/>
        <v>0</v>
      </c>
      <c r="AH34" s="8">
        <f t="shared" si="3"/>
        <v>0</v>
      </c>
      <c r="AI34" s="8">
        <f t="shared" si="4"/>
        <v>0</v>
      </c>
      <c r="AJ34" s="8">
        <f t="shared" si="5"/>
        <v>0</v>
      </c>
    </row>
    <row r="35" spans="1:36" ht="23.5" customHeight="1" x14ac:dyDescent="0.55000000000000004">
      <c r="A35" s="10" t="s">
        <v>131</v>
      </c>
      <c r="B35" s="31"/>
      <c r="C35" s="31"/>
      <c r="D35" s="31"/>
      <c r="E35" s="31"/>
      <c r="F35" s="13"/>
      <c r="G35" s="13"/>
      <c r="H35" s="31"/>
      <c r="I35" s="31"/>
      <c r="J35" s="31"/>
      <c r="K35" s="31"/>
      <c r="L35" s="31"/>
      <c r="M35" s="13"/>
      <c r="N35" s="13"/>
      <c r="O35" s="31"/>
      <c r="P35" s="31"/>
      <c r="Q35" s="31"/>
      <c r="R35" s="31"/>
      <c r="S35" s="31"/>
      <c r="T35" s="13"/>
      <c r="U35" s="13"/>
      <c r="V35" s="31"/>
      <c r="W35" s="31"/>
      <c r="X35" s="31"/>
      <c r="Y35" s="31"/>
      <c r="Z35" s="31"/>
      <c r="AA35" s="13"/>
      <c r="AB35" s="13"/>
      <c r="AC35" s="31"/>
      <c r="AD35" s="31"/>
      <c r="AE35" s="31"/>
      <c r="AF35" s="8">
        <f t="shared" si="1"/>
        <v>0</v>
      </c>
      <c r="AG35" s="8">
        <f t="shared" si="2"/>
        <v>0</v>
      </c>
      <c r="AH35" s="8">
        <f t="shared" si="3"/>
        <v>0</v>
      </c>
      <c r="AI35" s="8">
        <f t="shared" si="4"/>
        <v>0</v>
      </c>
      <c r="AJ35" s="8">
        <f t="shared" si="5"/>
        <v>0</v>
      </c>
    </row>
  </sheetData>
  <mergeCells count="9">
    <mergeCell ref="AL3:AL4"/>
    <mergeCell ref="AM3:AM4"/>
    <mergeCell ref="A1:AJ2"/>
    <mergeCell ref="A3:A4"/>
    <mergeCell ref="AF3:AF4"/>
    <mergeCell ref="AG3:AG4"/>
    <mergeCell ref="AH3:AH4"/>
    <mergeCell ref="AI3:AI4"/>
    <mergeCell ref="AJ3:AJ4"/>
  </mergeCells>
  <conditionalFormatting sqref="B5:AE35">
    <cfRule type="cellIs" dxfId="20" priority="2" operator="equal">
      <formula>"U"</formula>
    </cfRule>
    <cfRule type="cellIs" dxfId="19" priority="3" operator="equal">
      <formula>"M"</formula>
    </cfRule>
    <cfRule type="beginsWith" dxfId="18" priority="4" operator="beginsWith" text="S">
      <formula>LEFT(B5,1)="S"</formula>
    </cfRule>
    <cfRule type="beginsWith" dxfId="17" priority="5" operator="beginsWith" text="V">
      <formula>LEFT(B5,1)="V"</formula>
    </cfRule>
  </conditionalFormatting>
  <conditionalFormatting sqref="AF5:AJ35">
    <cfRule type="cellIs" dxfId="16" priority="1" operator="equal">
      <formula>0</formula>
    </cfRule>
  </conditionalFormatting>
  <dataValidations count="1">
    <dataValidation type="list" allowBlank="1" showInputMessage="1" showErrorMessage="1" sqref="B5:AE35" xr:uid="{00000000-0002-0000-0B00-000000000000}">
      <formula1>$AM$5:$AM$12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2BA5-E669-41DF-A61C-00D276C8B51E}">
  <sheetPr codeName="Sheet12"/>
  <dimension ref="A1:AP35"/>
  <sheetViews>
    <sheetView zoomScale="80" zoomScaleNormal="80" workbookViewId="0">
      <selection activeCell="AF5" sqref="AF5 AF5:AF35"/>
    </sheetView>
  </sheetViews>
  <sheetFormatPr defaultRowHeight="14.5" x14ac:dyDescent="0.35"/>
  <cols>
    <col min="1" max="1" width="34.81640625" customWidth="1"/>
    <col min="2" max="2" width="5.26953125" bestFit="1" customWidth="1"/>
    <col min="3" max="32" width="5.7265625" customWidth="1"/>
    <col min="33" max="33" width="12.7265625" customWidth="1"/>
    <col min="34" max="37" width="11.26953125" customWidth="1"/>
    <col min="38" max="38" width="9.1796875" customWidth="1"/>
    <col min="39" max="39" width="29.26953125" bestFit="1" customWidth="1"/>
  </cols>
  <sheetData>
    <row r="1" spans="1:42" s="3" customFormat="1" ht="25.15" customHeight="1" x14ac:dyDescent="0.35">
      <c r="A1" s="62" t="s">
        <v>143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2"/>
      <c r="AM1" s="2"/>
      <c r="AN1" s="2"/>
      <c r="AO1" s="2"/>
      <c r="AP1" s="2"/>
    </row>
    <row r="2" spans="1:42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2"/>
      <c r="AM2" s="2"/>
      <c r="AN2" s="2"/>
      <c r="AO2" s="2"/>
      <c r="AP2" s="2"/>
    </row>
    <row r="3" spans="1:42" s="3" customFormat="1" ht="25.15" customHeight="1" x14ac:dyDescent="0.35">
      <c r="A3" s="72" t="s">
        <v>136</v>
      </c>
      <c r="B3" s="47" t="str">
        <f>IF(B4="","",INDEX({"Sun";"Mon";"Tue";"Wen";"Thu";"Fri";"Sat"},WEEKDAY(B4,1)))</f>
        <v>Thu</v>
      </c>
      <c r="C3" s="47" t="str">
        <f>IF(C4="","",INDEX({"Sun";"Mon";"Tue";"Wen";"Thu";"Fri";"Sat"},WEEKDAY(C4,1)))</f>
        <v>Fri</v>
      </c>
      <c r="D3" s="47" t="str">
        <f>IF(D4="","",INDEX({"Sun";"Mon";"Tue";"Wen";"Thu";"Fri";"Sat"},WEEKDAY(D4,1)))</f>
        <v>Sat</v>
      </c>
      <c r="E3" s="47" t="str">
        <f>IF(E4="","",INDEX({"Sun";"Mon";"Tue";"Wen";"Thu";"Fri";"Sat"},WEEKDAY(E4,1)))</f>
        <v>Sun</v>
      </c>
      <c r="F3" s="47" t="str">
        <f>IF(F4="","",INDEX({"Sun";"Mon";"Tue";"Wen";"Thu";"Fri";"Sat"},WEEKDAY(F4,1)))</f>
        <v>Mon</v>
      </c>
      <c r="G3" s="47" t="str">
        <f>IF(G4="","",INDEX({"Sun";"Mon";"Tue";"Wen";"Thu";"Fri";"Sat"},WEEKDAY(G4,1)))</f>
        <v>Tue</v>
      </c>
      <c r="H3" s="47" t="str">
        <f>IF(H4="","",INDEX({"Sun";"Mon";"Tue";"Wen";"Thu";"Fri";"Sat"},WEEKDAY(H4,1)))</f>
        <v>Wen</v>
      </c>
      <c r="I3" s="47" t="str">
        <f>IF(I4="","",INDEX({"Sun";"Mon";"Tue";"Wen";"Thu";"Fri";"Sat"},WEEKDAY(I4,1)))</f>
        <v>Thu</v>
      </c>
      <c r="J3" s="47" t="str">
        <f>IF(J4="","",INDEX({"Sun";"Mon";"Tue";"Wen";"Thu";"Fri";"Sat"},WEEKDAY(J4,1)))</f>
        <v>Fri</v>
      </c>
      <c r="K3" s="47" t="str">
        <f>IF(K4="","",INDEX({"Sun";"Mon";"Tue";"Wen";"Thu";"Fri";"Sat"},WEEKDAY(K4,1)))</f>
        <v>Sat</v>
      </c>
      <c r="L3" s="47" t="str">
        <f>IF(L4="","",INDEX({"Sun";"Mon";"Tue";"Wen";"Thu";"Fri";"Sat"},WEEKDAY(L4,1)))</f>
        <v>Sun</v>
      </c>
      <c r="M3" s="47" t="str">
        <f>IF(M4="","",INDEX({"Sun";"Mon";"Tue";"Wen";"Thu";"Fri";"Sat"},WEEKDAY(M4,1)))</f>
        <v>Mon</v>
      </c>
      <c r="N3" s="47" t="str">
        <f>IF(N4="","",INDEX({"Sun";"Mon";"Tue";"Wen";"Thu";"Fri";"Sat"},WEEKDAY(N4,1)))</f>
        <v>Tue</v>
      </c>
      <c r="O3" s="47" t="str">
        <f>IF(O4="","",INDEX({"Sun";"Mon";"Tue";"Wen";"Thu";"Fri";"Sat"},WEEKDAY(O4,1)))</f>
        <v>Wen</v>
      </c>
      <c r="P3" s="47" t="str">
        <f>IF(P4="","",INDEX({"Sun";"Mon";"Tue";"Wen";"Thu";"Fri";"Sat"},WEEKDAY(P4,1)))</f>
        <v>Thu</v>
      </c>
      <c r="Q3" s="47" t="str">
        <f>IF(Q4="","",INDEX({"Sun";"Mon";"Tue";"Wen";"Thu";"Fri";"Sat"},WEEKDAY(Q4,1)))</f>
        <v>Fri</v>
      </c>
      <c r="R3" s="47" t="str">
        <f>IF(R4="","",INDEX({"Sun";"Mon";"Tue";"Wen";"Thu";"Fri";"Sat"},WEEKDAY(R4,1)))</f>
        <v>Sat</v>
      </c>
      <c r="S3" s="47" t="str">
        <f>IF(S4="","",INDEX({"Sun";"Mon";"Tue";"Wen";"Thu";"Fri";"Sat"},WEEKDAY(S4,1)))</f>
        <v>Sun</v>
      </c>
      <c r="T3" s="47" t="str">
        <f>IF(T4="","",INDEX({"Sun";"Mon";"Tue";"Wen";"Thu";"Fri";"Sat"},WEEKDAY(T4,1)))</f>
        <v>Mon</v>
      </c>
      <c r="U3" s="47" t="str">
        <f>IF(U4="","",INDEX({"Sun";"Mon";"Tue";"Wen";"Thu";"Fri";"Sat"},WEEKDAY(U4,1)))</f>
        <v>Tue</v>
      </c>
      <c r="V3" s="47" t="str">
        <f>IF(V4="","",INDEX({"Sun";"Mon";"Tue";"Wen";"Thu";"Fri";"Sat"},WEEKDAY(V4,1)))</f>
        <v>Wen</v>
      </c>
      <c r="W3" s="47" t="str">
        <f>IF(W4="","",INDEX({"Sun";"Mon";"Tue";"Wen";"Thu";"Fri";"Sat"},WEEKDAY(W4,1)))</f>
        <v>Thu</v>
      </c>
      <c r="X3" s="47" t="str">
        <f>IF(X4="","",INDEX({"Sun";"Mon";"Tue";"Wen";"Thu";"Fri";"Sat"},WEEKDAY(X4,1)))</f>
        <v>Fri</v>
      </c>
      <c r="Y3" s="47" t="str">
        <f>IF(Y4="","",INDEX({"Sun";"Mon";"Tue";"Wen";"Thu";"Fri";"Sat"},WEEKDAY(Y4,1)))</f>
        <v>Sat</v>
      </c>
      <c r="Z3" s="47" t="str">
        <f>IF(Z4="","",INDEX({"Sun";"Mon";"Tue";"Wen";"Thu";"Fri";"Sat"},WEEKDAY(Z4,1)))</f>
        <v>Sun</v>
      </c>
      <c r="AA3" s="47" t="str">
        <f>IF(AA4="","",INDEX({"Sun";"Mon";"Tue";"Wen";"Thu";"Fri";"Sat"},WEEKDAY(AA4,1)))</f>
        <v>Mon</v>
      </c>
      <c r="AB3" s="47" t="str">
        <f>IF(AB4="","",INDEX({"Sun";"Mon";"Tue";"Wen";"Thu";"Fri";"Sat"},WEEKDAY(AB4,1)))</f>
        <v>Tue</v>
      </c>
      <c r="AC3" s="47" t="str">
        <f>IF(AC4="","",INDEX({"Sun";"Mon";"Tue";"Wen";"Thu";"Fri";"Sat"},WEEKDAY(AC4,1)))</f>
        <v>Wen</v>
      </c>
      <c r="AD3" s="47" t="str">
        <f>IF(AD4="","",INDEX({"Sun";"Mon";"Tue";"Wen";"Thu";"Fri";"Sat"},WEEKDAY(AD4,1)))</f>
        <v>Thu</v>
      </c>
      <c r="AE3" s="47" t="str">
        <f>IF(AE4="","",INDEX({"Sun";"Mon";"Tue";"Wen";"Thu";"Fri";"Sat"},WEEKDAY(AE4,1)))</f>
        <v>Fri</v>
      </c>
      <c r="AF3" s="47" t="str">
        <f>IF(AF4="","",INDEX({"Sun";"Mon";"Tue";"Wen";"Thu";"Fri";"Sat"},WEEKDAY(AF4,1)))</f>
        <v>Sat</v>
      </c>
      <c r="AG3" s="77" t="s">
        <v>112</v>
      </c>
      <c r="AH3" s="66" t="s">
        <v>113</v>
      </c>
      <c r="AI3" s="78" t="s">
        <v>133</v>
      </c>
      <c r="AJ3" s="79" t="s">
        <v>115</v>
      </c>
      <c r="AK3" s="73" t="s">
        <v>116</v>
      </c>
      <c r="AL3" s="28"/>
      <c r="AM3" s="70" t="s">
        <v>134</v>
      </c>
      <c r="AN3" s="70" t="s">
        <v>118</v>
      </c>
      <c r="AO3" s="2"/>
      <c r="AP3" s="2"/>
    </row>
    <row r="4" spans="1:42" s="3" customFormat="1" ht="25.15" customHeight="1" x14ac:dyDescent="0.35">
      <c r="A4" s="72"/>
      <c r="B4" s="48">
        <f>DATE(Year!$B$2,10,1)</f>
        <v>46296</v>
      </c>
      <c r="C4" s="48">
        <f t="shared" ref="C4:AF4" si="0">B4+1</f>
        <v>46297</v>
      </c>
      <c r="D4" s="48">
        <f t="shared" si="0"/>
        <v>46298</v>
      </c>
      <c r="E4" s="48">
        <f t="shared" si="0"/>
        <v>46299</v>
      </c>
      <c r="F4" s="48">
        <f t="shared" si="0"/>
        <v>46300</v>
      </c>
      <c r="G4" s="48">
        <f t="shared" si="0"/>
        <v>46301</v>
      </c>
      <c r="H4" s="48">
        <f t="shared" si="0"/>
        <v>46302</v>
      </c>
      <c r="I4" s="48">
        <f t="shared" si="0"/>
        <v>46303</v>
      </c>
      <c r="J4" s="48">
        <f t="shared" si="0"/>
        <v>46304</v>
      </c>
      <c r="K4" s="48">
        <f t="shared" si="0"/>
        <v>46305</v>
      </c>
      <c r="L4" s="48">
        <f t="shared" si="0"/>
        <v>46306</v>
      </c>
      <c r="M4" s="48">
        <f t="shared" si="0"/>
        <v>46307</v>
      </c>
      <c r="N4" s="48">
        <f t="shared" si="0"/>
        <v>46308</v>
      </c>
      <c r="O4" s="48">
        <f t="shared" si="0"/>
        <v>46309</v>
      </c>
      <c r="P4" s="48">
        <f t="shared" si="0"/>
        <v>46310</v>
      </c>
      <c r="Q4" s="48">
        <f t="shared" si="0"/>
        <v>46311</v>
      </c>
      <c r="R4" s="48">
        <f t="shared" si="0"/>
        <v>46312</v>
      </c>
      <c r="S4" s="48">
        <f t="shared" si="0"/>
        <v>46313</v>
      </c>
      <c r="T4" s="48">
        <f t="shared" si="0"/>
        <v>46314</v>
      </c>
      <c r="U4" s="48">
        <f t="shared" si="0"/>
        <v>46315</v>
      </c>
      <c r="V4" s="48">
        <f t="shared" si="0"/>
        <v>46316</v>
      </c>
      <c r="W4" s="48">
        <f t="shared" si="0"/>
        <v>46317</v>
      </c>
      <c r="X4" s="48">
        <f t="shared" si="0"/>
        <v>46318</v>
      </c>
      <c r="Y4" s="48">
        <f t="shared" si="0"/>
        <v>46319</v>
      </c>
      <c r="Z4" s="48">
        <f t="shared" si="0"/>
        <v>46320</v>
      </c>
      <c r="AA4" s="48">
        <f t="shared" si="0"/>
        <v>46321</v>
      </c>
      <c r="AB4" s="48">
        <f t="shared" si="0"/>
        <v>46322</v>
      </c>
      <c r="AC4" s="48">
        <f t="shared" si="0"/>
        <v>46323</v>
      </c>
      <c r="AD4" s="48">
        <f t="shared" si="0"/>
        <v>46324</v>
      </c>
      <c r="AE4" s="48">
        <f t="shared" si="0"/>
        <v>46325</v>
      </c>
      <c r="AF4" s="48">
        <f t="shared" si="0"/>
        <v>46326</v>
      </c>
      <c r="AG4" s="77"/>
      <c r="AH4" s="66"/>
      <c r="AI4" s="78"/>
      <c r="AJ4" s="79"/>
      <c r="AK4" s="73"/>
      <c r="AL4" s="28"/>
      <c r="AM4" s="71"/>
      <c r="AN4" s="71"/>
      <c r="AO4" s="2"/>
      <c r="AP4" s="2"/>
    </row>
    <row r="5" spans="1:42" s="3" customFormat="1" ht="24.75" customHeight="1" x14ac:dyDescent="0.55000000000000004">
      <c r="A5" s="9" t="s">
        <v>14</v>
      </c>
      <c r="B5" s="31"/>
      <c r="C5" s="31"/>
      <c r="D5" s="13"/>
      <c r="E5" s="13"/>
      <c r="F5" s="31"/>
      <c r="G5" s="31"/>
      <c r="H5" s="31"/>
      <c r="I5" s="31"/>
      <c r="J5" s="31"/>
      <c r="K5" s="13"/>
      <c r="L5" s="13"/>
      <c r="M5" s="31"/>
      <c r="N5" s="31"/>
      <c r="O5" s="31"/>
      <c r="P5" s="31"/>
      <c r="Q5" s="31"/>
      <c r="R5" s="13"/>
      <c r="S5" s="13"/>
      <c r="T5" s="31"/>
      <c r="U5" s="31"/>
      <c r="V5" s="31"/>
      <c r="W5" s="31"/>
      <c r="X5" s="31"/>
      <c r="Y5" s="13"/>
      <c r="Z5" s="13"/>
      <c r="AA5" s="31"/>
      <c r="AB5" s="31"/>
      <c r="AC5" s="31"/>
      <c r="AD5" s="31"/>
      <c r="AE5" s="31"/>
      <c r="AF5" s="13"/>
      <c r="AG5" s="8">
        <f t="shared" ref="AG5:AG35" si="1">SUM(AH5:AK5)</f>
        <v>0</v>
      </c>
      <c r="AH5" s="8">
        <f t="shared" ref="AH5:AH35" si="2">COUNTIF(B5:AF5,"V")+COUNTIF(B5:AF5,"V1")/2+COUNTIF(B5:AF5,"V2")/2</f>
        <v>0</v>
      </c>
      <c r="AI5" s="8">
        <f t="shared" ref="AI5:AI35" si="3">COUNTIF(B5:AF5,"S")+COUNTIF(B5:AF5,"S1")/2+COUNTIF(B5:AF5,"S2")/2</f>
        <v>0</v>
      </c>
      <c r="AJ5" s="8">
        <f t="shared" ref="AJ5:AJ35" si="4">COUNTIF(B5:AF5,"M")</f>
        <v>0</v>
      </c>
      <c r="AK5" s="8">
        <f t="shared" ref="AK5:AK35" si="5">COUNTIF(B5:AF5,"U")</f>
        <v>0</v>
      </c>
      <c r="AL5" s="32"/>
      <c r="AM5" s="41" t="s">
        <v>15</v>
      </c>
      <c r="AN5" s="34" t="s">
        <v>119</v>
      </c>
      <c r="AO5" s="2"/>
      <c r="AP5" s="2"/>
    </row>
    <row r="6" spans="1:42" s="3" customFormat="1" ht="25.15" customHeight="1" x14ac:dyDescent="0.55000000000000004">
      <c r="A6" s="10" t="s">
        <v>37</v>
      </c>
      <c r="B6" s="31"/>
      <c r="C6" s="31"/>
      <c r="D6" s="13"/>
      <c r="E6" s="13"/>
      <c r="F6" s="31"/>
      <c r="G6" s="31"/>
      <c r="H6" s="31"/>
      <c r="I6" s="31"/>
      <c r="J6" s="31"/>
      <c r="K6" s="13"/>
      <c r="L6" s="13"/>
      <c r="M6" s="31"/>
      <c r="N6" s="31"/>
      <c r="O6" s="31"/>
      <c r="P6" s="31"/>
      <c r="Q6" s="31"/>
      <c r="R6" s="13"/>
      <c r="S6" s="13"/>
      <c r="T6" s="31"/>
      <c r="U6" s="31"/>
      <c r="V6" s="31"/>
      <c r="W6" s="31"/>
      <c r="X6" s="31"/>
      <c r="Y6" s="13"/>
      <c r="Z6" s="13"/>
      <c r="AA6" s="31"/>
      <c r="AB6" s="31"/>
      <c r="AC6" s="31"/>
      <c r="AD6" s="31"/>
      <c r="AE6" s="31"/>
      <c r="AF6" s="13"/>
      <c r="AG6" s="8">
        <f t="shared" si="1"/>
        <v>0</v>
      </c>
      <c r="AH6" s="8">
        <f t="shared" si="2"/>
        <v>0</v>
      </c>
      <c r="AI6" s="8">
        <f t="shared" si="3"/>
        <v>0</v>
      </c>
      <c r="AJ6" s="8">
        <f t="shared" si="4"/>
        <v>0</v>
      </c>
      <c r="AK6" s="8">
        <f t="shared" si="5"/>
        <v>0</v>
      </c>
      <c r="AL6" s="32"/>
      <c r="AM6" s="42" t="s">
        <v>120</v>
      </c>
      <c r="AN6" s="34" t="s">
        <v>121</v>
      </c>
      <c r="AO6" s="2"/>
      <c r="AP6" s="2"/>
    </row>
    <row r="7" spans="1:42" s="3" customFormat="1" ht="25.15" customHeight="1" x14ac:dyDescent="0.55000000000000004">
      <c r="A7" s="10" t="s">
        <v>17</v>
      </c>
      <c r="B7" s="31"/>
      <c r="C7" s="31"/>
      <c r="D7" s="13"/>
      <c r="E7" s="13"/>
      <c r="F7" s="31"/>
      <c r="G7" s="31"/>
      <c r="H7" s="31"/>
      <c r="I7" s="31"/>
      <c r="J7" s="31"/>
      <c r="K7" s="13"/>
      <c r="L7" s="13"/>
      <c r="M7" s="31"/>
      <c r="N7" s="31"/>
      <c r="O7" s="31"/>
      <c r="P7" s="31"/>
      <c r="Q7" s="31"/>
      <c r="R7" s="13"/>
      <c r="S7" s="13"/>
      <c r="T7" s="31"/>
      <c r="U7" s="31"/>
      <c r="V7" s="31"/>
      <c r="W7" s="31"/>
      <c r="X7" s="31"/>
      <c r="Y7" s="13"/>
      <c r="Z7" s="13"/>
      <c r="AA7" s="31"/>
      <c r="AB7" s="31"/>
      <c r="AC7" s="31"/>
      <c r="AD7" s="31"/>
      <c r="AE7" s="31"/>
      <c r="AF7" s="13"/>
      <c r="AG7" s="8">
        <f t="shared" si="1"/>
        <v>0</v>
      </c>
      <c r="AH7" s="8">
        <f t="shared" si="2"/>
        <v>0</v>
      </c>
      <c r="AI7" s="8">
        <f t="shared" si="3"/>
        <v>0</v>
      </c>
      <c r="AJ7" s="8">
        <f t="shared" si="4"/>
        <v>0</v>
      </c>
      <c r="AK7" s="8">
        <f t="shared" si="5"/>
        <v>0</v>
      </c>
      <c r="AL7" s="32"/>
      <c r="AM7" s="43" t="s">
        <v>23</v>
      </c>
      <c r="AN7" s="34" t="s">
        <v>122</v>
      </c>
      <c r="AO7" s="2"/>
      <c r="AP7" s="2"/>
    </row>
    <row r="8" spans="1:42" s="3" customFormat="1" ht="25.15" customHeight="1" x14ac:dyDescent="0.55000000000000004">
      <c r="A8" s="10" t="s">
        <v>41</v>
      </c>
      <c r="B8" s="31"/>
      <c r="C8" s="31"/>
      <c r="D8" s="13"/>
      <c r="E8" s="13"/>
      <c r="F8" s="31"/>
      <c r="G8" s="31"/>
      <c r="H8" s="31"/>
      <c r="I8" s="31"/>
      <c r="J8" s="31"/>
      <c r="K8" s="13"/>
      <c r="L8" s="13"/>
      <c r="M8" s="31"/>
      <c r="N8" s="31"/>
      <c r="O8" s="31"/>
      <c r="P8" s="31"/>
      <c r="Q8" s="31"/>
      <c r="R8" s="13"/>
      <c r="S8" s="13"/>
      <c r="T8" s="31"/>
      <c r="U8" s="31"/>
      <c r="V8" s="31"/>
      <c r="W8" s="31"/>
      <c r="X8" s="31"/>
      <c r="Y8" s="13"/>
      <c r="Z8" s="13"/>
      <c r="AA8" s="31"/>
      <c r="AB8" s="31"/>
      <c r="AC8" s="31"/>
      <c r="AD8" s="31"/>
      <c r="AE8" s="31"/>
      <c r="AF8" s="13"/>
      <c r="AG8" s="8">
        <f t="shared" si="1"/>
        <v>0</v>
      </c>
      <c r="AH8" s="8">
        <f t="shared" si="2"/>
        <v>0</v>
      </c>
      <c r="AI8" s="8">
        <f t="shared" si="3"/>
        <v>0</v>
      </c>
      <c r="AJ8" s="8">
        <f t="shared" si="4"/>
        <v>0</v>
      </c>
      <c r="AK8" s="8">
        <f t="shared" si="5"/>
        <v>0</v>
      </c>
      <c r="AL8" s="32"/>
      <c r="AM8" s="44" t="s">
        <v>123</v>
      </c>
      <c r="AN8" s="34" t="s">
        <v>124</v>
      </c>
      <c r="AO8" s="2"/>
      <c r="AP8" s="2"/>
    </row>
    <row r="9" spans="1:42" s="3" customFormat="1" ht="25.15" customHeight="1" x14ac:dyDescent="0.55000000000000004">
      <c r="A9" s="10" t="s">
        <v>36</v>
      </c>
      <c r="B9" s="31"/>
      <c r="C9" s="31"/>
      <c r="D9" s="13"/>
      <c r="E9" s="13"/>
      <c r="F9" s="31"/>
      <c r="G9" s="31"/>
      <c r="H9" s="31"/>
      <c r="I9" s="31"/>
      <c r="J9" s="31"/>
      <c r="K9" s="13"/>
      <c r="L9" s="13"/>
      <c r="M9" s="31"/>
      <c r="N9" s="31"/>
      <c r="O9" s="31"/>
      <c r="P9" s="31"/>
      <c r="Q9" s="31"/>
      <c r="R9" s="13"/>
      <c r="S9" s="13"/>
      <c r="T9" s="31"/>
      <c r="U9" s="31"/>
      <c r="V9" s="31"/>
      <c r="W9" s="31"/>
      <c r="X9" s="31"/>
      <c r="Y9" s="13"/>
      <c r="Z9" s="13"/>
      <c r="AA9" s="31"/>
      <c r="AB9" s="31"/>
      <c r="AC9" s="31"/>
      <c r="AD9" s="31"/>
      <c r="AE9" s="31"/>
      <c r="AF9" s="13"/>
      <c r="AG9" s="8">
        <f t="shared" si="1"/>
        <v>0</v>
      </c>
      <c r="AH9" s="8">
        <f t="shared" si="2"/>
        <v>0</v>
      </c>
      <c r="AI9" s="8">
        <f t="shared" si="3"/>
        <v>0</v>
      </c>
      <c r="AJ9" s="8">
        <f t="shared" si="4"/>
        <v>0</v>
      </c>
      <c r="AK9" s="8">
        <f t="shared" si="5"/>
        <v>0</v>
      </c>
      <c r="AL9" s="32"/>
      <c r="AM9" s="38" t="s">
        <v>125</v>
      </c>
      <c r="AN9" s="34" t="s">
        <v>126</v>
      </c>
      <c r="AO9" s="2"/>
      <c r="AP9" s="2"/>
    </row>
    <row r="10" spans="1:42" s="3" customFormat="1" ht="25.15" customHeight="1" x14ac:dyDescent="0.55000000000000004">
      <c r="A10" s="10" t="s">
        <v>46</v>
      </c>
      <c r="B10" s="31"/>
      <c r="C10" s="31"/>
      <c r="D10" s="13"/>
      <c r="E10" s="13"/>
      <c r="F10" s="31"/>
      <c r="G10" s="31"/>
      <c r="H10" s="31"/>
      <c r="I10" s="31"/>
      <c r="J10" s="31"/>
      <c r="K10" s="13"/>
      <c r="L10" s="13"/>
      <c r="M10" s="31"/>
      <c r="N10" s="31"/>
      <c r="O10" s="31"/>
      <c r="P10" s="31"/>
      <c r="Q10" s="31"/>
      <c r="R10" s="13"/>
      <c r="S10" s="13"/>
      <c r="T10" s="31"/>
      <c r="U10" s="31"/>
      <c r="V10" s="31"/>
      <c r="W10" s="31"/>
      <c r="X10" s="31"/>
      <c r="Y10" s="13"/>
      <c r="Z10" s="13"/>
      <c r="AA10" s="31"/>
      <c r="AB10" s="31"/>
      <c r="AC10" s="31"/>
      <c r="AD10" s="31"/>
      <c r="AE10" s="31"/>
      <c r="AF10" s="13"/>
      <c r="AG10" s="8">
        <f t="shared" si="1"/>
        <v>0</v>
      </c>
      <c r="AH10" s="8">
        <f t="shared" si="2"/>
        <v>0</v>
      </c>
      <c r="AI10" s="8">
        <f t="shared" si="3"/>
        <v>0</v>
      </c>
      <c r="AJ10" s="8">
        <f t="shared" si="4"/>
        <v>0</v>
      </c>
      <c r="AK10" s="8">
        <f t="shared" si="5"/>
        <v>0</v>
      </c>
      <c r="AL10" s="32"/>
      <c r="AM10" s="39" t="s">
        <v>116</v>
      </c>
      <c r="AN10" s="34" t="s">
        <v>127</v>
      </c>
      <c r="AO10" s="2"/>
      <c r="AP10" s="2"/>
    </row>
    <row r="11" spans="1:42" s="3" customFormat="1" ht="25.15" customHeight="1" x14ac:dyDescent="0.55000000000000004">
      <c r="A11" s="10" t="s">
        <v>43</v>
      </c>
      <c r="B11" s="31"/>
      <c r="C11" s="31"/>
      <c r="D11" s="13"/>
      <c r="E11" s="13"/>
      <c r="F11" s="31"/>
      <c r="G11" s="31"/>
      <c r="H11" s="31"/>
      <c r="I11" s="31"/>
      <c r="J11" s="31"/>
      <c r="K11" s="13"/>
      <c r="L11" s="13"/>
      <c r="M11" s="31"/>
      <c r="N11" s="31"/>
      <c r="O11" s="31"/>
      <c r="P11" s="31"/>
      <c r="Q11" s="31"/>
      <c r="R11" s="13"/>
      <c r="S11" s="13"/>
      <c r="T11" s="31"/>
      <c r="U11" s="31"/>
      <c r="V11" s="31"/>
      <c r="W11" s="31"/>
      <c r="X11" s="31"/>
      <c r="Y11" s="13"/>
      <c r="Z11" s="13"/>
      <c r="AA11" s="31"/>
      <c r="AB11" s="31"/>
      <c r="AC11" s="31"/>
      <c r="AD11" s="31"/>
      <c r="AE11" s="31"/>
      <c r="AF11" s="13"/>
      <c r="AG11" s="8">
        <f t="shared" si="1"/>
        <v>0</v>
      </c>
      <c r="AH11" s="8">
        <f t="shared" si="2"/>
        <v>0</v>
      </c>
      <c r="AI11" s="8">
        <f t="shared" si="3"/>
        <v>0</v>
      </c>
      <c r="AJ11" s="8">
        <f t="shared" si="4"/>
        <v>0</v>
      </c>
      <c r="AK11" s="8">
        <f t="shared" si="5"/>
        <v>0</v>
      </c>
      <c r="AL11" s="32"/>
      <c r="AM11" s="11"/>
      <c r="AN11" s="49"/>
      <c r="AO11" s="2"/>
      <c r="AP11" s="2"/>
    </row>
    <row r="12" spans="1:42" s="3" customFormat="1" ht="25.15" customHeight="1" x14ac:dyDescent="0.55000000000000004">
      <c r="A12" s="10" t="s">
        <v>47</v>
      </c>
      <c r="B12" s="31"/>
      <c r="C12" s="31"/>
      <c r="D12" s="13"/>
      <c r="E12" s="13"/>
      <c r="F12" s="31"/>
      <c r="G12" s="31"/>
      <c r="H12" s="31"/>
      <c r="I12" s="31"/>
      <c r="J12" s="31"/>
      <c r="K12" s="13"/>
      <c r="L12" s="13"/>
      <c r="M12" s="31"/>
      <c r="N12" s="31"/>
      <c r="O12" s="31"/>
      <c r="P12" s="31"/>
      <c r="Q12" s="31"/>
      <c r="R12" s="13"/>
      <c r="S12" s="13"/>
      <c r="T12" s="31"/>
      <c r="U12" s="31"/>
      <c r="V12" s="31"/>
      <c r="W12" s="31"/>
      <c r="X12" s="31"/>
      <c r="Y12" s="13"/>
      <c r="Z12" s="13"/>
      <c r="AA12" s="31"/>
      <c r="AB12" s="31"/>
      <c r="AC12" s="31"/>
      <c r="AD12" s="31"/>
      <c r="AE12" s="31"/>
      <c r="AF12" s="13"/>
      <c r="AG12" s="8">
        <f t="shared" si="1"/>
        <v>0</v>
      </c>
      <c r="AH12" s="8">
        <f t="shared" si="2"/>
        <v>0</v>
      </c>
      <c r="AI12" s="8">
        <f t="shared" si="3"/>
        <v>0</v>
      </c>
      <c r="AJ12" s="8">
        <f t="shared" si="4"/>
        <v>0</v>
      </c>
      <c r="AK12" s="8">
        <f t="shared" si="5"/>
        <v>0</v>
      </c>
      <c r="AL12" s="32"/>
      <c r="AM12" s="11"/>
      <c r="AN12" s="49"/>
      <c r="AO12" s="2"/>
      <c r="AP12" s="2"/>
    </row>
    <row r="13" spans="1:42" s="3" customFormat="1" ht="25.15" customHeight="1" x14ac:dyDescent="0.55000000000000004">
      <c r="A13" s="10" t="s">
        <v>32</v>
      </c>
      <c r="B13" s="31"/>
      <c r="C13" s="31"/>
      <c r="D13" s="13"/>
      <c r="E13" s="13"/>
      <c r="F13" s="31"/>
      <c r="G13" s="31"/>
      <c r="H13" s="31"/>
      <c r="I13" s="31"/>
      <c r="J13" s="31"/>
      <c r="K13" s="13"/>
      <c r="L13" s="13"/>
      <c r="M13" s="31"/>
      <c r="N13" s="31"/>
      <c r="O13" s="31"/>
      <c r="P13" s="31"/>
      <c r="Q13" s="31"/>
      <c r="R13" s="13"/>
      <c r="S13" s="13"/>
      <c r="T13" s="31"/>
      <c r="U13" s="31"/>
      <c r="V13" s="31"/>
      <c r="W13" s="31"/>
      <c r="X13" s="31"/>
      <c r="Y13" s="13"/>
      <c r="Z13" s="13"/>
      <c r="AA13" s="31"/>
      <c r="AB13" s="31"/>
      <c r="AC13" s="31"/>
      <c r="AD13" s="31"/>
      <c r="AE13" s="31"/>
      <c r="AF13" s="13"/>
      <c r="AG13" s="8">
        <f t="shared" si="1"/>
        <v>0</v>
      </c>
      <c r="AH13" s="8">
        <f t="shared" si="2"/>
        <v>0</v>
      </c>
      <c r="AI13" s="8">
        <f t="shared" si="3"/>
        <v>0</v>
      </c>
      <c r="AJ13" s="8">
        <f t="shared" si="4"/>
        <v>0</v>
      </c>
      <c r="AK13" s="8">
        <f t="shared" si="5"/>
        <v>0</v>
      </c>
      <c r="AL13" s="32"/>
      <c r="AM13" s="2"/>
      <c r="AN13" s="2"/>
      <c r="AO13" s="2"/>
      <c r="AP13" s="2"/>
    </row>
    <row r="14" spans="1:42" s="3" customFormat="1" ht="25.15" customHeight="1" x14ac:dyDescent="0.55000000000000004">
      <c r="A14" s="10" t="s">
        <v>40</v>
      </c>
      <c r="B14" s="31"/>
      <c r="C14" s="31"/>
      <c r="D14" s="13"/>
      <c r="E14" s="13"/>
      <c r="F14" s="31"/>
      <c r="G14" s="31"/>
      <c r="H14" s="31"/>
      <c r="I14" s="31"/>
      <c r="J14" s="31"/>
      <c r="K14" s="13"/>
      <c r="L14" s="13"/>
      <c r="M14" s="31"/>
      <c r="N14" s="31"/>
      <c r="O14" s="31"/>
      <c r="P14" s="31"/>
      <c r="Q14" s="31"/>
      <c r="R14" s="13"/>
      <c r="S14" s="13"/>
      <c r="T14" s="31"/>
      <c r="U14" s="31"/>
      <c r="V14" s="31"/>
      <c r="W14" s="31"/>
      <c r="X14" s="31"/>
      <c r="Y14" s="13"/>
      <c r="Z14" s="13"/>
      <c r="AA14" s="31"/>
      <c r="AB14" s="31"/>
      <c r="AC14" s="31"/>
      <c r="AD14" s="31"/>
      <c r="AE14" s="31"/>
      <c r="AF14" s="13"/>
      <c r="AG14" s="8">
        <f t="shared" si="1"/>
        <v>0</v>
      </c>
      <c r="AH14" s="8">
        <f t="shared" si="2"/>
        <v>0</v>
      </c>
      <c r="AI14" s="8">
        <f t="shared" si="3"/>
        <v>0</v>
      </c>
      <c r="AJ14" s="8">
        <f t="shared" si="4"/>
        <v>0</v>
      </c>
      <c r="AK14" s="8">
        <f t="shared" si="5"/>
        <v>0</v>
      </c>
      <c r="AL14" s="32"/>
      <c r="AM14" s="2"/>
      <c r="AN14" s="2"/>
      <c r="AO14" s="2"/>
      <c r="AP14" s="2"/>
    </row>
    <row r="15" spans="1:42" s="3" customFormat="1" ht="25.15" customHeight="1" x14ac:dyDescent="0.55000000000000004">
      <c r="A15" s="10" t="s">
        <v>34</v>
      </c>
      <c r="B15" s="31"/>
      <c r="C15" s="31"/>
      <c r="D15" s="13"/>
      <c r="E15" s="13"/>
      <c r="F15" s="31"/>
      <c r="G15" s="31"/>
      <c r="H15" s="31"/>
      <c r="I15" s="31"/>
      <c r="J15" s="31"/>
      <c r="K15" s="13"/>
      <c r="L15" s="13"/>
      <c r="M15" s="31"/>
      <c r="N15" s="31"/>
      <c r="O15" s="31"/>
      <c r="P15" s="31"/>
      <c r="Q15" s="31"/>
      <c r="R15" s="13"/>
      <c r="S15" s="13"/>
      <c r="T15" s="31"/>
      <c r="U15" s="31"/>
      <c r="V15" s="31"/>
      <c r="W15" s="31"/>
      <c r="X15" s="31"/>
      <c r="Y15" s="13"/>
      <c r="Z15" s="13"/>
      <c r="AA15" s="31"/>
      <c r="AB15" s="31"/>
      <c r="AC15" s="31"/>
      <c r="AD15" s="31"/>
      <c r="AE15" s="31"/>
      <c r="AF15" s="13"/>
      <c r="AG15" s="8">
        <f t="shared" si="1"/>
        <v>0</v>
      </c>
      <c r="AH15" s="8">
        <f t="shared" si="2"/>
        <v>0</v>
      </c>
      <c r="AI15" s="8">
        <f t="shared" si="3"/>
        <v>0</v>
      </c>
      <c r="AJ15" s="8">
        <f t="shared" si="4"/>
        <v>0</v>
      </c>
      <c r="AK15" s="8">
        <f t="shared" si="5"/>
        <v>0</v>
      </c>
      <c r="AL15" s="2"/>
      <c r="AM15" s="2"/>
      <c r="AN15" s="2"/>
      <c r="AO15" s="2"/>
      <c r="AP15" s="2"/>
    </row>
    <row r="16" spans="1:42" ht="23.5" customHeight="1" x14ac:dyDescent="0.55000000000000004">
      <c r="A16" s="10" t="s">
        <v>29</v>
      </c>
      <c r="B16" s="31"/>
      <c r="C16" s="31"/>
      <c r="D16" s="13"/>
      <c r="E16" s="13"/>
      <c r="F16" s="31"/>
      <c r="G16" s="31"/>
      <c r="H16" s="31"/>
      <c r="I16" s="31"/>
      <c r="J16" s="31"/>
      <c r="K16" s="13"/>
      <c r="L16" s="13"/>
      <c r="M16" s="31"/>
      <c r="N16" s="31"/>
      <c r="O16" s="31"/>
      <c r="P16" s="31"/>
      <c r="Q16" s="31"/>
      <c r="R16" s="13"/>
      <c r="S16" s="13"/>
      <c r="T16" s="31"/>
      <c r="U16" s="31"/>
      <c r="V16" s="31"/>
      <c r="W16" s="31"/>
      <c r="X16" s="31"/>
      <c r="Y16" s="13"/>
      <c r="Z16" s="13"/>
      <c r="AA16" s="31"/>
      <c r="AB16" s="31"/>
      <c r="AC16" s="31"/>
      <c r="AD16" s="31"/>
      <c r="AE16" s="31"/>
      <c r="AF16" s="13"/>
      <c r="AG16" s="8">
        <f t="shared" si="1"/>
        <v>0</v>
      </c>
      <c r="AH16" s="8">
        <f t="shared" si="2"/>
        <v>0</v>
      </c>
      <c r="AI16" s="8">
        <f t="shared" si="3"/>
        <v>0</v>
      </c>
      <c r="AJ16" s="8">
        <f t="shared" si="4"/>
        <v>0</v>
      </c>
      <c r="AK16" s="8">
        <f t="shared" si="5"/>
        <v>0</v>
      </c>
      <c r="AO16" s="2"/>
      <c r="AP16" s="2"/>
    </row>
    <row r="17" spans="1:37" ht="23.5" customHeight="1" x14ac:dyDescent="0.55000000000000004">
      <c r="A17" s="10" t="s">
        <v>128</v>
      </c>
      <c r="B17" s="31"/>
      <c r="C17" s="31"/>
      <c r="D17" s="13"/>
      <c r="E17" s="13"/>
      <c r="F17" s="31"/>
      <c r="G17" s="31"/>
      <c r="H17" s="31"/>
      <c r="I17" s="31"/>
      <c r="J17" s="31"/>
      <c r="K17" s="13"/>
      <c r="L17" s="13"/>
      <c r="M17" s="31"/>
      <c r="N17" s="31"/>
      <c r="O17" s="31"/>
      <c r="P17" s="31"/>
      <c r="Q17" s="31"/>
      <c r="R17" s="13"/>
      <c r="S17" s="13"/>
      <c r="T17" s="31"/>
      <c r="U17" s="31"/>
      <c r="V17" s="31"/>
      <c r="W17" s="31"/>
      <c r="X17" s="31"/>
      <c r="Y17" s="13"/>
      <c r="Z17" s="13"/>
      <c r="AA17" s="31"/>
      <c r="AB17" s="31"/>
      <c r="AC17" s="31"/>
      <c r="AD17" s="31"/>
      <c r="AE17" s="31"/>
      <c r="AF17" s="13"/>
      <c r="AG17" s="8">
        <f t="shared" si="1"/>
        <v>0</v>
      </c>
      <c r="AH17" s="8">
        <f t="shared" si="2"/>
        <v>0</v>
      </c>
      <c r="AI17" s="8">
        <f t="shared" si="3"/>
        <v>0</v>
      </c>
      <c r="AJ17" s="8">
        <f t="shared" si="4"/>
        <v>0</v>
      </c>
      <c r="AK17" s="8">
        <f t="shared" si="5"/>
        <v>0</v>
      </c>
    </row>
    <row r="18" spans="1:37" ht="23.5" customHeight="1" x14ac:dyDescent="0.55000000000000004">
      <c r="A18" s="10" t="s">
        <v>22</v>
      </c>
      <c r="B18" s="31"/>
      <c r="C18" s="31"/>
      <c r="D18" s="13"/>
      <c r="E18" s="13"/>
      <c r="F18" s="31"/>
      <c r="G18" s="31"/>
      <c r="H18" s="31"/>
      <c r="I18" s="31"/>
      <c r="J18" s="31"/>
      <c r="K18" s="13"/>
      <c r="L18" s="13"/>
      <c r="M18" s="31"/>
      <c r="N18" s="31"/>
      <c r="O18" s="31"/>
      <c r="P18" s="31"/>
      <c r="Q18" s="31"/>
      <c r="R18" s="13"/>
      <c r="S18" s="13"/>
      <c r="T18" s="31"/>
      <c r="U18" s="31"/>
      <c r="V18" s="31"/>
      <c r="W18" s="31"/>
      <c r="X18" s="31"/>
      <c r="Y18" s="13"/>
      <c r="Z18" s="13"/>
      <c r="AA18" s="31"/>
      <c r="AB18" s="31"/>
      <c r="AC18" s="31"/>
      <c r="AD18" s="31"/>
      <c r="AE18" s="31"/>
      <c r="AF18" s="13"/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f t="shared" si="4"/>
        <v>0</v>
      </c>
      <c r="AK18" s="8">
        <f t="shared" si="5"/>
        <v>0</v>
      </c>
    </row>
    <row r="19" spans="1:37" ht="23.5" customHeight="1" x14ac:dyDescent="0.55000000000000004">
      <c r="A19" s="10" t="s">
        <v>39</v>
      </c>
      <c r="B19" s="31"/>
      <c r="C19" s="31"/>
      <c r="D19" s="13"/>
      <c r="E19" s="13"/>
      <c r="F19" s="31"/>
      <c r="G19" s="31"/>
      <c r="H19" s="31"/>
      <c r="I19" s="31"/>
      <c r="J19" s="31"/>
      <c r="K19" s="13"/>
      <c r="L19" s="13"/>
      <c r="M19" s="31"/>
      <c r="N19" s="31"/>
      <c r="O19" s="31"/>
      <c r="P19" s="31"/>
      <c r="Q19" s="31"/>
      <c r="R19" s="13"/>
      <c r="S19" s="13"/>
      <c r="T19" s="31"/>
      <c r="U19" s="31"/>
      <c r="V19" s="31"/>
      <c r="W19" s="31"/>
      <c r="X19" s="31"/>
      <c r="Y19" s="13"/>
      <c r="Z19" s="13"/>
      <c r="AA19" s="31"/>
      <c r="AB19" s="31"/>
      <c r="AC19" s="31"/>
      <c r="AD19" s="31"/>
      <c r="AE19" s="31"/>
      <c r="AF19" s="13"/>
      <c r="AG19" s="8">
        <f t="shared" si="1"/>
        <v>0</v>
      </c>
      <c r="AH19" s="8">
        <f t="shared" si="2"/>
        <v>0</v>
      </c>
      <c r="AI19" s="8">
        <f t="shared" si="3"/>
        <v>0</v>
      </c>
      <c r="AJ19" s="8">
        <f t="shared" si="4"/>
        <v>0</v>
      </c>
      <c r="AK19" s="8">
        <f t="shared" si="5"/>
        <v>0</v>
      </c>
    </row>
    <row r="20" spans="1:37" ht="23.5" customHeight="1" x14ac:dyDescent="0.55000000000000004">
      <c r="A20" s="10" t="s">
        <v>50</v>
      </c>
      <c r="B20" s="31"/>
      <c r="C20" s="31"/>
      <c r="D20" s="13"/>
      <c r="E20" s="13"/>
      <c r="F20" s="31"/>
      <c r="G20" s="31"/>
      <c r="H20" s="31"/>
      <c r="I20" s="31"/>
      <c r="J20" s="31"/>
      <c r="K20" s="13"/>
      <c r="L20" s="13"/>
      <c r="M20" s="31"/>
      <c r="N20" s="31"/>
      <c r="O20" s="31"/>
      <c r="P20" s="31"/>
      <c r="Q20" s="31"/>
      <c r="R20" s="13"/>
      <c r="S20" s="13"/>
      <c r="T20" s="31"/>
      <c r="U20" s="31"/>
      <c r="V20" s="31"/>
      <c r="W20" s="31"/>
      <c r="X20" s="31"/>
      <c r="Y20" s="13"/>
      <c r="Z20" s="13"/>
      <c r="AA20" s="31"/>
      <c r="AB20" s="31"/>
      <c r="AC20" s="31"/>
      <c r="AD20" s="31"/>
      <c r="AE20" s="31"/>
      <c r="AF20" s="13"/>
      <c r="AG20" s="8">
        <f t="shared" si="1"/>
        <v>0</v>
      </c>
      <c r="AH20" s="8">
        <f t="shared" si="2"/>
        <v>0</v>
      </c>
      <c r="AI20" s="8">
        <f t="shared" si="3"/>
        <v>0</v>
      </c>
      <c r="AJ20" s="8">
        <f t="shared" si="4"/>
        <v>0</v>
      </c>
      <c r="AK20" s="8">
        <f t="shared" si="5"/>
        <v>0</v>
      </c>
    </row>
    <row r="21" spans="1:37" ht="23.5" customHeight="1" x14ac:dyDescent="0.55000000000000004">
      <c r="A21" s="10" t="s">
        <v>129</v>
      </c>
      <c r="B21" s="31"/>
      <c r="C21" s="31"/>
      <c r="D21" s="13"/>
      <c r="E21" s="13"/>
      <c r="F21" s="31"/>
      <c r="G21" s="31"/>
      <c r="H21" s="31"/>
      <c r="I21" s="31"/>
      <c r="J21" s="31"/>
      <c r="K21" s="13"/>
      <c r="L21" s="13"/>
      <c r="M21" s="31"/>
      <c r="N21" s="31"/>
      <c r="O21" s="31"/>
      <c r="P21" s="31"/>
      <c r="Q21" s="31"/>
      <c r="R21" s="13"/>
      <c r="S21" s="13"/>
      <c r="T21" s="31"/>
      <c r="U21" s="31"/>
      <c r="V21" s="31"/>
      <c r="W21" s="31"/>
      <c r="X21" s="31"/>
      <c r="Y21" s="13"/>
      <c r="Z21" s="13"/>
      <c r="AA21" s="31"/>
      <c r="AB21" s="31"/>
      <c r="AC21" s="31"/>
      <c r="AD21" s="31"/>
      <c r="AE21" s="31"/>
      <c r="AF21" s="13"/>
      <c r="AG21" s="8">
        <f t="shared" si="1"/>
        <v>0</v>
      </c>
      <c r="AH21" s="8">
        <f t="shared" si="2"/>
        <v>0</v>
      </c>
      <c r="AI21" s="8">
        <f t="shared" si="3"/>
        <v>0</v>
      </c>
      <c r="AJ21" s="8">
        <f t="shared" si="4"/>
        <v>0</v>
      </c>
      <c r="AK21" s="8">
        <f t="shared" si="5"/>
        <v>0</v>
      </c>
    </row>
    <row r="22" spans="1:37" ht="23.5" customHeight="1" x14ac:dyDescent="0.55000000000000004">
      <c r="A22" s="10" t="s">
        <v>27</v>
      </c>
      <c r="B22" s="31"/>
      <c r="C22" s="31"/>
      <c r="D22" s="13"/>
      <c r="E22" s="13"/>
      <c r="F22" s="31"/>
      <c r="G22" s="31"/>
      <c r="H22" s="31"/>
      <c r="I22" s="31"/>
      <c r="J22" s="31"/>
      <c r="K22" s="13"/>
      <c r="L22" s="13"/>
      <c r="M22" s="31"/>
      <c r="N22" s="31"/>
      <c r="O22" s="31"/>
      <c r="P22" s="31"/>
      <c r="Q22" s="31"/>
      <c r="R22" s="13"/>
      <c r="S22" s="13"/>
      <c r="T22" s="31"/>
      <c r="U22" s="31"/>
      <c r="V22" s="31"/>
      <c r="W22" s="31"/>
      <c r="X22" s="31"/>
      <c r="Y22" s="13"/>
      <c r="Z22" s="13"/>
      <c r="AA22" s="31"/>
      <c r="AB22" s="31"/>
      <c r="AC22" s="31"/>
      <c r="AD22" s="31"/>
      <c r="AE22" s="31"/>
      <c r="AF22" s="13"/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f t="shared" si="4"/>
        <v>0</v>
      </c>
      <c r="AK22" s="8">
        <f t="shared" si="5"/>
        <v>0</v>
      </c>
    </row>
    <row r="23" spans="1:37" ht="23.5" customHeight="1" x14ac:dyDescent="0.55000000000000004">
      <c r="A23" s="10" t="s">
        <v>28</v>
      </c>
      <c r="B23" s="31"/>
      <c r="C23" s="31"/>
      <c r="D23" s="13"/>
      <c r="E23" s="13"/>
      <c r="F23" s="31"/>
      <c r="G23" s="31"/>
      <c r="H23" s="31"/>
      <c r="I23" s="31"/>
      <c r="J23" s="31"/>
      <c r="K23" s="13"/>
      <c r="L23" s="13"/>
      <c r="M23" s="31"/>
      <c r="N23" s="31"/>
      <c r="O23" s="31"/>
      <c r="P23" s="31"/>
      <c r="Q23" s="31"/>
      <c r="R23" s="13"/>
      <c r="S23" s="13"/>
      <c r="T23" s="31"/>
      <c r="U23" s="31"/>
      <c r="V23" s="31"/>
      <c r="W23" s="31"/>
      <c r="X23" s="31"/>
      <c r="Y23" s="13"/>
      <c r="Z23" s="13"/>
      <c r="AA23" s="31"/>
      <c r="AB23" s="31"/>
      <c r="AC23" s="31"/>
      <c r="AD23" s="31"/>
      <c r="AE23" s="31"/>
      <c r="AF23" s="13"/>
      <c r="AG23" s="8">
        <f t="shared" si="1"/>
        <v>0</v>
      </c>
      <c r="AH23" s="8">
        <f t="shared" si="2"/>
        <v>0</v>
      </c>
      <c r="AI23" s="8">
        <f t="shared" si="3"/>
        <v>0</v>
      </c>
      <c r="AJ23" s="8">
        <f t="shared" si="4"/>
        <v>0</v>
      </c>
      <c r="AK23" s="8">
        <f t="shared" si="5"/>
        <v>0</v>
      </c>
    </row>
    <row r="24" spans="1:37" ht="23.5" customHeight="1" x14ac:dyDescent="0.55000000000000004">
      <c r="A24" s="10" t="s">
        <v>21</v>
      </c>
      <c r="B24" s="31"/>
      <c r="C24" s="31"/>
      <c r="D24" s="13"/>
      <c r="E24" s="13"/>
      <c r="F24" s="31"/>
      <c r="G24" s="31"/>
      <c r="H24" s="31"/>
      <c r="I24" s="31"/>
      <c r="J24" s="31"/>
      <c r="K24" s="13"/>
      <c r="L24" s="13"/>
      <c r="M24" s="31"/>
      <c r="N24" s="31"/>
      <c r="O24" s="31"/>
      <c r="P24" s="31"/>
      <c r="Q24" s="31"/>
      <c r="R24" s="13"/>
      <c r="S24" s="13"/>
      <c r="T24" s="31"/>
      <c r="U24" s="31"/>
      <c r="V24" s="31"/>
      <c r="W24" s="31"/>
      <c r="X24" s="31"/>
      <c r="Y24" s="13"/>
      <c r="Z24" s="13"/>
      <c r="AA24" s="31"/>
      <c r="AB24" s="31"/>
      <c r="AC24" s="31"/>
      <c r="AD24" s="31"/>
      <c r="AE24" s="31"/>
      <c r="AF24" s="13"/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f t="shared" si="4"/>
        <v>0</v>
      </c>
      <c r="AK24" s="8">
        <f t="shared" si="5"/>
        <v>0</v>
      </c>
    </row>
    <row r="25" spans="1:37" ht="23.5" customHeight="1" x14ac:dyDescent="0.55000000000000004">
      <c r="A25" s="10" t="s">
        <v>42</v>
      </c>
      <c r="B25" s="31"/>
      <c r="C25" s="31"/>
      <c r="D25" s="13"/>
      <c r="E25" s="13"/>
      <c r="F25" s="31"/>
      <c r="G25" s="31"/>
      <c r="H25" s="31"/>
      <c r="I25" s="31"/>
      <c r="J25" s="31"/>
      <c r="K25" s="13"/>
      <c r="L25" s="13"/>
      <c r="M25" s="31"/>
      <c r="N25" s="31"/>
      <c r="O25" s="31"/>
      <c r="P25" s="31"/>
      <c r="Q25" s="31"/>
      <c r="R25" s="13"/>
      <c r="S25" s="13"/>
      <c r="T25" s="31"/>
      <c r="U25" s="31"/>
      <c r="V25" s="31"/>
      <c r="W25" s="31"/>
      <c r="X25" s="31"/>
      <c r="Y25" s="13"/>
      <c r="Z25" s="13"/>
      <c r="AA25" s="31"/>
      <c r="AB25" s="31"/>
      <c r="AC25" s="31"/>
      <c r="AD25" s="31"/>
      <c r="AE25" s="31"/>
      <c r="AF25" s="13"/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f t="shared" si="4"/>
        <v>0</v>
      </c>
      <c r="AK25" s="8">
        <f t="shared" si="5"/>
        <v>0</v>
      </c>
    </row>
    <row r="26" spans="1:37" ht="23.5" customHeight="1" x14ac:dyDescent="0.55000000000000004">
      <c r="A26" s="10" t="s">
        <v>26</v>
      </c>
      <c r="B26" s="31"/>
      <c r="C26" s="31"/>
      <c r="D26" s="13"/>
      <c r="E26" s="13"/>
      <c r="F26" s="31"/>
      <c r="G26" s="31"/>
      <c r="H26" s="31"/>
      <c r="I26" s="31"/>
      <c r="J26" s="31"/>
      <c r="K26" s="13"/>
      <c r="L26" s="13"/>
      <c r="M26" s="31"/>
      <c r="N26" s="31"/>
      <c r="O26" s="31"/>
      <c r="P26" s="31"/>
      <c r="Q26" s="31"/>
      <c r="R26" s="13"/>
      <c r="S26" s="13"/>
      <c r="T26" s="31"/>
      <c r="U26" s="31"/>
      <c r="V26" s="31"/>
      <c r="W26" s="31"/>
      <c r="X26" s="31"/>
      <c r="Y26" s="13"/>
      <c r="Z26" s="13"/>
      <c r="AA26" s="31"/>
      <c r="AB26" s="31"/>
      <c r="AC26" s="31"/>
      <c r="AD26" s="31"/>
      <c r="AE26" s="31"/>
      <c r="AF26" s="13"/>
      <c r="AG26" s="8">
        <f t="shared" si="1"/>
        <v>0</v>
      </c>
      <c r="AH26" s="8">
        <f t="shared" si="2"/>
        <v>0</v>
      </c>
      <c r="AI26" s="8">
        <f t="shared" si="3"/>
        <v>0</v>
      </c>
      <c r="AJ26" s="8">
        <f t="shared" si="4"/>
        <v>0</v>
      </c>
      <c r="AK26" s="8">
        <f t="shared" si="5"/>
        <v>0</v>
      </c>
    </row>
    <row r="27" spans="1:37" ht="23.5" customHeight="1" x14ac:dyDescent="0.55000000000000004">
      <c r="A27" s="10" t="s">
        <v>44</v>
      </c>
      <c r="B27" s="31"/>
      <c r="C27" s="31"/>
      <c r="D27" s="13"/>
      <c r="E27" s="13"/>
      <c r="F27" s="31"/>
      <c r="G27" s="31"/>
      <c r="H27" s="31"/>
      <c r="I27" s="31"/>
      <c r="J27" s="31"/>
      <c r="K27" s="13"/>
      <c r="L27" s="13"/>
      <c r="M27" s="31"/>
      <c r="N27" s="31"/>
      <c r="O27" s="31"/>
      <c r="P27" s="31"/>
      <c r="Q27" s="31"/>
      <c r="R27" s="13"/>
      <c r="S27" s="13"/>
      <c r="T27" s="31"/>
      <c r="U27" s="31"/>
      <c r="V27" s="31"/>
      <c r="W27" s="31"/>
      <c r="X27" s="31"/>
      <c r="Y27" s="13"/>
      <c r="Z27" s="13"/>
      <c r="AA27" s="31"/>
      <c r="AB27" s="31"/>
      <c r="AC27" s="31"/>
      <c r="AD27" s="31"/>
      <c r="AE27" s="31"/>
      <c r="AF27" s="13"/>
      <c r="AG27" s="8">
        <f t="shared" si="1"/>
        <v>0</v>
      </c>
      <c r="AH27" s="8">
        <f t="shared" si="2"/>
        <v>0</v>
      </c>
      <c r="AI27" s="8">
        <f t="shared" si="3"/>
        <v>0</v>
      </c>
      <c r="AJ27" s="8">
        <f t="shared" si="4"/>
        <v>0</v>
      </c>
      <c r="AK27" s="8">
        <f t="shared" si="5"/>
        <v>0</v>
      </c>
    </row>
    <row r="28" spans="1:37" ht="23.5" customHeight="1" x14ac:dyDescent="0.55000000000000004">
      <c r="A28" s="10" t="s">
        <v>25</v>
      </c>
      <c r="B28" s="31"/>
      <c r="C28" s="31"/>
      <c r="D28" s="13"/>
      <c r="E28" s="13"/>
      <c r="F28" s="31"/>
      <c r="G28" s="31"/>
      <c r="H28" s="31"/>
      <c r="I28" s="31"/>
      <c r="J28" s="31"/>
      <c r="K28" s="13"/>
      <c r="L28" s="13"/>
      <c r="M28" s="31"/>
      <c r="N28" s="31"/>
      <c r="O28" s="31"/>
      <c r="P28" s="31"/>
      <c r="Q28" s="31"/>
      <c r="R28" s="13"/>
      <c r="S28" s="13"/>
      <c r="T28" s="31"/>
      <c r="U28" s="31"/>
      <c r="V28" s="31"/>
      <c r="W28" s="31"/>
      <c r="X28" s="31"/>
      <c r="Y28" s="13"/>
      <c r="Z28" s="13"/>
      <c r="AA28" s="31"/>
      <c r="AB28" s="31"/>
      <c r="AC28" s="31"/>
      <c r="AD28" s="31"/>
      <c r="AE28" s="31"/>
      <c r="AF28" s="13"/>
      <c r="AG28" s="8">
        <f t="shared" si="1"/>
        <v>0</v>
      </c>
      <c r="AH28" s="8">
        <f t="shared" si="2"/>
        <v>0</v>
      </c>
      <c r="AI28" s="8">
        <f t="shared" si="3"/>
        <v>0</v>
      </c>
      <c r="AJ28" s="8">
        <f t="shared" si="4"/>
        <v>0</v>
      </c>
      <c r="AK28" s="8">
        <f t="shared" si="5"/>
        <v>0</v>
      </c>
    </row>
    <row r="29" spans="1:37" ht="23.5" customHeight="1" x14ac:dyDescent="0.55000000000000004">
      <c r="A29" s="10" t="s">
        <v>24</v>
      </c>
      <c r="B29" s="31"/>
      <c r="C29" s="31"/>
      <c r="D29" s="13"/>
      <c r="E29" s="13"/>
      <c r="F29" s="31"/>
      <c r="G29" s="31"/>
      <c r="H29" s="31"/>
      <c r="I29" s="31"/>
      <c r="J29" s="31"/>
      <c r="K29" s="13"/>
      <c r="L29" s="13"/>
      <c r="M29" s="31"/>
      <c r="N29" s="31"/>
      <c r="O29" s="31"/>
      <c r="P29" s="31"/>
      <c r="Q29" s="31"/>
      <c r="R29" s="13"/>
      <c r="S29" s="13"/>
      <c r="T29" s="31"/>
      <c r="U29" s="31"/>
      <c r="V29" s="31"/>
      <c r="W29" s="31"/>
      <c r="X29" s="31"/>
      <c r="Y29" s="13"/>
      <c r="Z29" s="13"/>
      <c r="AA29" s="31"/>
      <c r="AB29" s="31"/>
      <c r="AC29" s="31"/>
      <c r="AD29" s="31"/>
      <c r="AE29" s="31"/>
      <c r="AF29" s="13"/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f t="shared" si="4"/>
        <v>0</v>
      </c>
      <c r="AK29" s="8">
        <f t="shared" si="5"/>
        <v>0</v>
      </c>
    </row>
    <row r="30" spans="1:37" ht="23.5" customHeight="1" x14ac:dyDescent="0.55000000000000004">
      <c r="A30" s="10" t="s">
        <v>60</v>
      </c>
      <c r="B30" s="31"/>
      <c r="C30" s="31"/>
      <c r="D30" s="13"/>
      <c r="E30" s="13"/>
      <c r="F30" s="31"/>
      <c r="G30" s="31"/>
      <c r="H30" s="31"/>
      <c r="I30" s="31"/>
      <c r="J30" s="31"/>
      <c r="K30" s="13"/>
      <c r="L30" s="13"/>
      <c r="M30" s="31"/>
      <c r="N30" s="31"/>
      <c r="O30" s="31"/>
      <c r="P30" s="31"/>
      <c r="Q30" s="31"/>
      <c r="R30" s="13"/>
      <c r="S30" s="13"/>
      <c r="T30" s="31"/>
      <c r="U30" s="31"/>
      <c r="V30" s="31"/>
      <c r="W30" s="31"/>
      <c r="X30" s="31"/>
      <c r="Y30" s="13"/>
      <c r="Z30" s="13"/>
      <c r="AA30" s="31"/>
      <c r="AB30" s="31"/>
      <c r="AC30" s="31"/>
      <c r="AD30" s="31"/>
      <c r="AE30" s="31"/>
      <c r="AF30" s="13"/>
      <c r="AG30" s="8">
        <f t="shared" si="1"/>
        <v>0</v>
      </c>
      <c r="AH30" s="8">
        <f t="shared" si="2"/>
        <v>0</v>
      </c>
      <c r="AI30" s="8">
        <f t="shared" si="3"/>
        <v>0</v>
      </c>
      <c r="AJ30" s="8">
        <f t="shared" si="4"/>
        <v>0</v>
      </c>
      <c r="AK30" s="8">
        <f t="shared" si="5"/>
        <v>0</v>
      </c>
    </row>
    <row r="31" spans="1:37" ht="23.5" customHeight="1" x14ac:dyDescent="0.55000000000000004">
      <c r="A31" s="10" t="s">
        <v>52</v>
      </c>
      <c r="B31" s="31"/>
      <c r="C31" s="31"/>
      <c r="D31" s="13"/>
      <c r="E31" s="13"/>
      <c r="F31" s="31"/>
      <c r="G31" s="31"/>
      <c r="H31" s="31"/>
      <c r="I31" s="31"/>
      <c r="J31" s="31"/>
      <c r="K31" s="13"/>
      <c r="L31" s="13"/>
      <c r="M31" s="31"/>
      <c r="N31" s="31"/>
      <c r="O31" s="31"/>
      <c r="P31" s="31"/>
      <c r="Q31" s="31"/>
      <c r="R31" s="13"/>
      <c r="S31" s="13"/>
      <c r="T31" s="31"/>
      <c r="U31" s="31"/>
      <c r="V31" s="31"/>
      <c r="W31" s="31"/>
      <c r="X31" s="31"/>
      <c r="Y31" s="13"/>
      <c r="Z31" s="13"/>
      <c r="AA31" s="31"/>
      <c r="AB31" s="31"/>
      <c r="AC31" s="31"/>
      <c r="AD31" s="31"/>
      <c r="AE31" s="31"/>
      <c r="AF31" s="13"/>
      <c r="AG31" s="8">
        <f t="shared" si="1"/>
        <v>0</v>
      </c>
      <c r="AH31" s="8">
        <f t="shared" si="2"/>
        <v>0</v>
      </c>
      <c r="AI31" s="8">
        <f t="shared" si="3"/>
        <v>0</v>
      </c>
      <c r="AJ31" s="8">
        <f t="shared" si="4"/>
        <v>0</v>
      </c>
      <c r="AK31" s="8">
        <f t="shared" si="5"/>
        <v>0</v>
      </c>
    </row>
    <row r="32" spans="1:37" ht="23.5" customHeight="1" x14ac:dyDescent="0.55000000000000004">
      <c r="A32" s="10" t="s">
        <v>130</v>
      </c>
      <c r="B32" s="31"/>
      <c r="C32" s="31"/>
      <c r="D32" s="13"/>
      <c r="E32" s="13"/>
      <c r="F32" s="31"/>
      <c r="G32" s="31"/>
      <c r="H32" s="31"/>
      <c r="I32" s="31"/>
      <c r="J32" s="31"/>
      <c r="K32" s="13"/>
      <c r="L32" s="13"/>
      <c r="M32" s="31"/>
      <c r="N32" s="31"/>
      <c r="O32" s="31"/>
      <c r="P32" s="31"/>
      <c r="Q32" s="31"/>
      <c r="R32" s="13"/>
      <c r="S32" s="13"/>
      <c r="T32" s="31"/>
      <c r="U32" s="31"/>
      <c r="V32" s="31"/>
      <c r="W32" s="31"/>
      <c r="X32" s="31"/>
      <c r="Y32" s="13"/>
      <c r="Z32" s="13"/>
      <c r="AA32" s="31"/>
      <c r="AB32" s="31"/>
      <c r="AC32" s="31"/>
      <c r="AD32" s="31"/>
      <c r="AE32" s="31"/>
      <c r="AF32" s="13"/>
      <c r="AG32" s="8">
        <f t="shared" si="1"/>
        <v>0</v>
      </c>
      <c r="AH32" s="8">
        <f t="shared" si="2"/>
        <v>0</v>
      </c>
      <c r="AI32" s="8">
        <f t="shared" si="3"/>
        <v>0</v>
      </c>
      <c r="AJ32" s="8">
        <f t="shared" si="4"/>
        <v>0</v>
      </c>
      <c r="AK32" s="8">
        <f t="shared" si="5"/>
        <v>0</v>
      </c>
    </row>
    <row r="33" spans="1:37" ht="23.5" customHeight="1" x14ac:dyDescent="0.55000000000000004">
      <c r="A33" s="10" t="s">
        <v>53</v>
      </c>
      <c r="B33" s="31"/>
      <c r="C33" s="31"/>
      <c r="D33" s="13"/>
      <c r="E33" s="13"/>
      <c r="F33" s="31"/>
      <c r="G33" s="31"/>
      <c r="H33" s="31"/>
      <c r="I33" s="31"/>
      <c r="J33" s="31"/>
      <c r="K33" s="13"/>
      <c r="L33" s="13"/>
      <c r="M33" s="31"/>
      <c r="N33" s="31"/>
      <c r="O33" s="31"/>
      <c r="P33" s="31"/>
      <c r="Q33" s="31"/>
      <c r="R33" s="13"/>
      <c r="S33" s="13"/>
      <c r="T33" s="31"/>
      <c r="U33" s="31"/>
      <c r="V33" s="31"/>
      <c r="W33" s="31"/>
      <c r="X33" s="31"/>
      <c r="Y33" s="13"/>
      <c r="Z33" s="13"/>
      <c r="AA33" s="31"/>
      <c r="AB33" s="31"/>
      <c r="AC33" s="31"/>
      <c r="AD33" s="31"/>
      <c r="AE33" s="31"/>
      <c r="AF33" s="13"/>
      <c r="AG33" s="8">
        <f t="shared" si="1"/>
        <v>0</v>
      </c>
      <c r="AH33" s="8">
        <f t="shared" si="2"/>
        <v>0</v>
      </c>
      <c r="AI33" s="8">
        <f t="shared" si="3"/>
        <v>0</v>
      </c>
      <c r="AJ33" s="8">
        <f t="shared" si="4"/>
        <v>0</v>
      </c>
      <c r="AK33" s="8">
        <f t="shared" si="5"/>
        <v>0</v>
      </c>
    </row>
    <row r="34" spans="1:37" ht="23.5" customHeight="1" x14ac:dyDescent="0.55000000000000004">
      <c r="A34" s="10" t="s">
        <v>70</v>
      </c>
      <c r="B34" s="31"/>
      <c r="C34" s="31"/>
      <c r="D34" s="13"/>
      <c r="E34" s="13"/>
      <c r="F34" s="31"/>
      <c r="G34" s="31"/>
      <c r="H34" s="31"/>
      <c r="I34" s="31"/>
      <c r="J34" s="31"/>
      <c r="K34" s="13"/>
      <c r="L34" s="13"/>
      <c r="M34" s="31"/>
      <c r="N34" s="31"/>
      <c r="O34" s="31"/>
      <c r="P34" s="31"/>
      <c r="Q34" s="31"/>
      <c r="R34" s="13"/>
      <c r="S34" s="13"/>
      <c r="T34" s="31"/>
      <c r="U34" s="31"/>
      <c r="V34" s="31"/>
      <c r="W34" s="31"/>
      <c r="X34" s="31"/>
      <c r="Y34" s="13"/>
      <c r="Z34" s="13"/>
      <c r="AA34" s="31"/>
      <c r="AB34" s="31"/>
      <c r="AC34" s="31"/>
      <c r="AD34" s="31"/>
      <c r="AE34" s="31"/>
      <c r="AF34" s="13"/>
      <c r="AG34" s="8">
        <f t="shared" si="1"/>
        <v>0</v>
      </c>
      <c r="AH34" s="8">
        <f t="shared" si="2"/>
        <v>0</v>
      </c>
      <c r="AI34" s="8">
        <f t="shared" si="3"/>
        <v>0</v>
      </c>
      <c r="AJ34" s="8">
        <f t="shared" si="4"/>
        <v>0</v>
      </c>
      <c r="AK34" s="8">
        <f t="shared" si="5"/>
        <v>0</v>
      </c>
    </row>
    <row r="35" spans="1:37" ht="23.5" customHeight="1" x14ac:dyDescent="0.55000000000000004">
      <c r="A35" s="10" t="s">
        <v>131</v>
      </c>
      <c r="B35" s="31"/>
      <c r="C35" s="31"/>
      <c r="D35" s="13"/>
      <c r="E35" s="13"/>
      <c r="F35" s="31"/>
      <c r="G35" s="31"/>
      <c r="H35" s="31"/>
      <c r="I35" s="31"/>
      <c r="J35" s="31"/>
      <c r="K35" s="13"/>
      <c r="L35" s="13"/>
      <c r="M35" s="31"/>
      <c r="N35" s="31"/>
      <c r="O35" s="31"/>
      <c r="P35" s="31"/>
      <c r="Q35" s="31"/>
      <c r="R35" s="13"/>
      <c r="S35" s="13"/>
      <c r="T35" s="31"/>
      <c r="U35" s="31"/>
      <c r="V35" s="31"/>
      <c r="W35" s="31"/>
      <c r="X35" s="31"/>
      <c r="Y35" s="13"/>
      <c r="Z35" s="13"/>
      <c r="AA35" s="31"/>
      <c r="AB35" s="31"/>
      <c r="AC35" s="31"/>
      <c r="AD35" s="31"/>
      <c r="AE35" s="31"/>
      <c r="AF35" s="13"/>
      <c r="AG35" s="8">
        <f t="shared" si="1"/>
        <v>0</v>
      </c>
      <c r="AH35" s="8">
        <f t="shared" si="2"/>
        <v>0</v>
      </c>
      <c r="AI35" s="8">
        <f t="shared" si="3"/>
        <v>0</v>
      </c>
      <c r="AJ35" s="8">
        <f t="shared" si="4"/>
        <v>0</v>
      </c>
      <c r="AK35" s="8">
        <f t="shared" si="5"/>
        <v>0</v>
      </c>
    </row>
  </sheetData>
  <mergeCells count="9">
    <mergeCell ref="AM3:AM4"/>
    <mergeCell ref="AN3:AN4"/>
    <mergeCell ref="A1:AK2"/>
    <mergeCell ref="A3:A4"/>
    <mergeCell ref="AG3:AG4"/>
    <mergeCell ref="AH3:AH4"/>
    <mergeCell ref="AI3:AI4"/>
    <mergeCell ref="AJ3:AJ4"/>
    <mergeCell ref="AK3:AK4"/>
  </mergeCells>
  <conditionalFormatting sqref="B5:AF35">
    <cfRule type="cellIs" dxfId="15" priority="2" operator="equal">
      <formula>"U"</formula>
    </cfRule>
    <cfRule type="cellIs" dxfId="14" priority="3" operator="equal">
      <formula>"M"</formula>
    </cfRule>
    <cfRule type="beginsWith" dxfId="13" priority="4" operator="beginsWith" text="S">
      <formula>LEFT(B5,1)="S"</formula>
    </cfRule>
    <cfRule type="beginsWith" dxfId="12" priority="5" operator="beginsWith" text="V">
      <formula>LEFT(B5,1)="V"</formula>
    </cfRule>
  </conditionalFormatting>
  <conditionalFormatting sqref="AG5:AK35">
    <cfRule type="cellIs" dxfId="11" priority="1" operator="equal">
      <formula>0</formula>
    </cfRule>
  </conditionalFormatting>
  <dataValidations count="1">
    <dataValidation type="list" allowBlank="1" showInputMessage="1" showErrorMessage="1" sqref="B5:AF35" xr:uid="{00000000-0002-0000-0C00-000000000000}">
      <formula1>$AN$5:$AN$12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2351-E84F-4FA9-92D8-0266658EE29F}">
  <sheetPr codeName="Sheet13"/>
  <dimension ref="A1:AO37"/>
  <sheetViews>
    <sheetView topLeftCell="A23" zoomScale="80" zoomScaleNormal="80" workbookViewId="0">
      <selection activeCell="T14" sqref="T14"/>
    </sheetView>
  </sheetViews>
  <sheetFormatPr defaultRowHeight="14.5" x14ac:dyDescent="0.35"/>
  <cols>
    <col min="1" max="1" width="35.26953125" customWidth="1"/>
    <col min="2" max="2" width="5.26953125" bestFit="1" customWidth="1"/>
    <col min="3" max="31" width="5.7265625" customWidth="1"/>
    <col min="32" max="32" width="9.1796875" customWidth="1"/>
    <col min="33" max="36" width="11.26953125" customWidth="1"/>
    <col min="37" max="37" width="9.1796875" customWidth="1"/>
    <col min="38" max="38" width="29.26953125" bestFit="1" customWidth="1"/>
  </cols>
  <sheetData>
    <row r="1" spans="1:41" s="3" customFormat="1" ht="25.15" customHeight="1" x14ac:dyDescent="0.35">
      <c r="A1" s="62" t="s">
        <v>144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2"/>
      <c r="AL1" s="2"/>
      <c r="AM1" s="2"/>
      <c r="AN1" s="2"/>
      <c r="AO1" s="2"/>
    </row>
    <row r="2" spans="1:41" s="3" customFormat="1" ht="25.15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2"/>
      <c r="AL2" s="2"/>
      <c r="AM2" s="2"/>
      <c r="AN2" s="2"/>
      <c r="AO2" s="2"/>
    </row>
    <row r="3" spans="1:41" s="3" customFormat="1" ht="25.15" customHeight="1" x14ac:dyDescent="0.35">
      <c r="A3" s="72" t="s">
        <v>136</v>
      </c>
      <c r="B3" s="47" t="str">
        <f>IF(B4="","",INDEX({"Sun";"Mon";"Tue";"Wen";"Thu";"Fri";"Sat"},WEEKDAY(B4,1)))</f>
        <v>Sun</v>
      </c>
      <c r="C3" s="47" t="str">
        <f>IF(C4="","",INDEX({"Sun";"Mon";"Tue";"Wen";"Thu";"Fri";"Sat"},WEEKDAY(C4,1)))</f>
        <v>Mon</v>
      </c>
      <c r="D3" s="47" t="str">
        <f>IF(D4="","",INDEX({"Sun";"Mon";"Tue";"Wen";"Thu";"Fri";"Sat"},WEEKDAY(D4,1)))</f>
        <v>Tue</v>
      </c>
      <c r="E3" s="47" t="str">
        <f>IF(E4="","",INDEX({"Sun";"Mon";"Tue";"Wen";"Thu";"Fri";"Sat"},WEEKDAY(E4,1)))</f>
        <v>Wen</v>
      </c>
      <c r="F3" s="47" t="str">
        <f>IF(F4="","",INDEX({"Sun";"Mon";"Tue";"Wen";"Thu";"Fri";"Sat"},WEEKDAY(F4,1)))</f>
        <v>Thu</v>
      </c>
      <c r="G3" s="47" t="str">
        <f>IF(G4="","",INDEX({"Sun";"Mon";"Tue";"Wen";"Thu";"Fri";"Sat"},WEEKDAY(G4,1)))</f>
        <v>Fri</v>
      </c>
      <c r="H3" s="47" t="str">
        <f>IF(H4="","",INDEX({"Sun";"Mon";"Tue";"Wen";"Thu";"Fri";"Sat"},WEEKDAY(H4,1)))</f>
        <v>Sat</v>
      </c>
      <c r="I3" s="47" t="str">
        <f>IF(I4="","",INDEX({"Sun";"Mon";"Tue";"Wen";"Thu";"Fri";"Sat"},WEEKDAY(I4,1)))</f>
        <v>Sun</v>
      </c>
      <c r="J3" s="47" t="str">
        <f>IF(J4="","",INDEX({"Sun";"Mon";"Tue";"Wen";"Thu";"Fri";"Sat"},WEEKDAY(J4,1)))</f>
        <v>Mon</v>
      </c>
      <c r="K3" s="47" t="str">
        <f>IF(K4="","",INDEX({"Sun";"Mon";"Tue";"Wen";"Thu";"Fri";"Sat"},WEEKDAY(K4,1)))</f>
        <v>Tue</v>
      </c>
      <c r="L3" s="47" t="str">
        <f>IF(L4="","",INDEX({"Sun";"Mon";"Tue";"Wen";"Thu";"Fri";"Sat"},WEEKDAY(L4,1)))</f>
        <v>Wen</v>
      </c>
      <c r="M3" s="47" t="str">
        <f>IF(M4="","",INDEX({"Sun";"Mon";"Tue";"Wen";"Thu";"Fri";"Sat"},WEEKDAY(M4,1)))</f>
        <v>Thu</v>
      </c>
      <c r="N3" s="47" t="str">
        <f>IF(N4="","",INDEX({"Sun";"Mon";"Tue";"Wen";"Thu";"Fri";"Sat"},WEEKDAY(N4,1)))</f>
        <v>Fri</v>
      </c>
      <c r="O3" s="47" t="str">
        <f>IF(O4="","",INDEX({"Sun";"Mon";"Tue";"Wen";"Thu";"Fri";"Sat"},WEEKDAY(O4,1)))</f>
        <v>Sat</v>
      </c>
      <c r="P3" s="47" t="str">
        <f>IF(P4="","",INDEX({"Sun";"Mon";"Tue";"Wen";"Thu";"Fri";"Sat"},WEEKDAY(P4,1)))</f>
        <v>Sun</v>
      </c>
      <c r="Q3" s="47" t="str">
        <f>IF(Q4="","",INDEX({"Sun";"Mon";"Tue";"Wen";"Thu";"Fri";"Sat"},WEEKDAY(Q4,1)))</f>
        <v>Mon</v>
      </c>
      <c r="R3" s="47" t="str">
        <f>IF(R4="","",INDEX({"Sun";"Mon";"Tue";"Wen";"Thu";"Fri";"Sat"},WEEKDAY(R4,1)))</f>
        <v>Tue</v>
      </c>
      <c r="S3" s="47" t="str">
        <f>IF(S4="","",INDEX({"Sun";"Mon";"Tue";"Wen";"Thu";"Fri";"Sat"},WEEKDAY(S4,1)))</f>
        <v>Wen</v>
      </c>
      <c r="T3" s="47" t="str">
        <f>IF(T4="","",INDEX({"Sun";"Mon";"Tue";"Wen";"Thu";"Fri";"Sat"},WEEKDAY(T4,1)))</f>
        <v>Thu</v>
      </c>
      <c r="U3" s="47" t="str">
        <f>IF(U4="","",INDEX({"Sun";"Mon";"Tue";"Wen";"Thu";"Fri";"Sat"},WEEKDAY(U4,1)))</f>
        <v>Fri</v>
      </c>
      <c r="V3" s="47" t="str">
        <f>IF(V4="","",INDEX({"Sun";"Mon";"Tue";"Wen";"Thu";"Fri";"Sat"},WEEKDAY(V4,1)))</f>
        <v>Sat</v>
      </c>
      <c r="W3" s="47" t="str">
        <f>IF(W4="","",INDEX({"Sun";"Mon";"Tue";"Wen";"Thu";"Fri";"Sat"},WEEKDAY(W4,1)))</f>
        <v>Sun</v>
      </c>
      <c r="X3" s="47" t="str">
        <f>IF(X4="","",INDEX({"Sun";"Mon";"Tue";"Wen";"Thu";"Fri";"Sat"},WEEKDAY(X4,1)))</f>
        <v>Mon</v>
      </c>
      <c r="Y3" s="47" t="str">
        <f>IF(Y4="","",INDEX({"Sun";"Mon";"Tue";"Wen";"Thu";"Fri";"Sat"},WEEKDAY(Y4,1)))</f>
        <v>Tue</v>
      </c>
      <c r="Z3" s="47" t="str">
        <f>IF(Z4="","",INDEX({"Sun";"Mon";"Tue";"Wen";"Thu";"Fri";"Sat"},WEEKDAY(Z4,1)))</f>
        <v>Wen</v>
      </c>
      <c r="AA3" s="47" t="str">
        <f>IF(AA4="","",INDEX({"Sun";"Mon";"Tue";"Wen";"Thu";"Fri";"Sat"},WEEKDAY(AA4,1)))</f>
        <v>Thu</v>
      </c>
      <c r="AB3" s="47" t="str">
        <f>IF(AB4="","",INDEX({"Sun";"Mon";"Tue";"Wen";"Thu";"Fri";"Sat"},WEEKDAY(AB4,1)))</f>
        <v>Fri</v>
      </c>
      <c r="AC3" s="47" t="str">
        <f>IF(AC4="","",INDEX({"Sun";"Mon";"Tue";"Wen";"Thu";"Fri";"Sat"},WEEKDAY(AC4,1)))</f>
        <v>Sat</v>
      </c>
      <c r="AD3" s="47" t="str">
        <f>IF(AD4="","",INDEX({"Sun";"Mon";"Tue";"Wen";"Thu";"Fri";"Sat"},WEEKDAY(AD4,1)))</f>
        <v>Sun</v>
      </c>
      <c r="AE3" s="47" t="str">
        <f>IF(AE4="","",INDEX({"Sun";"Mon";"Tue";"Wen";"Thu";"Fri";"Sat"},WEEKDAY(AE4,1)))</f>
        <v>Mon</v>
      </c>
      <c r="AF3" s="77" t="s">
        <v>112</v>
      </c>
      <c r="AG3" s="66" t="s">
        <v>113</v>
      </c>
      <c r="AH3" s="78" t="s">
        <v>133</v>
      </c>
      <c r="AI3" s="79" t="s">
        <v>115</v>
      </c>
      <c r="AJ3" s="73" t="s">
        <v>116</v>
      </c>
      <c r="AK3" s="28"/>
      <c r="AL3" s="70" t="s">
        <v>134</v>
      </c>
      <c r="AM3" s="70" t="s">
        <v>118</v>
      </c>
      <c r="AN3" s="2"/>
      <c r="AO3" s="2"/>
    </row>
    <row r="4" spans="1:41" s="3" customFormat="1" ht="25.15" customHeight="1" x14ac:dyDescent="0.35">
      <c r="A4" s="72"/>
      <c r="B4" s="48">
        <f>DATE(Year!$B$2,11,1)</f>
        <v>46327</v>
      </c>
      <c r="C4" s="48">
        <f t="shared" ref="C4:AE4" si="0">B4+1</f>
        <v>46328</v>
      </c>
      <c r="D4" s="48">
        <f t="shared" si="0"/>
        <v>46329</v>
      </c>
      <c r="E4" s="48">
        <f t="shared" si="0"/>
        <v>46330</v>
      </c>
      <c r="F4" s="48">
        <f t="shared" si="0"/>
        <v>46331</v>
      </c>
      <c r="G4" s="48">
        <f t="shared" si="0"/>
        <v>46332</v>
      </c>
      <c r="H4" s="48">
        <f t="shared" si="0"/>
        <v>46333</v>
      </c>
      <c r="I4" s="48">
        <f t="shared" si="0"/>
        <v>46334</v>
      </c>
      <c r="J4" s="48">
        <f t="shared" si="0"/>
        <v>46335</v>
      </c>
      <c r="K4" s="48">
        <f t="shared" si="0"/>
        <v>46336</v>
      </c>
      <c r="L4" s="48">
        <f t="shared" si="0"/>
        <v>46337</v>
      </c>
      <c r="M4" s="48">
        <f t="shared" si="0"/>
        <v>46338</v>
      </c>
      <c r="N4" s="48">
        <f t="shared" si="0"/>
        <v>46339</v>
      </c>
      <c r="O4" s="48">
        <f t="shared" si="0"/>
        <v>46340</v>
      </c>
      <c r="P4" s="48">
        <f t="shared" si="0"/>
        <v>46341</v>
      </c>
      <c r="Q4" s="48">
        <f t="shared" si="0"/>
        <v>46342</v>
      </c>
      <c r="R4" s="48">
        <f t="shared" si="0"/>
        <v>46343</v>
      </c>
      <c r="S4" s="48">
        <f t="shared" si="0"/>
        <v>46344</v>
      </c>
      <c r="T4" s="48">
        <f t="shared" si="0"/>
        <v>46345</v>
      </c>
      <c r="U4" s="48">
        <f t="shared" si="0"/>
        <v>46346</v>
      </c>
      <c r="V4" s="48">
        <f t="shared" si="0"/>
        <v>46347</v>
      </c>
      <c r="W4" s="48">
        <f t="shared" si="0"/>
        <v>46348</v>
      </c>
      <c r="X4" s="48">
        <f t="shared" si="0"/>
        <v>46349</v>
      </c>
      <c r="Y4" s="48">
        <f t="shared" si="0"/>
        <v>46350</v>
      </c>
      <c r="Z4" s="48">
        <f t="shared" si="0"/>
        <v>46351</v>
      </c>
      <c r="AA4" s="48">
        <f t="shared" si="0"/>
        <v>46352</v>
      </c>
      <c r="AB4" s="48">
        <f t="shared" si="0"/>
        <v>46353</v>
      </c>
      <c r="AC4" s="48">
        <f t="shared" si="0"/>
        <v>46354</v>
      </c>
      <c r="AD4" s="48">
        <f t="shared" si="0"/>
        <v>46355</v>
      </c>
      <c r="AE4" s="48">
        <f t="shared" si="0"/>
        <v>46356</v>
      </c>
      <c r="AF4" s="77"/>
      <c r="AG4" s="66"/>
      <c r="AH4" s="78"/>
      <c r="AI4" s="79"/>
      <c r="AJ4" s="73"/>
      <c r="AK4" s="28"/>
      <c r="AL4" s="71"/>
      <c r="AM4" s="71"/>
      <c r="AN4" s="2"/>
      <c r="AO4" s="2"/>
    </row>
    <row r="5" spans="1:41" s="3" customFormat="1" ht="24.75" customHeight="1" x14ac:dyDescent="0.55000000000000004">
      <c r="A5" s="9" t="s">
        <v>14</v>
      </c>
      <c r="B5" s="13"/>
      <c r="C5" s="31"/>
      <c r="D5" s="31"/>
      <c r="E5" s="31"/>
      <c r="F5" s="31"/>
      <c r="G5" s="31"/>
      <c r="H5" s="13"/>
      <c r="I5" s="13"/>
      <c r="J5" s="31"/>
      <c r="K5" s="31"/>
      <c r="L5" s="31"/>
      <c r="M5" s="31"/>
      <c r="N5" s="31"/>
      <c r="O5" s="13"/>
      <c r="P5" s="13"/>
      <c r="Q5" s="31"/>
      <c r="R5" s="31"/>
      <c r="S5" s="31"/>
      <c r="T5" s="31"/>
      <c r="U5" s="31"/>
      <c r="V5" s="13"/>
      <c r="W5" s="13"/>
      <c r="X5" s="31"/>
      <c r="Y5" s="31"/>
      <c r="Z5" s="31"/>
      <c r="AA5" s="31"/>
      <c r="AB5" s="31"/>
      <c r="AC5" s="13"/>
      <c r="AD5" s="13"/>
      <c r="AE5" s="31"/>
      <c r="AF5" s="8">
        <f t="shared" ref="AF5:AF37" si="1">SUM(AG5:AJ5)</f>
        <v>0</v>
      </c>
      <c r="AG5" s="8">
        <f t="shared" ref="AG5:AG37" si="2">COUNTIF(B5:AE5,"V")+COUNTIF(B5:AE5,"V1")/2+COUNTIF(B5:AE5,"V2")/2</f>
        <v>0</v>
      </c>
      <c r="AH5" s="8">
        <f t="shared" ref="AH5:AH37" si="3">COUNTIF(B5:AE5,"S")+COUNTIF(B5:AE5,"S1")/2+COUNTIF(B5:AE5,"S2")/2</f>
        <v>0</v>
      </c>
      <c r="AI5" s="8">
        <f t="shared" ref="AI5:AI37" si="4">COUNTIF(B5:AE5,"M")</f>
        <v>0</v>
      </c>
      <c r="AJ5" s="8">
        <f t="shared" ref="AJ5:AJ37" si="5">COUNTIF(B5:AE5,"U")</f>
        <v>0</v>
      </c>
      <c r="AK5" s="32"/>
      <c r="AL5" s="41" t="s">
        <v>15</v>
      </c>
      <c r="AM5" s="34" t="s">
        <v>119</v>
      </c>
      <c r="AN5" s="2"/>
      <c r="AO5" s="2"/>
    </row>
    <row r="6" spans="1:41" s="3" customFormat="1" ht="25.15" customHeight="1" x14ac:dyDescent="0.55000000000000004">
      <c r="A6" s="10" t="s">
        <v>37</v>
      </c>
      <c r="B6" s="13"/>
      <c r="C6" s="31"/>
      <c r="D6" s="31"/>
      <c r="E6" s="31"/>
      <c r="F6" s="31"/>
      <c r="G6" s="31"/>
      <c r="H6" s="13"/>
      <c r="I6" s="13"/>
      <c r="J6" s="31"/>
      <c r="K6" s="31"/>
      <c r="L6" s="31"/>
      <c r="M6" s="31"/>
      <c r="N6" s="31"/>
      <c r="O6" s="13"/>
      <c r="P6" s="13"/>
      <c r="Q6" s="31"/>
      <c r="R6" s="31"/>
      <c r="S6" s="31"/>
      <c r="T6" s="31"/>
      <c r="U6" s="31"/>
      <c r="V6" s="13"/>
      <c r="W6" s="13"/>
      <c r="X6" s="31"/>
      <c r="Y6" s="31"/>
      <c r="Z6" s="31"/>
      <c r="AA6" s="31"/>
      <c r="AB6" s="31"/>
      <c r="AC6" s="13"/>
      <c r="AD6" s="13"/>
      <c r="AE6" s="31"/>
      <c r="AF6" s="8">
        <f t="shared" si="1"/>
        <v>0</v>
      </c>
      <c r="AG6" s="8">
        <f t="shared" si="2"/>
        <v>0</v>
      </c>
      <c r="AH6" s="8">
        <f t="shared" si="3"/>
        <v>0</v>
      </c>
      <c r="AI6" s="8">
        <f t="shared" si="4"/>
        <v>0</v>
      </c>
      <c r="AJ6" s="8">
        <f t="shared" si="5"/>
        <v>0</v>
      </c>
      <c r="AK6" s="32"/>
      <c r="AL6" s="42" t="s">
        <v>120</v>
      </c>
      <c r="AM6" s="34" t="s">
        <v>121</v>
      </c>
      <c r="AN6" s="2"/>
      <c r="AO6" s="2"/>
    </row>
    <row r="7" spans="1:41" s="3" customFormat="1" ht="25.15" customHeight="1" x14ac:dyDescent="0.55000000000000004">
      <c r="A7" s="10" t="s">
        <v>17</v>
      </c>
      <c r="B7" s="13"/>
      <c r="C7" s="31"/>
      <c r="D7" s="31"/>
      <c r="E7" s="31"/>
      <c r="F7" s="31"/>
      <c r="G7" s="31"/>
      <c r="H7" s="13"/>
      <c r="I7" s="13"/>
      <c r="J7" s="31"/>
      <c r="K7" s="31"/>
      <c r="L7" s="31"/>
      <c r="M7" s="31"/>
      <c r="N7" s="31"/>
      <c r="O7" s="13"/>
      <c r="P7" s="13"/>
      <c r="Q7" s="31"/>
      <c r="R7" s="31"/>
      <c r="S7" s="31"/>
      <c r="T7" s="31"/>
      <c r="U7" s="31"/>
      <c r="V7" s="13"/>
      <c r="W7" s="13"/>
      <c r="X7" s="31"/>
      <c r="Y7" s="31"/>
      <c r="Z7" s="31"/>
      <c r="AA7" s="31"/>
      <c r="AB7" s="31"/>
      <c r="AC7" s="13"/>
      <c r="AD7" s="13"/>
      <c r="AE7" s="31"/>
      <c r="AF7" s="8">
        <f t="shared" si="1"/>
        <v>0</v>
      </c>
      <c r="AG7" s="8">
        <f t="shared" si="2"/>
        <v>0</v>
      </c>
      <c r="AH7" s="8">
        <f t="shared" si="3"/>
        <v>0</v>
      </c>
      <c r="AI7" s="8">
        <f t="shared" si="4"/>
        <v>0</v>
      </c>
      <c r="AJ7" s="8">
        <f t="shared" si="5"/>
        <v>0</v>
      </c>
      <c r="AK7" s="32"/>
      <c r="AL7" s="43" t="s">
        <v>23</v>
      </c>
      <c r="AM7" s="34" t="s">
        <v>122</v>
      </c>
      <c r="AN7" s="2"/>
      <c r="AO7" s="2"/>
    </row>
    <row r="8" spans="1:41" s="3" customFormat="1" ht="25.15" customHeight="1" x14ac:dyDescent="0.55000000000000004">
      <c r="A8" s="10" t="s">
        <v>41</v>
      </c>
      <c r="B8" s="13"/>
      <c r="C8" s="31"/>
      <c r="D8" s="31"/>
      <c r="E8" s="31"/>
      <c r="F8" s="31"/>
      <c r="G8" s="31"/>
      <c r="H8" s="13"/>
      <c r="I8" s="13"/>
      <c r="J8" s="31"/>
      <c r="K8" s="31"/>
      <c r="L8" s="31"/>
      <c r="M8" s="31"/>
      <c r="N8" s="31"/>
      <c r="O8" s="13"/>
      <c r="P8" s="13"/>
      <c r="Q8" s="31"/>
      <c r="R8" s="31"/>
      <c r="S8" s="31"/>
      <c r="T8" s="31"/>
      <c r="U8" s="31"/>
      <c r="V8" s="13"/>
      <c r="W8" s="13"/>
      <c r="X8" s="31"/>
      <c r="Y8" s="31"/>
      <c r="Z8" s="31"/>
      <c r="AA8" s="31"/>
      <c r="AB8" s="31"/>
      <c r="AC8" s="13"/>
      <c r="AD8" s="13"/>
      <c r="AE8" s="31"/>
      <c r="AF8" s="8">
        <f t="shared" si="1"/>
        <v>0</v>
      </c>
      <c r="AG8" s="8">
        <f t="shared" si="2"/>
        <v>0</v>
      </c>
      <c r="AH8" s="8">
        <f t="shared" si="3"/>
        <v>0</v>
      </c>
      <c r="AI8" s="8">
        <f t="shared" si="4"/>
        <v>0</v>
      </c>
      <c r="AJ8" s="8">
        <f t="shared" si="5"/>
        <v>0</v>
      </c>
      <c r="AK8" s="32"/>
      <c r="AL8" s="44" t="s">
        <v>123</v>
      </c>
      <c r="AM8" s="34" t="s">
        <v>124</v>
      </c>
      <c r="AN8" s="2"/>
      <c r="AO8" s="2"/>
    </row>
    <row r="9" spans="1:41" s="3" customFormat="1" ht="25.15" customHeight="1" x14ac:dyDescent="0.55000000000000004">
      <c r="A9" s="10" t="s">
        <v>36</v>
      </c>
      <c r="B9" s="13"/>
      <c r="C9" s="31"/>
      <c r="D9" s="31"/>
      <c r="E9" s="31"/>
      <c r="F9" s="31"/>
      <c r="G9" s="31"/>
      <c r="H9" s="13"/>
      <c r="I9" s="13"/>
      <c r="J9" s="31"/>
      <c r="K9" s="31"/>
      <c r="L9" s="31"/>
      <c r="M9" s="31"/>
      <c r="N9" s="31"/>
      <c r="O9" s="13"/>
      <c r="P9" s="13"/>
      <c r="Q9" s="31"/>
      <c r="R9" s="31"/>
      <c r="S9" s="31"/>
      <c r="T9" s="31"/>
      <c r="U9" s="31"/>
      <c r="V9" s="13"/>
      <c r="W9" s="13"/>
      <c r="X9" s="31"/>
      <c r="Y9" s="31"/>
      <c r="Z9" s="31"/>
      <c r="AA9" s="31"/>
      <c r="AB9" s="31"/>
      <c r="AC9" s="13"/>
      <c r="AD9" s="13"/>
      <c r="AE9" s="31"/>
      <c r="AF9" s="8">
        <f t="shared" si="1"/>
        <v>0</v>
      </c>
      <c r="AG9" s="8">
        <f t="shared" si="2"/>
        <v>0</v>
      </c>
      <c r="AH9" s="8">
        <f t="shared" si="3"/>
        <v>0</v>
      </c>
      <c r="AI9" s="8">
        <f t="shared" si="4"/>
        <v>0</v>
      </c>
      <c r="AJ9" s="8">
        <f t="shared" si="5"/>
        <v>0</v>
      </c>
      <c r="AK9" s="32"/>
      <c r="AL9" s="38" t="s">
        <v>125</v>
      </c>
      <c r="AM9" s="34" t="s">
        <v>126</v>
      </c>
      <c r="AN9" s="2"/>
      <c r="AO9" s="2"/>
    </row>
    <row r="10" spans="1:41" s="3" customFormat="1" ht="25.15" customHeight="1" x14ac:dyDescent="0.55000000000000004">
      <c r="A10" s="10" t="s">
        <v>46</v>
      </c>
      <c r="B10" s="13"/>
      <c r="C10" s="31"/>
      <c r="D10" s="31"/>
      <c r="E10" s="31"/>
      <c r="F10" s="31"/>
      <c r="G10" s="31"/>
      <c r="H10" s="13"/>
      <c r="I10" s="13"/>
      <c r="J10" s="31"/>
      <c r="K10" s="31"/>
      <c r="L10" s="31"/>
      <c r="M10" s="31"/>
      <c r="N10" s="31"/>
      <c r="O10" s="13"/>
      <c r="P10" s="13"/>
      <c r="Q10" s="31"/>
      <c r="R10" s="31"/>
      <c r="S10" s="31"/>
      <c r="T10" s="31"/>
      <c r="U10" s="31"/>
      <c r="V10" s="13"/>
      <c r="W10" s="13"/>
      <c r="X10" s="31"/>
      <c r="Y10" s="31"/>
      <c r="Z10" s="31"/>
      <c r="AA10" s="31"/>
      <c r="AB10" s="31"/>
      <c r="AC10" s="13"/>
      <c r="AD10" s="13"/>
      <c r="AE10" s="31"/>
      <c r="AF10" s="8">
        <f t="shared" si="1"/>
        <v>0</v>
      </c>
      <c r="AG10" s="8">
        <f t="shared" si="2"/>
        <v>0</v>
      </c>
      <c r="AH10" s="8">
        <f t="shared" si="3"/>
        <v>0</v>
      </c>
      <c r="AI10" s="8">
        <f t="shared" si="4"/>
        <v>0</v>
      </c>
      <c r="AJ10" s="8">
        <f t="shared" si="5"/>
        <v>0</v>
      </c>
      <c r="AK10" s="32"/>
      <c r="AL10" s="39" t="s">
        <v>116</v>
      </c>
      <c r="AM10" s="34" t="s">
        <v>127</v>
      </c>
      <c r="AN10" s="2"/>
      <c r="AO10" s="2"/>
    </row>
    <row r="11" spans="1:41" s="3" customFormat="1" ht="25.15" customHeight="1" x14ac:dyDescent="0.55000000000000004">
      <c r="A11" s="10" t="s">
        <v>43</v>
      </c>
      <c r="B11" s="13"/>
      <c r="C11" s="31"/>
      <c r="D11" s="31"/>
      <c r="E11" s="31"/>
      <c r="F11" s="31"/>
      <c r="G11" s="31"/>
      <c r="H11" s="13"/>
      <c r="I11" s="13"/>
      <c r="J11" s="31"/>
      <c r="K11" s="31"/>
      <c r="L11" s="31"/>
      <c r="M11" s="31"/>
      <c r="N11" s="31"/>
      <c r="O11" s="13"/>
      <c r="P11" s="13"/>
      <c r="Q11" s="31"/>
      <c r="R11" s="31"/>
      <c r="S11" s="31"/>
      <c r="T11" s="31"/>
      <c r="U11" s="31"/>
      <c r="V11" s="13"/>
      <c r="W11" s="13"/>
      <c r="X11" s="31"/>
      <c r="Y11" s="31"/>
      <c r="Z11" s="31"/>
      <c r="AA11" s="31"/>
      <c r="AB11" s="31"/>
      <c r="AC11" s="13"/>
      <c r="AD11" s="13"/>
      <c r="AE11" s="31"/>
      <c r="AF11" s="8">
        <f t="shared" si="1"/>
        <v>0</v>
      </c>
      <c r="AG11" s="8">
        <f t="shared" si="2"/>
        <v>0</v>
      </c>
      <c r="AH11" s="8">
        <f t="shared" si="3"/>
        <v>0</v>
      </c>
      <c r="AI11" s="8">
        <f t="shared" si="4"/>
        <v>0</v>
      </c>
      <c r="AJ11" s="8">
        <f t="shared" si="5"/>
        <v>0</v>
      </c>
      <c r="AK11" s="32"/>
      <c r="AL11" s="11"/>
      <c r="AM11" s="49"/>
      <c r="AN11" s="2"/>
      <c r="AO11" s="2"/>
    </row>
    <row r="12" spans="1:41" s="3" customFormat="1" ht="25.15" customHeight="1" x14ac:dyDescent="0.55000000000000004">
      <c r="A12" s="10" t="s">
        <v>47</v>
      </c>
      <c r="B12" s="13"/>
      <c r="C12" s="31"/>
      <c r="D12" s="31"/>
      <c r="E12" s="31"/>
      <c r="F12" s="31"/>
      <c r="G12" s="31"/>
      <c r="H12" s="13"/>
      <c r="I12" s="13"/>
      <c r="J12" s="31"/>
      <c r="K12" s="31"/>
      <c r="L12" s="31"/>
      <c r="M12" s="31"/>
      <c r="N12" s="31"/>
      <c r="O12" s="13"/>
      <c r="P12" s="13"/>
      <c r="Q12" s="31"/>
      <c r="R12" s="31"/>
      <c r="S12" s="31"/>
      <c r="T12" s="31"/>
      <c r="U12" s="31"/>
      <c r="V12" s="13"/>
      <c r="W12" s="13"/>
      <c r="X12" s="31"/>
      <c r="Y12" s="31"/>
      <c r="Z12" s="31"/>
      <c r="AA12" s="31"/>
      <c r="AB12" s="31"/>
      <c r="AC12" s="13"/>
      <c r="AD12" s="13"/>
      <c r="AE12" s="31"/>
      <c r="AF12" s="8">
        <f t="shared" si="1"/>
        <v>0</v>
      </c>
      <c r="AG12" s="8">
        <f t="shared" si="2"/>
        <v>0</v>
      </c>
      <c r="AH12" s="8">
        <f t="shared" si="3"/>
        <v>0</v>
      </c>
      <c r="AI12" s="8">
        <f t="shared" si="4"/>
        <v>0</v>
      </c>
      <c r="AJ12" s="8">
        <f t="shared" si="5"/>
        <v>0</v>
      </c>
      <c r="AK12" s="32"/>
      <c r="AL12" s="11"/>
      <c r="AM12" s="49"/>
      <c r="AN12" s="2"/>
      <c r="AO12" s="2"/>
    </row>
    <row r="13" spans="1:41" s="3" customFormat="1" ht="25.15" customHeight="1" x14ac:dyDescent="0.55000000000000004">
      <c r="A13" s="10" t="s">
        <v>32</v>
      </c>
      <c r="B13" s="13"/>
      <c r="C13" s="31"/>
      <c r="D13" s="31"/>
      <c r="E13" s="31"/>
      <c r="F13" s="31"/>
      <c r="G13" s="31"/>
      <c r="H13" s="13"/>
      <c r="I13" s="13"/>
      <c r="J13" s="31"/>
      <c r="K13" s="31"/>
      <c r="L13" s="31"/>
      <c r="M13" s="31"/>
      <c r="N13" s="31"/>
      <c r="O13" s="13"/>
      <c r="P13" s="13"/>
      <c r="Q13" s="31"/>
      <c r="R13" s="31"/>
      <c r="S13" s="31"/>
      <c r="T13" s="31"/>
      <c r="U13" s="31"/>
      <c r="V13" s="13"/>
      <c r="W13" s="13"/>
      <c r="X13" s="31"/>
      <c r="Y13" s="31"/>
      <c r="Z13" s="31"/>
      <c r="AA13" s="31"/>
      <c r="AB13" s="31"/>
      <c r="AC13" s="13"/>
      <c r="AD13" s="13"/>
      <c r="AE13" s="31"/>
      <c r="AF13" s="8">
        <f t="shared" si="1"/>
        <v>0</v>
      </c>
      <c r="AG13" s="8">
        <f t="shared" si="2"/>
        <v>0</v>
      </c>
      <c r="AH13" s="8">
        <f t="shared" si="3"/>
        <v>0</v>
      </c>
      <c r="AI13" s="8">
        <f t="shared" si="4"/>
        <v>0</v>
      </c>
      <c r="AJ13" s="8">
        <f t="shared" si="5"/>
        <v>0</v>
      </c>
      <c r="AK13" s="32"/>
      <c r="AL13" s="2"/>
      <c r="AM13" s="2"/>
      <c r="AN13" s="2"/>
      <c r="AO13" s="2"/>
    </row>
    <row r="14" spans="1:41" s="3" customFormat="1" ht="25.15" customHeight="1" x14ac:dyDescent="0.55000000000000004">
      <c r="A14" s="10" t="s">
        <v>40</v>
      </c>
      <c r="B14" s="13"/>
      <c r="C14" s="31"/>
      <c r="D14" s="31"/>
      <c r="E14" s="31"/>
      <c r="F14" s="31"/>
      <c r="G14" s="31"/>
      <c r="H14" s="13"/>
      <c r="I14" s="13"/>
      <c r="J14" s="31"/>
      <c r="K14" s="31"/>
      <c r="L14" s="31"/>
      <c r="M14" s="31"/>
      <c r="N14" s="31"/>
      <c r="O14" s="13"/>
      <c r="P14" s="13"/>
      <c r="Q14" s="31"/>
      <c r="R14" s="31"/>
      <c r="S14" s="31"/>
      <c r="T14" s="31"/>
      <c r="U14" s="31"/>
      <c r="V14" s="13"/>
      <c r="W14" s="13"/>
      <c r="X14" s="31"/>
      <c r="Y14" s="31"/>
      <c r="Z14" s="31"/>
      <c r="AA14" s="31"/>
      <c r="AB14" s="31"/>
      <c r="AC14" s="13"/>
      <c r="AD14" s="13"/>
      <c r="AE14" s="31"/>
      <c r="AF14" s="8">
        <f t="shared" si="1"/>
        <v>0</v>
      </c>
      <c r="AG14" s="8">
        <f t="shared" si="2"/>
        <v>0</v>
      </c>
      <c r="AH14" s="8">
        <f t="shared" si="3"/>
        <v>0</v>
      </c>
      <c r="AI14" s="8">
        <f t="shared" si="4"/>
        <v>0</v>
      </c>
      <c r="AJ14" s="8">
        <f t="shared" si="5"/>
        <v>0</v>
      </c>
      <c r="AK14" s="32"/>
      <c r="AL14" s="2"/>
      <c r="AM14" s="2"/>
      <c r="AN14" s="2"/>
      <c r="AO14" s="2"/>
    </row>
    <row r="15" spans="1:41" s="3" customFormat="1" ht="25.15" customHeight="1" x14ac:dyDescent="0.55000000000000004">
      <c r="A15" s="10" t="s">
        <v>34</v>
      </c>
      <c r="B15" s="13"/>
      <c r="C15" s="31"/>
      <c r="D15" s="31"/>
      <c r="E15" s="31"/>
      <c r="F15" s="31"/>
      <c r="G15" s="31"/>
      <c r="H15" s="13"/>
      <c r="I15" s="13"/>
      <c r="J15" s="31"/>
      <c r="K15" s="31"/>
      <c r="L15" s="31"/>
      <c r="M15" s="31"/>
      <c r="N15" s="31"/>
      <c r="O15" s="13"/>
      <c r="P15" s="13"/>
      <c r="Q15" s="31"/>
      <c r="R15" s="31"/>
      <c r="S15" s="31"/>
      <c r="T15" s="31"/>
      <c r="U15" s="31"/>
      <c r="V15" s="13"/>
      <c r="W15" s="13"/>
      <c r="X15" s="31"/>
      <c r="Y15" s="31"/>
      <c r="Z15" s="31"/>
      <c r="AA15" s="31"/>
      <c r="AB15" s="31"/>
      <c r="AC15" s="13"/>
      <c r="AD15" s="13"/>
      <c r="AE15" s="31"/>
      <c r="AF15" s="8">
        <f t="shared" si="1"/>
        <v>0</v>
      </c>
      <c r="AG15" s="8">
        <f t="shared" si="2"/>
        <v>0</v>
      </c>
      <c r="AH15" s="8">
        <f t="shared" si="3"/>
        <v>0</v>
      </c>
      <c r="AI15" s="8">
        <f t="shared" si="4"/>
        <v>0</v>
      </c>
      <c r="AJ15" s="8">
        <f t="shared" si="5"/>
        <v>0</v>
      </c>
      <c r="AK15" s="2"/>
      <c r="AL15" s="2"/>
      <c r="AM15" s="2"/>
      <c r="AN15" s="2"/>
      <c r="AO15" s="2"/>
    </row>
    <row r="16" spans="1:41" ht="23.5" customHeight="1" x14ac:dyDescent="0.55000000000000004">
      <c r="A16" s="10" t="s">
        <v>29</v>
      </c>
      <c r="B16" s="13"/>
      <c r="C16" s="31"/>
      <c r="D16" s="31"/>
      <c r="E16" s="31"/>
      <c r="F16" s="31"/>
      <c r="G16" s="31"/>
      <c r="H16" s="13"/>
      <c r="I16" s="13"/>
      <c r="J16" s="31"/>
      <c r="K16" s="31"/>
      <c r="L16" s="31"/>
      <c r="M16" s="31"/>
      <c r="N16" s="31"/>
      <c r="O16" s="13"/>
      <c r="P16" s="13"/>
      <c r="Q16" s="31"/>
      <c r="R16" s="31"/>
      <c r="S16" s="31"/>
      <c r="T16" s="31"/>
      <c r="U16" s="31"/>
      <c r="V16" s="13"/>
      <c r="W16" s="13"/>
      <c r="X16" s="31"/>
      <c r="Y16" s="31"/>
      <c r="Z16" s="31"/>
      <c r="AA16" s="31"/>
      <c r="AB16" s="31"/>
      <c r="AC16" s="13"/>
      <c r="AD16" s="13"/>
      <c r="AE16" s="31"/>
      <c r="AF16" s="8">
        <f t="shared" si="1"/>
        <v>0</v>
      </c>
      <c r="AG16" s="8">
        <f t="shared" si="2"/>
        <v>0</v>
      </c>
      <c r="AH16" s="8">
        <f t="shared" si="3"/>
        <v>0</v>
      </c>
      <c r="AI16" s="8">
        <f t="shared" si="4"/>
        <v>0</v>
      </c>
      <c r="AJ16" s="8">
        <f t="shared" si="5"/>
        <v>0</v>
      </c>
      <c r="AN16" s="2"/>
      <c r="AO16" s="2"/>
    </row>
    <row r="17" spans="1:36" ht="23.5" customHeight="1" x14ac:dyDescent="0.55000000000000004">
      <c r="A17" s="10" t="s">
        <v>128</v>
      </c>
      <c r="B17" s="13"/>
      <c r="C17" s="31"/>
      <c r="D17" s="31"/>
      <c r="E17" s="31"/>
      <c r="F17" s="31"/>
      <c r="G17" s="31"/>
      <c r="H17" s="13"/>
      <c r="I17" s="13"/>
      <c r="J17" s="31"/>
      <c r="K17" s="31"/>
      <c r="L17" s="31"/>
      <c r="M17" s="31"/>
      <c r="N17" s="31"/>
      <c r="O17" s="13"/>
      <c r="P17" s="13"/>
      <c r="Q17" s="31"/>
      <c r="R17" s="31"/>
      <c r="S17" s="31"/>
      <c r="T17" s="31"/>
      <c r="U17" s="31"/>
      <c r="V17" s="13"/>
      <c r="W17" s="13"/>
      <c r="X17" s="31"/>
      <c r="Y17" s="31"/>
      <c r="Z17" s="31"/>
      <c r="AA17" s="31"/>
      <c r="AB17" s="31"/>
      <c r="AC17" s="13"/>
      <c r="AD17" s="13"/>
      <c r="AE17" s="31"/>
      <c r="AF17" s="8">
        <f t="shared" si="1"/>
        <v>0</v>
      </c>
      <c r="AG17" s="8">
        <f t="shared" si="2"/>
        <v>0</v>
      </c>
      <c r="AH17" s="8">
        <f t="shared" si="3"/>
        <v>0</v>
      </c>
      <c r="AI17" s="8">
        <f t="shared" si="4"/>
        <v>0</v>
      </c>
      <c r="AJ17" s="8">
        <f t="shared" si="5"/>
        <v>0</v>
      </c>
    </row>
    <row r="18" spans="1:36" ht="23.5" customHeight="1" x14ac:dyDescent="0.55000000000000004">
      <c r="A18" s="10" t="s">
        <v>22</v>
      </c>
      <c r="B18" s="13"/>
      <c r="C18" s="31"/>
      <c r="D18" s="31"/>
      <c r="E18" s="31"/>
      <c r="F18" s="31"/>
      <c r="G18" s="31"/>
      <c r="H18" s="13"/>
      <c r="I18" s="13"/>
      <c r="J18" s="31"/>
      <c r="K18" s="31"/>
      <c r="L18" s="31"/>
      <c r="M18" s="31"/>
      <c r="N18" s="31"/>
      <c r="O18" s="13"/>
      <c r="P18" s="13"/>
      <c r="Q18" s="31"/>
      <c r="R18" s="31"/>
      <c r="S18" s="31"/>
      <c r="T18" s="31"/>
      <c r="U18" s="31"/>
      <c r="V18" s="13"/>
      <c r="W18" s="13"/>
      <c r="X18" s="31"/>
      <c r="Y18" s="31"/>
      <c r="Z18" s="31"/>
      <c r="AA18" s="31"/>
      <c r="AB18" s="31"/>
      <c r="AC18" s="13"/>
      <c r="AD18" s="13"/>
      <c r="AE18" s="31"/>
      <c r="AF18" s="8">
        <f t="shared" si="1"/>
        <v>0</v>
      </c>
      <c r="AG18" s="8">
        <f t="shared" si="2"/>
        <v>0</v>
      </c>
      <c r="AH18" s="8">
        <f t="shared" si="3"/>
        <v>0</v>
      </c>
      <c r="AI18" s="8">
        <f t="shared" si="4"/>
        <v>0</v>
      </c>
      <c r="AJ18" s="8">
        <f t="shared" si="5"/>
        <v>0</v>
      </c>
    </row>
    <row r="19" spans="1:36" ht="23.5" customHeight="1" x14ac:dyDescent="0.55000000000000004">
      <c r="A19" s="10" t="s">
        <v>39</v>
      </c>
      <c r="B19" s="13"/>
      <c r="C19" s="31"/>
      <c r="D19" s="31"/>
      <c r="E19" s="31"/>
      <c r="F19" s="31"/>
      <c r="G19" s="31"/>
      <c r="H19" s="13"/>
      <c r="I19" s="13"/>
      <c r="J19" s="31"/>
      <c r="K19" s="31"/>
      <c r="L19" s="31"/>
      <c r="M19" s="31"/>
      <c r="N19" s="31"/>
      <c r="O19" s="13"/>
      <c r="P19" s="13"/>
      <c r="Q19" s="31"/>
      <c r="R19" s="31"/>
      <c r="S19" s="31"/>
      <c r="T19" s="31"/>
      <c r="U19" s="31"/>
      <c r="V19" s="13"/>
      <c r="W19" s="13"/>
      <c r="X19" s="31"/>
      <c r="Y19" s="31"/>
      <c r="Z19" s="31"/>
      <c r="AA19" s="31"/>
      <c r="AB19" s="31"/>
      <c r="AC19" s="13"/>
      <c r="AD19" s="13"/>
      <c r="AE19" s="31"/>
      <c r="AF19" s="8">
        <f t="shared" si="1"/>
        <v>0</v>
      </c>
      <c r="AG19" s="8">
        <f t="shared" si="2"/>
        <v>0</v>
      </c>
      <c r="AH19" s="8">
        <f t="shared" si="3"/>
        <v>0</v>
      </c>
      <c r="AI19" s="8">
        <f t="shared" si="4"/>
        <v>0</v>
      </c>
      <c r="AJ19" s="8">
        <f t="shared" si="5"/>
        <v>0</v>
      </c>
    </row>
    <row r="20" spans="1:36" ht="23.5" customHeight="1" x14ac:dyDescent="0.55000000000000004">
      <c r="A20" s="10" t="s">
        <v>50</v>
      </c>
      <c r="B20" s="13"/>
      <c r="C20" s="31"/>
      <c r="D20" s="31"/>
      <c r="E20" s="31"/>
      <c r="F20" s="31"/>
      <c r="G20" s="31"/>
      <c r="H20" s="13"/>
      <c r="I20" s="13"/>
      <c r="J20" s="31"/>
      <c r="K20" s="31"/>
      <c r="L20" s="31"/>
      <c r="M20" s="31"/>
      <c r="N20" s="31"/>
      <c r="O20" s="13"/>
      <c r="P20" s="13"/>
      <c r="Q20" s="31"/>
      <c r="R20" s="31"/>
      <c r="S20" s="31"/>
      <c r="T20" s="31"/>
      <c r="U20" s="31"/>
      <c r="V20" s="13"/>
      <c r="W20" s="13"/>
      <c r="X20" s="31"/>
      <c r="Y20" s="31"/>
      <c r="Z20" s="31"/>
      <c r="AA20" s="31"/>
      <c r="AB20" s="31"/>
      <c r="AC20" s="13"/>
      <c r="AD20" s="13"/>
      <c r="AE20" s="31"/>
      <c r="AF20" s="8">
        <f t="shared" si="1"/>
        <v>0</v>
      </c>
      <c r="AG20" s="8">
        <f t="shared" si="2"/>
        <v>0</v>
      </c>
      <c r="AH20" s="8">
        <f t="shared" si="3"/>
        <v>0</v>
      </c>
      <c r="AI20" s="8">
        <f t="shared" si="4"/>
        <v>0</v>
      </c>
      <c r="AJ20" s="8">
        <f t="shared" si="5"/>
        <v>0</v>
      </c>
    </row>
    <row r="21" spans="1:36" ht="23.5" customHeight="1" x14ac:dyDescent="0.55000000000000004">
      <c r="A21" s="10" t="s">
        <v>129</v>
      </c>
      <c r="B21" s="13"/>
      <c r="C21" s="31"/>
      <c r="D21" s="31"/>
      <c r="E21" s="31"/>
      <c r="F21" s="31"/>
      <c r="G21" s="31"/>
      <c r="H21" s="13"/>
      <c r="I21" s="13"/>
      <c r="J21" s="31"/>
      <c r="K21" s="31"/>
      <c r="L21" s="31"/>
      <c r="M21" s="31"/>
      <c r="N21" s="31"/>
      <c r="O21" s="13"/>
      <c r="P21" s="13"/>
      <c r="Q21" s="31"/>
      <c r="R21" s="31"/>
      <c r="S21" s="31"/>
      <c r="T21" s="31"/>
      <c r="U21" s="31"/>
      <c r="V21" s="13"/>
      <c r="W21" s="13"/>
      <c r="X21" s="31"/>
      <c r="Y21" s="31"/>
      <c r="Z21" s="31"/>
      <c r="AA21" s="31"/>
      <c r="AB21" s="31"/>
      <c r="AC21" s="13"/>
      <c r="AD21" s="13"/>
      <c r="AE21" s="31"/>
      <c r="AF21" s="8">
        <f t="shared" si="1"/>
        <v>0</v>
      </c>
      <c r="AG21" s="8">
        <f t="shared" si="2"/>
        <v>0</v>
      </c>
      <c r="AH21" s="8">
        <f t="shared" si="3"/>
        <v>0</v>
      </c>
      <c r="AI21" s="8">
        <f t="shared" si="4"/>
        <v>0</v>
      </c>
      <c r="AJ21" s="8">
        <f t="shared" si="5"/>
        <v>0</v>
      </c>
    </row>
    <row r="22" spans="1:36" ht="23.5" customHeight="1" x14ac:dyDescent="0.55000000000000004">
      <c r="A22" s="10" t="s">
        <v>27</v>
      </c>
      <c r="B22" s="13"/>
      <c r="C22" s="31"/>
      <c r="D22" s="31"/>
      <c r="E22" s="31"/>
      <c r="F22" s="31"/>
      <c r="G22" s="31"/>
      <c r="H22" s="13"/>
      <c r="I22" s="13"/>
      <c r="J22" s="31"/>
      <c r="K22" s="31"/>
      <c r="L22" s="31"/>
      <c r="M22" s="31"/>
      <c r="N22" s="31"/>
      <c r="O22" s="13"/>
      <c r="P22" s="13"/>
      <c r="Q22" s="31"/>
      <c r="R22" s="31"/>
      <c r="S22" s="31"/>
      <c r="T22" s="31"/>
      <c r="U22" s="31"/>
      <c r="V22" s="13"/>
      <c r="W22" s="13"/>
      <c r="X22" s="31"/>
      <c r="Y22" s="31"/>
      <c r="Z22" s="31"/>
      <c r="AA22" s="31"/>
      <c r="AB22" s="31"/>
      <c r="AC22" s="13"/>
      <c r="AD22" s="13"/>
      <c r="AE22" s="31"/>
      <c r="AF22" s="8">
        <f t="shared" si="1"/>
        <v>0</v>
      </c>
      <c r="AG22" s="8">
        <f t="shared" si="2"/>
        <v>0</v>
      </c>
      <c r="AH22" s="8">
        <f t="shared" si="3"/>
        <v>0</v>
      </c>
      <c r="AI22" s="8">
        <f t="shared" si="4"/>
        <v>0</v>
      </c>
      <c r="AJ22" s="8">
        <f t="shared" si="5"/>
        <v>0</v>
      </c>
    </row>
    <row r="23" spans="1:36" ht="23.5" customHeight="1" x14ac:dyDescent="0.55000000000000004">
      <c r="A23" s="10" t="s">
        <v>28</v>
      </c>
      <c r="B23" s="13"/>
      <c r="C23" s="31"/>
      <c r="D23" s="31"/>
      <c r="E23" s="31"/>
      <c r="F23" s="31"/>
      <c r="G23" s="31"/>
      <c r="H23" s="13"/>
      <c r="I23" s="13"/>
      <c r="J23" s="31"/>
      <c r="K23" s="31"/>
      <c r="L23" s="31"/>
      <c r="M23" s="31"/>
      <c r="N23" s="31"/>
      <c r="O23" s="13"/>
      <c r="P23" s="13"/>
      <c r="Q23" s="31"/>
      <c r="R23" s="31"/>
      <c r="S23" s="31"/>
      <c r="T23" s="31"/>
      <c r="U23" s="31"/>
      <c r="V23" s="13"/>
      <c r="W23" s="13"/>
      <c r="X23" s="31"/>
      <c r="Y23" s="31"/>
      <c r="Z23" s="31"/>
      <c r="AA23" s="31"/>
      <c r="AB23" s="31"/>
      <c r="AC23" s="13"/>
      <c r="AD23" s="13"/>
      <c r="AE23" s="31"/>
      <c r="AF23" s="8">
        <f t="shared" si="1"/>
        <v>0</v>
      </c>
      <c r="AG23" s="8">
        <f t="shared" si="2"/>
        <v>0</v>
      </c>
      <c r="AH23" s="8">
        <f t="shared" si="3"/>
        <v>0</v>
      </c>
      <c r="AI23" s="8">
        <f t="shared" si="4"/>
        <v>0</v>
      </c>
      <c r="AJ23" s="8">
        <f t="shared" si="5"/>
        <v>0</v>
      </c>
    </row>
    <row r="24" spans="1:36" ht="23.5" customHeight="1" x14ac:dyDescent="0.55000000000000004">
      <c r="A24" s="10" t="s">
        <v>21</v>
      </c>
      <c r="B24" s="13"/>
      <c r="C24" s="31"/>
      <c r="D24" s="31"/>
      <c r="E24" s="31"/>
      <c r="F24" s="31"/>
      <c r="G24" s="31"/>
      <c r="H24" s="13"/>
      <c r="I24" s="13"/>
      <c r="J24" s="31"/>
      <c r="K24" s="31"/>
      <c r="L24" s="31"/>
      <c r="M24" s="31"/>
      <c r="N24" s="31"/>
      <c r="O24" s="13"/>
      <c r="P24" s="13"/>
      <c r="Q24" s="31"/>
      <c r="R24" s="31"/>
      <c r="S24" s="31"/>
      <c r="T24" s="31"/>
      <c r="U24" s="31"/>
      <c r="V24" s="13"/>
      <c r="W24" s="13"/>
      <c r="X24" s="31"/>
      <c r="Y24" s="31"/>
      <c r="Z24" s="31"/>
      <c r="AA24" s="31"/>
      <c r="AB24" s="31"/>
      <c r="AC24" s="13"/>
      <c r="AD24" s="13"/>
      <c r="AE24" s="31"/>
      <c r="AF24" s="8">
        <f t="shared" si="1"/>
        <v>0</v>
      </c>
      <c r="AG24" s="8">
        <f t="shared" si="2"/>
        <v>0</v>
      </c>
      <c r="AH24" s="8">
        <f t="shared" si="3"/>
        <v>0</v>
      </c>
      <c r="AI24" s="8">
        <f t="shared" si="4"/>
        <v>0</v>
      </c>
      <c r="AJ24" s="8">
        <f t="shared" si="5"/>
        <v>0</v>
      </c>
    </row>
    <row r="25" spans="1:36" ht="23.5" customHeight="1" x14ac:dyDescent="0.55000000000000004">
      <c r="A25" s="10" t="s">
        <v>42</v>
      </c>
      <c r="B25" s="13"/>
      <c r="C25" s="31"/>
      <c r="D25" s="31"/>
      <c r="E25" s="31"/>
      <c r="F25" s="31"/>
      <c r="G25" s="31"/>
      <c r="H25" s="13"/>
      <c r="I25" s="13"/>
      <c r="J25" s="31"/>
      <c r="K25" s="31"/>
      <c r="L25" s="31"/>
      <c r="M25" s="31"/>
      <c r="N25" s="31"/>
      <c r="O25" s="13"/>
      <c r="P25" s="13"/>
      <c r="Q25" s="31"/>
      <c r="R25" s="31"/>
      <c r="S25" s="31"/>
      <c r="T25" s="31"/>
      <c r="U25" s="31"/>
      <c r="V25" s="13"/>
      <c r="W25" s="13"/>
      <c r="X25" s="31"/>
      <c r="Y25" s="31"/>
      <c r="Z25" s="31"/>
      <c r="AA25" s="31"/>
      <c r="AB25" s="31"/>
      <c r="AC25" s="13"/>
      <c r="AD25" s="13"/>
      <c r="AE25" s="31"/>
      <c r="AF25" s="8">
        <f t="shared" si="1"/>
        <v>0</v>
      </c>
      <c r="AG25" s="8">
        <f t="shared" si="2"/>
        <v>0</v>
      </c>
      <c r="AH25" s="8">
        <f t="shared" si="3"/>
        <v>0</v>
      </c>
      <c r="AI25" s="8">
        <f t="shared" si="4"/>
        <v>0</v>
      </c>
      <c r="AJ25" s="8">
        <f t="shared" si="5"/>
        <v>0</v>
      </c>
    </row>
    <row r="26" spans="1:36" ht="23.5" customHeight="1" x14ac:dyDescent="0.55000000000000004">
      <c r="A26" s="10" t="s">
        <v>26</v>
      </c>
      <c r="B26" s="13"/>
      <c r="C26" s="31"/>
      <c r="D26" s="31"/>
      <c r="E26" s="31"/>
      <c r="F26" s="31"/>
      <c r="G26" s="31"/>
      <c r="H26" s="13"/>
      <c r="I26" s="13"/>
      <c r="J26" s="31"/>
      <c r="K26" s="31"/>
      <c r="L26" s="31"/>
      <c r="M26" s="31"/>
      <c r="N26" s="31"/>
      <c r="O26" s="13"/>
      <c r="P26" s="13"/>
      <c r="Q26" s="31"/>
      <c r="R26" s="31"/>
      <c r="S26" s="31"/>
      <c r="T26" s="31"/>
      <c r="U26" s="31"/>
      <c r="V26" s="13"/>
      <c r="W26" s="13"/>
      <c r="X26" s="31"/>
      <c r="Y26" s="31"/>
      <c r="Z26" s="31"/>
      <c r="AA26" s="31"/>
      <c r="AB26" s="31"/>
      <c r="AC26" s="13"/>
      <c r="AD26" s="13"/>
      <c r="AE26" s="31"/>
      <c r="AF26" s="8">
        <f t="shared" si="1"/>
        <v>0</v>
      </c>
      <c r="AG26" s="8">
        <f t="shared" si="2"/>
        <v>0</v>
      </c>
      <c r="AH26" s="8">
        <f t="shared" si="3"/>
        <v>0</v>
      </c>
      <c r="AI26" s="8">
        <f t="shared" si="4"/>
        <v>0</v>
      </c>
      <c r="AJ26" s="8">
        <f t="shared" si="5"/>
        <v>0</v>
      </c>
    </row>
    <row r="27" spans="1:36" ht="23.5" customHeight="1" x14ac:dyDescent="0.55000000000000004">
      <c r="A27" s="10" t="s">
        <v>44</v>
      </c>
      <c r="B27" s="13"/>
      <c r="C27" s="31"/>
      <c r="D27" s="31"/>
      <c r="E27" s="31"/>
      <c r="F27" s="31"/>
      <c r="G27" s="31"/>
      <c r="H27" s="13"/>
      <c r="I27" s="13"/>
      <c r="J27" s="31"/>
      <c r="K27" s="31"/>
      <c r="L27" s="31"/>
      <c r="M27" s="31"/>
      <c r="N27" s="31"/>
      <c r="O27" s="13"/>
      <c r="P27" s="13"/>
      <c r="Q27" s="31"/>
      <c r="R27" s="31"/>
      <c r="S27" s="31"/>
      <c r="T27" s="31"/>
      <c r="U27" s="31"/>
      <c r="V27" s="13"/>
      <c r="W27" s="13"/>
      <c r="X27" s="31"/>
      <c r="Y27" s="31"/>
      <c r="Z27" s="31"/>
      <c r="AA27" s="31"/>
      <c r="AB27" s="31"/>
      <c r="AC27" s="13"/>
      <c r="AD27" s="13"/>
      <c r="AE27" s="31"/>
      <c r="AF27" s="8">
        <f t="shared" si="1"/>
        <v>0</v>
      </c>
      <c r="AG27" s="8">
        <f t="shared" si="2"/>
        <v>0</v>
      </c>
      <c r="AH27" s="8">
        <f t="shared" si="3"/>
        <v>0</v>
      </c>
      <c r="AI27" s="8">
        <f t="shared" si="4"/>
        <v>0</v>
      </c>
      <c r="AJ27" s="8">
        <f t="shared" si="5"/>
        <v>0</v>
      </c>
    </row>
    <row r="28" spans="1:36" ht="23.5" customHeight="1" x14ac:dyDescent="0.55000000000000004">
      <c r="A28" s="10" t="s">
        <v>25</v>
      </c>
      <c r="B28" s="13"/>
      <c r="C28" s="31"/>
      <c r="D28" s="31"/>
      <c r="E28" s="31"/>
      <c r="F28" s="31"/>
      <c r="G28" s="31"/>
      <c r="H28" s="13"/>
      <c r="I28" s="13"/>
      <c r="J28" s="31"/>
      <c r="K28" s="31"/>
      <c r="L28" s="31"/>
      <c r="M28" s="31"/>
      <c r="N28" s="31"/>
      <c r="O28" s="13"/>
      <c r="P28" s="13"/>
      <c r="Q28" s="31"/>
      <c r="R28" s="31"/>
      <c r="S28" s="31"/>
      <c r="T28" s="31"/>
      <c r="U28" s="31"/>
      <c r="V28" s="13"/>
      <c r="W28" s="13"/>
      <c r="X28" s="31"/>
      <c r="Y28" s="31"/>
      <c r="Z28" s="31"/>
      <c r="AA28" s="31"/>
      <c r="AB28" s="31"/>
      <c r="AC28" s="13"/>
      <c r="AD28" s="13"/>
      <c r="AE28" s="31"/>
      <c r="AF28" s="8">
        <f t="shared" si="1"/>
        <v>0</v>
      </c>
      <c r="AG28" s="8">
        <f t="shared" si="2"/>
        <v>0</v>
      </c>
      <c r="AH28" s="8">
        <f t="shared" si="3"/>
        <v>0</v>
      </c>
      <c r="AI28" s="8">
        <f t="shared" si="4"/>
        <v>0</v>
      </c>
      <c r="AJ28" s="8">
        <f t="shared" si="5"/>
        <v>0</v>
      </c>
    </row>
    <row r="29" spans="1:36" ht="23.5" customHeight="1" x14ac:dyDescent="0.55000000000000004">
      <c r="A29" s="10" t="s">
        <v>24</v>
      </c>
      <c r="B29" s="13"/>
      <c r="C29" s="31"/>
      <c r="D29" s="31"/>
      <c r="E29" s="31"/>
      <c r="F29" s="31"/>
      <c r="G29" s="31"/>
      <c r="H29" s="13"/>
      <c r="I29" s="13"/>
      <c r="J29" s="31"/>
      <c r="K29" s="31"/>
      <c r="L29" s="31"/>
      <c r="M29" s="31"/>
      <c r="N29" s="31"/>
      <c r="O29" s="13"/>
      <c r="P29" s="13"/>
      <c r="Q29" s="31"/>
      <c r="R29" s="31"/>
      <c r="S29" s="31"/>
      <c r="T29" s="31"/>
      <c r="U29" s="31"/>
      <c r="V29" s="13"/>
      <c r="W29" s="13"/>
      <c r="X29" s="31"/>
      <c r="Y29" s="31"/>
      <c r="Z29" s="31"/>
      <c r="AA29" s="31"/>
      <c r="AB29" s="31"/>
      <c r="AC29" s="13"/>
      <c r="AD29" s="13"/>
      <c r="AE29" s="31"/>
      <c r="AF29" s="8">
        <f t="shared" si="1"/>
        <v>0</v>
      </c>
      <c r="AG29" s="8">
        <f t="shared" si="2"/>
        <v>0</v>
      </c>
      <c r="AH29" s="8">
        <f t="shared" si="3"/>
        <v>0</v>
      </c>
      <c r="AI29" s="8">
        <f t="shared" si="4"/>
        <v>0</v>
      </c>
      <c r="AJ29" s="8">
        <f t="shared" si="5"/>
        <v>0</v>
      </c>
    </row>
    <row r="30" spans="1:36" ht="23.5" customHeight="1" x14ac:dyDescent="0.55000000000000004">
      <c r="A30" s="10" t="s">
        <v>60</v>
      </c>
      <c r="B30" s="13"/>
      <c r="C30" s="31"/>
      <c r="D30" s="31"/>
      <c r="E30" s="31"/>
      <c r="F30" s="31"/>
      <c r="G30" s="31"/>
      <c r="H30" s="13"/>
      <c r="I30" s="13"/>
      <c r="J30" s="31"/>
      <c r="K30" s="31"/>
      <c r="L30" s="31"/>
      <c r="M30" s="31"/>
      <c r="N30" s="31"/>
      <c r="O30" s="13"/>
      <c r="P30" s="13"/>
      <c r="Q30" s="31"/>
      <c r="R30" s="31"/>
      <c r="S30" s="31"/>
      <c r="T30" s="31"/>
      <c r="U30" s="31"/>
      <c r="V30" s="13"/>
      <c r="W30" s="13"/>
      <c r="X30" s="31"/>
      <c r="Y30" s="31"/>
      <c r="Z30" s="31"/>
      <c r="AA30" s="31"/>
      <c r="AB30" s="31"/>
      <c r="AC30" s="13"/>
      <c r="AD30" s="13"/>
      <c r="AE30" s="31"/>
      <c r="AF30" s="8">
        <f t="shared" si="1"/>
        <v>0</v>
      </c>
      <c r="AG30" s="8">
        <f t="shared" si="2"/>
        <v>0</v>
      </c>
      <c r="AH30" s="8">
        <f t="shared" si="3"/>
        <v>0</v>
      </c>
      <c r="AI30" s="8">
        <f t="shared" si="4"/>
        <v>0</v>
      </c>
      <c r="AJ30" s="8">
        <f t="shared" si="5"/>
        <v>0</v>
      </c>
    </row>
    <row r="31" spans="1:36" ht="23.5" customHeight="1" x14ac:dyDescent="0.55000000000000004">
      <c r="A31" s="10" t="s">
        <v>52</v>
      </c>
      <c r="B31" s="13"/>
      <c r="C31" s="31"/>
      <c r="D31" s="31"/>
      <c r="E31" s="31"/>
      <c r="F31" s="31"/>
      <c r="G31" s="31"/>
      <c r="H31" s="13"/>
      <c r="I31" s="13"/>
      <c r="J31" s="31"/>
      <c r="K31" s="31"/>
      <c r="L31" s="31"/>
      <c r="M31" s="31"/>
      <c r="N31" s="31"/>
      <c r="O31" s="13"/>
      <c r="P31" s="13"/>
      <c r="Q31" s="31"/>
      <c r="R31" s="31"/>
      <c r="S31" s="31"/>
      <c r="T31" s="31"/>
      <c r="U31" s="31"/>
      <c r="V31" s="13"/>
      <c r="W31" s="13"/>
      <c r="X31" s="31"/>
      <c r="Y31" s="31"/>
      <c r="Z31" s="31"/>
      <c r="AA31" s="31"/>
      <c r="AB31" s="31"/>
      <c r="AC31" s="13"/>
      <c r="AD31" s="13"/>
      <c r="AE31" s="31"/>
      <c r="AF31" s="8">
        <f t="shared" si="1"/>
        <v>0</v>
      </c>
      <c r="AG31" s="8">
        <f t="shared" si="2"/>
        <v>0</v>
      </c>
      <c r="AH31" s="8">
        <f t="shared" si="3"/>
        <v>0</v>
      </c>
      <c r="AI31" s="8">
        <f t="shared" si="4"/>
        <v>0</v>
      </c>
      <c r="AJ31" s="8">
        <f t="shared" si="5"/>
        <v>0</v>
      </c>
    </row>
    <row r="32" spans="1:36" ht="23.5" customHeight="1" x14ac:dyDescent="0.55000000000000004">
      <c r="A32" s="10" t="s">
        <v>130</v>
      </c>
      <c r="B32" s="13"/>
      <c r="C32" s="31"/>
      <c r="D32" s="31"/>
      <c r="E32" s="31"/>
      <c r="F32" s="31"/>
      <c r="G32" s="31"/>
      <c r="H32" s="13"/>
      <c r="I32" s="13"/>
      <c r="J32" s="31"/>
      <c r="K32" s="31"/>
      <c r="L32" s="31"/>
      <c r="M32" s="31"/>
      <c r="N32" s="31"/>
      <c r="O32" s="13"/>
      <c r="P32" s="13"/>
      <c r="Q32" s="31"/>
      <c r="R32" s="31"/>
      <c r="S32" s="31"/>
      <c r="T32" s="31"/>
      <c r="U32" s="31"/>
      <c r="V32" s="13"/>
      <c r="W32" s="13"/>
      <c r="X32" s="31"/>
      <c r="Y32" s="31"/>
      <c r="Z32" s="31"/>
      <c r="AA32" s="31"/>
      <c r="AB32" s="31"/>
      <c r="AC32" s="13"/>
      <c r="AD32" s="13"/>
      <c r="AE32" s="31"/>
      <c r="AF32" s="8">
        <f t="shared" si="1"/>
        <v>0</v>
      </c>
      <c r="AG32" s="8">
        <f t="shared" si="2"/>
        <v>0</v>
      </c>
      <c r="AH32" s="8">
        <f t="shared" si="3"/>
        <v>0</v>
      </c>
      <c r="AI32" s="8">
        <f t="shared" si="4"/>
        <v>0</v>
      </c>
      <c r="AJ32" s="8">
        <f t="shared" si="5"/>
        <v>0</v>
      </c>
    </row>
    <row r="33" spans="1:36" ht="23.5" customHeight="1" x14ac:dyDescent="0.55000000000000004">
      <c r="A33" s="10" t="s">
        <v>53</v>
      </c>
      <c r="B33" s="13"/>
      <c r="C33" s="31"/>
      <c r="D33" s="31"/>
      <c r="E33" s="31"/>
      <c r="F33" s="31"/>
      <c r="G33" s="31"/>
      <c r="H33" s="13"/>
      <c r="I33" s="13"/>
      <c r="J33" s="31"/>
      <c r="K33" s="31"/>
      <c r="L33" s="31"/>
      <c r="M33" s="31"/>
      <c r="N33" s="31"/>
      <c r="O33" s="13"/>
      <c r="P33" s="13"/>
      <c r="Q33" s="31"/>
      <c r="R33" s="31"/>
      <c r="S33" s="31"/>
      <c r="T33" s="31"/>
      <c r="U33" s="31"/>
      <c r="V33" s="13"/>
      <c r="W33" s="13"/>
      <c r="X33" s="31"/>
      <c r="Y33" s="31"/>
      <c r="Z33" s="31"/>
      <c r="AA33" s="31"/>
      <c r="AB33" s="31"/>
      <c r="AC33" s="13"/>
      <c r="AD33" s="13"/>
      <c r="AE33" s="31"/>
      <c r="AF33" s="8">
        <f t="shared" si="1"/>
        <v>0</v>
      </c>
      <c r="AG33" s="8">
        <f t="shared" si="2"/>
        <v>0</v>
      </c>
      <c r="AH33" s="8">
        <f t="shared" si="3"/>
        <v>0</v>
      </c>
      <c r="AI33" s="8">
        <f t="shared" si="4"/>
        <v>0</v>
      </c>
      <c r="AJ33" s="8">
        <f t="shared" si="5"/>
        <v>0</v>
      </c>
    </row>
    <row r="34" spans="1:36" ht="23.5" customHeight="1" x14ac:dyDescent="0.55000000000000004">
      <c r="A34" s="10" t="s">
        <v>70</v>
      </c>
      <c r="B34" s="13"/>
      <c r="C34" s="31"/>
      <c r="D34" s="31"/>
      <c r="E34" s="31"/>
      <c r="F34" s="31"/>
      <c r="G34" s="31"/>
      <c r="H34" s="13"/>
      <c r="I34" s="13"/>
      <c r="J34" s="31"/>
      <c r="K34" s="31"/>
      <c r="L34" s="31"/>
      <c r="M34" s="31"/>
      <c r="N34" s="31"/>
      <c r="O34" s="13"/>
      <c r="P34" s="13"/>
      <c r="Q34" s="31"/>
      <c r="R34" s="31"/>
      <c r="S34" s="31"/>
      <c r="T34" s="31"/>
      <c r="U34" s="31"/>
      <c r="V34" s="13"/>
      <c r="W34" s="13"/>
      <c r="X34" s="31"/>
      <c r="Y34" s="31"/>
      <c r="Z34" s="31"/>
      <c r="AA34" s="31"/>
      <c r="AB34" s="31"/>
      <c r="AC34" s="13"/>
      <c r="AD34" s="13"/>
      <c r="AE34" s="31"/>
      <c r="AF34" s="8">
        <f t="shared" si="1"/>
        <v>0</v>
      </c>
      <c r="AG34" s="8">
        <f t="shared" si="2"/>
        <v>0</v>
      </c>
      <c r="AH34" s="8">
        <f t="shared" si="3"/>
        <v>0</v>
      </c>
      <c r="AI34" s="8">
        <f t="shared" si="4"/>
        <v>0</v>
      </c>
      <c r="AJ34" s="8">
        <f t="shared" si="5"/>
        <v>0</v>
      </c>
    </row>
    <row r="35" spans="1:36" ht="23.5" customHeight="1" x14ac:dyDescent="0.55000000000000004">
      <c r="A35" s="10" t="s">
        <v>131</v>
      </c>
      <c r="B35" s="13"/>
      <c r="C35" s="31"/>
      <c r="D35" s="31"/>
      <c r="E35" s="31"/>
      <c r="F35" s="31"/>
      <c r="G35" s="31"/>
      <c r="H35" s="13"/>
      <c r="I35" s="13"/>
      <c r="J35" s="31"/>
      <c r="K35" s="31"/>
      <c r="L35" s="31"/>
      <c r="M35" s="31"/>
      <c r="N35" s="31"/>
      <c r="O35" s="13"/>
      <c r="P35" s="13"/>
      <c r="Q35" s="31"/>
      <c r="R35" s="31"/>
      <c r="S35" s="31"/>
      <c r="T35" s="31"/>
      <c r="U35" s="31"/>
      <c r="V35" s="13"/>
      <c r="W35" s="13"/>
      <c r="X35" s="31"/>
      <c r="Y35" s="31"/>
      <c r="Z35" s="31"/>
      <c r="AA35" s="31"/>
      <c r="AB35" s="31"/>
      <c r="AC35" s="13"/>
      <c r="AD35" s="13"/>
      <c r="AE35" s="31"/>
      <c r="AF35" s="8">
        <f t="shared" si="1"/>
        <v>0</v>
      </c>
      <c r="AG35" s="8">
        <f t="shared" si="2"/>
        <v>0</v>
      </c>
      <c r="AH35" s="8">
        <f t="shared" si="3"/>
        <v>0</v>
      </c>
      <c r="AI35" s="8">
        <f t="shared" si="4"/>
        <v>0</v>
      </c>
      <c r="AJ35" s="8">
        <f t="shared" si="5"/>
        <v>0</v>
      </c>
    </row>
    <row r="36" spans="1:36" ht="15.5" customHeight="1" x14ac:dyDescent="0.3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4">
        <f t="shared" si="1"/>
        <v>0</v>
      </c>
      <c r="AG36" s="4">
        <f t="shared" si="2"/>
        <v>0</v>
      </c>
      <c r="AH36" s="4">
        <f t="shared" si="3"/>
        <v>0</v>
      </c>
      <c r="AI36" s="5">
        <f t="shared" si="4"/>
        <v>0</v>
      </c>
      <c r="AJ36" s="4">
        <f t="shared" si="5"/>
        <v>0</v>
      </c>
    </row>
    <row r="37" spans="1:36" ht="15.5" customHeight="1" x14ac:dyDescent="0.3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4">
        <f t="shared" si="1"/>
        <v>0</v>
      </c>
      <c r="AG37" s="4">
        <f t="shared" si="2"/>
        <v>0</v>
      </c>
      <c r="AH37" s="4">
        <f t="shared" si="3"/>
        <v>0</v>
      </c>
      <c r="AI37" s="5">
        <f t="shared" si="4"/>
        <v>0</v>
      </c>
      <c r="AJ37" s="6">
        <f t="shared" si="5"/>
        <v>0</v>
      </c>
    </row>
  </sheetData>
  <mergeCells count="9">
    <mergeCell ref="AL3:AL4"/>
    <mergeCell ref="AM3:AM4"/>
    <mergeCell ref="A1:AJ2"/>
    <mergeCell ref="A3:A4"/>
    <mergeCell ref="AF3:AF4"/>
    <mergeCell ref="AG3:AG4"/>
    <mergeCell ref="AH3:AH4"/>
    <mergeCell ref="AI3:AI4"/>
    <mergeCell ref="AJ3:AJ4"/>
  </mergeCells>
  <conditionalFormatting sqref="B5:AE37">
    <cfRule type="cellIs" dxfId="10" priority="2" operator="equal">
      <formula>"U"</formula>
    </cfRule>
    <cfRule type="cellIs" dxfId="9" priority="3" operator="equal">
      <formula>"M"</formula>
    </cfRule>
    <cfRule type="beginsWith" dxfId="8" priority="4" operator="beginsWith" text="S">
      <formula>LEFT(B5,1)="S"</formula>
    </cfRule>
    <cfRule type="beginsWith" dxfId="7" priority="5" operator="beginsWith" text="V">
      <formula>LEFT(B5,1)="V"</formula>
    </cfRule>
  </conditionalFormatting>
  <conditionalFormatting sqref="AF5:AJ37">
    <cfRule type="cellIs" dxfId="6" priority="1" operator="equal">
      <formula>0</formula>
    </cfRule>
  </conditionalFormatting>
  <dataValidations count="1">
    <dataValidation type="list" allowBlank="1" showInputMessage="1" showErrorMessage="1" sqref="B5:AE37" xr:uid="{00000000-0002-0000-0D00-000000000000}">
      <formula1>$AM$5:$AM$12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2CAF-4DA4-4F6A-83D3-CC4F5F0B9104}">
  <sheetPr codeName="Sheet14"/>
  <dimension ref="A1:AP35"/>
  <sheetViews>
    <sheetView zoomScale="80" zoomScaleNormal="80" workbookViewId="0">
      <selection activeCell="W13" sqref="W13"/>
    </sheetView>
  </sheetViews>
  <sheetFormatPr defaultRowHeight="14.5" x14ac:dyDescent="0.35"/>
  <cols>
    <col min="1" max="1" width="33.81640625" customWidth="1"/>
    <col min="2" max="2" width="5.26953125" bestFit="1" customWidth="1"/>
    <col min="3" max="32" width="5.7265625" customWidth="1"/>
    <col min="33" max="33" width="17.453125" customWidth="1"/>
    <col min="34" max="37" width="11.26953125" customWidth="1"/>
    <col min="38" max="38" width="9.1796875" customWidth="1"/>
    <col min="39" max="39" width="29.26953125" bestFit="1" customWidth="1"/>
  </cols>
  <sheetData>
    <row r="1" spans="1:42" s="3" customFormat="1" ht="25.15" customHeight="1" x14ac:dyDescent="0.35">
      <c r="A1" s="62" t="s">
        <v>145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2"/>
      <c r="AM1" s="2"/>
      <c r="AN1" s="2"/>
      <c r="AO1" s="2"/>
      <c r="AP1" s="2"/>
    </row>
    <row r="2" spans="1:42" s="3" customFormat="1" ht="12.4" customHeight="1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2"/>
      <c r="AM2" s="2"/>
      <c r="AN2" s="2"/>
      <c r="AO2" s="2"/>
      <c r="AP2" s="2"/>
    </row>
    <row r="3" spans="1:42" s="3" customFormat="1" ht="25.15" customHeight="1" x14ac:dyDescent="0.35">
      <c r="A3" s="72" t="s">
        <v>136</v>
      </c>
      <c r="B3" s="47" t="str">
        <f>IF(B4="","",INDEX({"Sun";"Mon";"Tue";"Wed";"Thu";"Fri";"Sat"},WEEKDAY(B4,1)))</f>
        <v>Tue</v>
      </c>
      <c r="C3" s="47" t="str">
        <f>IF(C4="","",INDEX({"Sun";"Mon";"Tue";"Wed";"Thu";"Fri";"Sat"},WEEKDAY(C4,1)))</f>
        <v>Wed</v>
      </c>
      <c r="D3" s="47" t="str">
        <f>IF(D4="","",INDEX({"Sun";"Mon";"Tue";"Wed";"Thu";"Fri";"Sat"},WEEKDAY(D4,1)))</f>
        <v>Thu</v>
      </c>
      <c r="E3" s="47" t="str">
        <f>IF(E4="","",INDEX({"Sun";"Mon";"Tue";"Wed";"Thu";"Fri";"Sat"},WEEKDAY(E4,1)))</f>
        <v>Fri</v>
      </c>
      <c r="F3" s="47" t="str">
        <f>IF(F4="","",INDEX({"Sun";"Mon";"Tue";"Wed";"Thu";"Fri";"Sat"},WEEKDAY(F4,1)))</f>
        <v>Sat</v>
      </c>
      <c r="G3" s="47" t="str">
        <f>IF(G4="","",INDEX({"Sun";"Mon";"Tue";"Wed";"Thu";"Fri";"Sat"},WEEKDAY(G4,1)))</f>
        <v>Sun</v>
      </c>
      <c r="H3" s="47" t="str">
        <f>IF(H4="","",INDEX({"Sun";"Mon";"Tue";"Wed";"Thu";"Fri";"Sat"},WEEKDAY(H4,1)))</f>
        <v>Mon</v>
      </c>
      <c r="I3" s="47" t="str">
        <f>IF(I4="","",INDEX({"Sun";"Mon";"Tue";"Wed";"Thu";"Fri";"Sat"},WEEKDAY(I4,1)))</f>
        <v>Tue</v>
      </c>
      <c r="J3" s="47" t="str">
        <f>IF(J4="","",INDEX({"Sun";"Mon";"Tue";"Wed";"Thu";"Fri";"Sat"},WEEKDAY(J4,1)))</f>
        <v>Wed</v>
      </c>
      <c r="K3" s="47" t="str">
        <f>IF(K4="","",INDEX({"Sun";"Mon";"Tue";"Wed";"Thu";"Fri";"Sat"},WEEKDAY(K4,1)))</f>
        <v>Thu</v>
      </c>
      <c r="L3" s="47" t="str">
        <f>IF(L4="","",INDEX({"Sun";"Mon";"Tue";"Wed";"Thu";"Fri";"Sat"},WEEKDAY(L4,1)))</f>
        <v>Fri</v>
      </c>
      <c r="M3" s="47" t="str">
        <f>IF(M4="","",INDEX({"Sun";"Mon";"Tue";"Wed";"Thu";"Fri";"Sat"},WEEKDAY(M4,1)))</f>
        <v>Sat</v>
      </c>
      <c r="N3" s="47" t="str">
        <f>IF(N4="","",INDEX({"Sun";"Mon";"Tue";"Wed";"Thu";"Fri";"Sat"},WEEKDAY(N4,1)))</f>
        <v>Sun</v>
      </c>
      <c r="O3" s="47" t="str">
        <f>IF(O4="","",INDEX({"Sun";"Mon";"Tue";"Wed";"Thu";"Fri";"Sat"},WEEKDAY(O4,1)))</f>
        <v>Mon</v>
      </c>
      <c r="P3" s="47" t="str">
        <f>IF(P4="","",INDEX({"Sun";"Mon";"Tue";"Wed";"Thu";"Fri";"Sat"},WEEKDAY(P4,1)))</f>
        <v>Tue</v>
      </c>
      <c r="Q3" s="47" t="str">
        <f>IF(Q4="","",INDEX({"Sun";"Mon";"Tue";"Wed";"Thu";"Fri";"Sat"},WEEKDAY(Q4,1)))</f>
        <v>Wed</v>
      </c>
      <c r="R3" s="47" t="str">
        <f>IF(R4="","",INDEX({"Sun";"Mon";"Tue";"Wed";"Thu";"Fri";"Sat"},WEEKDAY(R4,1)))</f>
        <v>Thu</v>
      </c>
      <c r="S3" s="47" t="str">
        <f>IF(S4="","",INDEX({"Sun";"Mon";"Tue";"Wed";"Thu";"Fri";"Sat"},WEEKDAY(S4,1)))</f>
        <v>Fri</v>
      </c>
      <c r="T3" s="47" t="str">
        <f>IF(T4="","",INDEX({"Sun";"Mon";"Tue";"Wed";"Thu";"Fri";"Sat"},WEEKDAY(T4,1)))</f>
        <v>Sat</v>
      </c>
      <c r="U3" s="47" t="str">
        <f>IF(U4="","",INDEX({"Sun";"Mon";"Tue";"Wed";"Thu";"Fri";"Sat"},WEEKDAY(U4,1)))</f>
        <v>Sun</v>
      </c>
      <c r="V3" s="47" t="str">
        <f>IF(V4="","",INDEX({"Sun";"Mon";"Tue";"Wed";"Thu";"Fri";"Sat"},WEEKDAY(V4,1)))</f>
        <v>Mon</v>
      </c>
      <c r="W3" s="47" t="str">
        <f>IF(W4="","",INDEX({"Sun";"Mon";"Tue";"Wed";"Thu";"Fri";"Sat"},WEEKDAY(W4,1)))</f>
        <v>Tue</v>
      </c>
      <c r="X3" s="47" t="str">
        <f>IF(X4="","",INDEX({"Sun";"Mon";"Tue";"Wed";"Thu";"Fri";"Sat"},WEEKDAY(X4,1)))</f>
        <v>Wed</v>
      </c>
      <c r="Y3" s="47" t="str">
        <f>IF(Y4="","",INDEX({"Sun";"Mon";"Tue";"Wed";"Thu";"Fri";"Sat"},WEEKDAY(Y4,1)))</f>
        <v>Thu</v>
      </c>
      <c r="Z3" s="47" t="str">
        <f>IF(Z4="","",INDEX({"Sun";"Mon";"Tue";"Wed";"Thu";"Fri";"Sat"},WEEKDAY(Z4,1)))</f>
        <v>Fri</v>
      </c>
      <c r="AA3" s="47" t="str">
        <f>IF(AA4="","",INDEX({"Sun";"Mon";"Tue";"Wed";"Thu";"Fri";"Sat"},WEEKDAY(AA4,1)))</f>
        <v>Sat</v>
      </c>
      <c r="AB3" s="47" t="str">
        <f>IF(AB4="","",INDEX({"Sun";"Mon";"Tue";"Wed";"Thu";"Fri";"Sat"},WEEKDAY(AB4,1)))</f>
        <v>Sun</v>
      </c>
      <c r="AC3" s="47" t="str">
        <f>IF(AC4="","",INDEX({"Sun";"Mon";"Tue";"Wed";"Thu";"Fri";"Sat"},WEEKDAY(AC4,1)))</f>
        <v>Mon</v>
      </c>
      <c r="AD3" s="47" t="str">
        <f>IF(AD4="","",INDEX({"Sun";"Mon";"Tue";"Wed";"Thu";"Fri";"Sat"},WEEKDAY(AD4,1)))</f>
        <v>Tue</v>
      </c>
      <c r="AE3" s="47" t="str">
        <f>IF(AE4="","",INDEX({"Sun";"Mon";"Tue";"Wed";"Thu";"Fri";"Sat"},WEEKDAY(AE4,1)))</f>
        <v>Wed</v>
      </c>
      <c r="AF3" s="47" t="str">
        <f>IF(AF4="","",INDEX({"Sun";"Mon";"Tue";"Wed";"Thu";"Fri";"Sat"},WEEKDAY(AF4,1)))</f>
        <v>Thu</v>
      </c>
      <c r="AG3" s="77" t="s">
        <v>112</v>
      </c>
      <c r="AH3" s="66" t="s">
        <v>113</v>
      </c>
      <c r="AI3" s="78" t="s">
        <v>133</v>
      </c>
      <c r="AJ3" s="79" t="s">
        <v>115</v>
      </c>
      <c r="AK3" s="73" t="s">
        <v>116</v>
      </c>
      <c r="AL3" s="28"/>
      <c r="AM3" s="70" t="s">
        <v>134</v>
      </c>
      <c r="AN3" s="70" t="s">
        <v>118</v>
      </c>
      <c r="AO3" s="2"/>
      <c r="AP3" s="2"/>
    </row>
    <row r="4" spans="1:42" s="3" customFormat="1" ht="25.15" customHeight="1" x14ac:dyDescent="0.35">
      <c r="A4" s="72"/>
      <c r="B4" s="48">
        <f>DATE(Year!$B$2,12,1)</f>
        <v>46357</v>
      </c>
      <c r="C4" s="48">
        <f t="shared" ref="C4:AF4" si="0">B4+1</f>
        <v>46358</v>
      </c>
      <c r="D4" s="48">
        <f t="shared" si="0"/>
        <v>46359</v>
      </c>
      <c r="E4" s="48">
        <f t="shared" si="0"/>
        <v>46360</v>
      </c>
      <c r="F4" s="48">
        <f t="shared" si="0"/>
        <v>46361</v>
      </c>
      <c r="G4" s="48">
        <f t="shared" si="0"/>
        <v>46362</v>
      </c>
      <c r="H4" s="48">
        <f t="shared" si="0"/>
        <v>46363</v>
      </c>
      <c r="I4" s="48">
        <f t="shared" si="0"/>
        <v>46364</v>
      </c>
      <c r="J4" s="48">
        <f t="shared" si="0"/>
        <v>46365</v>
      </c>
      <c r="K4" s="48">
        <f t="shared" si="0"/>
        <v>46366</v>
      </c>
      <c r="L4" s="48">
        <f t="shared" si="0"/>
        <v>46367</v>
      </c>
      <c r="M4" s="48">
        <f t="shared" si="0"/>
        <v>46368</v>
      </c>
      <c r="N4" s="48">
        <f t="shared" si="0"/>
        <v>46369</v>
      </c>
      <c r="O4" s="48">
        <f t="shared" si="0"/>
        <v>46370</v>
      </c>
      <c r="P4" s="48">
        <f t="shared" si="0"/>
        <v>46371</v>
      </c>
      <c r="Q4" s="48">
        <f t="shared" si="0"/>
        <v>46372</v>
      </c>
      <c r="R4" s="48">
        <f t="shared" si="0"/>
        <v>46373</v>
      </c>
      <c r="S4" s="48">
        <f t="shared" si="0"/>
        <v>46374</v>
      </c>
      <c r="T4" s="48">
        <f t="shared" si="0"/>
        <v>46375</v>
      </c>
      <c r="U4" s="48">
        <f t="shared" si="0"/>
        <v>46376</v>
      </c>
      <c r="V4" s="48">
        <f t="shared" si="0"/>
        <v>46377</v>
      </c>
      <c r="W4" s="48">
        <f t="shared" si="0"/>
        <v>46378</v>
      </c>
      <c r="X4" s="48">
        <f t="shared" si="0"/>
        <v>46379</v>
      </c>
      <c r="Y4" s="48">
        <f t="shared" si="0"/>
        <v>46380</v>
      </c>
      <c r="Z4" s="48">
        <f t="shared" si="0"/>
        <v>46381</v>
      </c>
      <c r="AA4" s="48">
        <f t="shared" si="0"/>
        <v>46382</v>
      </c>
      <c r="AB4" s="48">
        <f t="shared" si="0"/>
        <v>46383</v>
      </c>
      <c r="AC4" s="48">
        <f t="shared" si="0"/>
        <v>46384</v>
      </c>
      <c r="AD4" s="48">
        <f t="shared" si="0"/>
        <v>46385</v>
      </c>
      <c r="AE4" s="48">
        <f t="shared" si="0"/>
        <v>46386</v>
      </c>
      <c r="AF4" s="48">
        <f t="shared" si="0"/>
        <v>46387</v>
      </c>
      <c r="AG4" s="77"/>
      <c r="AH4" s="66"/>
      <c r="AI4" s="78"/>
      <c r="AJ4" s="79"/>
      <c r="AK4" s="73"/>
      <c r="AL4" s="28"/>
      <c r="AM4" s="71"/>
      <c r="AN4" s="71"/>
      <c r="AO4" s="2"/>
      <c r="AP4" s="2"/>
    </row>
    <row r="5" spans="1:42" s="3" customFormat="1" ht="24.75" customHeight="1" x14ac:dyDescent="0.55000000000000004">
      <c r="A5" s="9" t="s">
        <v>14</v>
      </c>
      <c r="B5" s="31"/>
      <c r="C5" s="31"/>
      <c r="D5" s="31"/>
      <c r="E5" s="31"/>
      <c r="F5" s="13"/>
      <c r="G5" s="13"/>
      <c r="H5" s="31"/>
      <c r="I5" s="31"/>
      <c r="J5" s="31"/>
      <c r="K5" s="31"/>
      <c r="L5" s="31"/>
      <c r="M5" s="13"/>
      <c r="N5" s="13"/>
      <c r="O5" s="31"/>
      <c r="P5" s="31"/>
      <c r="Q5" s="31"/>
      <c r="R5" s="31"/>
      <c r="S5" s="31"/>
      <c r="T5" s="13"/>
      <c r="U5" s="13"/>
      <c r="V5" s="31"/>
      <c r="W5" s="31"/>
      <c r="X5" s="31"/>
      <c r="Y5" s="31"/>
      <c r="Z5" s="31"/>
      <c r="AA5" s="13"/>
      <c r="AB5" s="13"/>
      <c r="AC5" s="31"/>
      <c r="AD5" s="31"/>
      <c r="AE5" s="31"/>
      <c r="AF5" s="31"/>
      <c r="AG5" s="8">
        <f t="shared" ref="AG5:AG35" si="1">SUM(AH5:AK5)</f>
        <v>0</v>
      </c>
      <c r="AH5" s="8">
        <f t="shared" ref="AH5:AH35" si="2">COUNTIF(B5:AF5,"V")+COUNTIF(B5:AF5,"V1")/2+COUNTIF(B5:AF5,"V2")/2</f>
        <v>0</v>
      </c>
      <c r="AI5" s="8">
        <f t="shared" ref="AI5:AI35" si="3">COUNTIF(B5:AF5,"S")+COUNTIF(B5:AF5,"S1")/2+COUNTIF(B5:AF5,"S2")/2</f>
        <v>0</v>
      </c>
      <c r="AJ5" s="8">
        <f t="shared" ref="AJ5:AJ35" si="4">COUNTIF(B5:AF5,"M")</f>
        <v>0</v>
      </c>
      <c r="AK5" s="8">
        <f t="shared" ref="AK5:AK35" si="5">COUNTIF(B5:AF5,"U")</f>
        <v>0</v>
      </c>
      <c r="AL5" s="32"/>
      <c r="AM5" s="41" t="s">
        <v>15</v>
      </c>
      <c r="AN5" s="34" t="s">
        <v>119</v>
      </c>
      <c r="AO5" s="2"/>
      <c r="AP5" s="2"/>
    </row>
    <row r="6" spans="1:42" s="3" customFormat="1" ht="25.15" customHeight="1" x14ac:dyDescent="0.55000000000000004">
      <c r="A6" s="10" t="s">
        <v>37</v>
      </c>
      <c r="B6" s="31"/>
      <c r="C6" s="31"/>
      <c r="D6" s="31"/>
      <c r="E6" s="31"/>
      <c r="F6" s="13"/>
      <c r="G6" s="13"/>
      <c r="H6" s="31"/>
      <c r="I6" s="31"/>
      <c r="J6" s="31"/>
      <c r="K6" s="31"/>
      <c r="L6" s="31"/>
      <c r="M6" s="13"/>
      <c r="N6" s="13"/>
      <c r="O6" s="31"/>
      <c r="P6" s="31"/>
      <c r="Q6" s="31"/>
      <c r="R6" s="31"/>
      <c r="S6" s="31"/>
      <c r="T6" s="13"/>
      <c r="U6" s="13"/>
      <c r="V6" s="31"/>
      <c r="W6" s="31"/>
      <c r="X6" s="31"/>
      <c r="Y6" s="31"/>
      <c r="Z6" s="31"/>
      <c r="AA6" s="13"/>
      <c r="AB6" s="13"/>
      <c r="AC6" s="31"/>
      <c r="AD6" s="31"/>
      <c r="AE6" s="31"/>
      <c r="AF6" s="31"/>
      <c r="AG6" s="8">
        <f t="shared" si="1"/>
        <v>0</v>
      </c>
      <c r="AH6" s="8">
        <f t="shared" si="2"/>
        <v>0</v>
      </c>
      <c r="AI6" s="8">
        <f t="shared" si="3"/>
        <v>0</v>
      </c>
      <c r="AJ6" s="8">
        <f t="shared" si="4"/>
        <v>0</v>
      </c>
      <c r="AK6" s="8">
        <f t="shared" si="5"/>
        <v>0</v>
      </c>
      <c r="AL6" s="32"/>
      <c r="AM6" s="42" t="s">
        <v>120</v>
      </c>
      <c r="AN6" s="34" t="s">
        <v>121</v>
      </c>
      <c r="AO6" s="2"/>
      <c r="AP6" s="2"/>
    </row>
    <row r="7" spans="1:42" s="3" customFormat="1" ht="25.15" customHeight="1" x14ac:dyDescent="0.55000000000000004">
      <c r="A7" s="10" t="s">
        <v>17</v>
      </c>
      <c r="B7" s="31"/>
      <c r="C7" s="31"/>
      <c r="D7" s="31"/>
      <c r="E7" s="31"/>
      <c r="F7" s="13"/>
      <c r="G7" s="13"/>
      <c r="H7" s="31"/>
      <c r="I7" s="31"/>
      <c r="J7" s="31"/>
      <c r="K7" s="31"/>
      <c r="L7" s="31"/>
      <c r="M7" s="13"/>
      <c r="N7" s="13"/>
      <c r="O7" s="31"/>
      <c r="P7" s="31"/>
      <c r="Q7" s="31"/>
      <c r="R7" s="31"/>
      <c r="S7" s="31"/>
      <c r="T7" s="13"/>
      <c r="U7" s="13"/>
      <c r="V7" s="31"/>
      <c r="W7" s="31"/>
      <c r="X7" s="31"/>
      <c r="Y7" s="31"/>
      <c r="Z7" s="31"/>
      <c r="AA7" s="13"/>
      <c r="AB7" s="13"/>
      <c r="AC7" s="31"/>
      <c r="AD7" s="31"/>
      <c r="AE7" s="31"/>
      <c r="AF7" s="31"/>
      <c r="AG7" s="8">
        <f t="shared" si="1"/>
        <v>0</v>
      </c>
      <c r="AH7" s="8">
        <f t="shared" si="2"/>
        <v>0</v>
      </c>
      <c r="AI7" s="8">
        <f t="shared" si="3"/>
        <v>0</v>
      </c>
      <c r="AJ7" s="8">
        <f t="shared" si="4"/>
        <v>0</v>
      </c>
      <c r="AK7" s="8">
        <f t="shared" si="5"/>
        <v>0</v>
      </c>
      <c r="AL7" s="32"/>
      <c r="AM7" s="43" t="s">
        <v>23</v>
      </c>
      <c r="AN7" s="34" t="s">
        <v>122</v>
      </c>
      <c r="AO7" s="2"/>
      <c r="AP7" s="2"/>
    </row>
    <row r="8" spans="1:42" s="3" customFormat="1" ht="25.15" customHeight="1" x14ac:dyDescent="0.55000000000000004">
      <c r="A8" s="10" t="s">
        <v>41</v>
      </c>
      <c r="B8" s="31"/>
      <c r="C8" s="31"/>
      <c r="D8" s="31"/>
      <c r="E8" s="31"/>
      <c r="F8" s="13"/>
      <c r="G8" s="13"/>
      <c r="H8" s="31"/>
      <c r="I8" s="31"/>
      <c r="J8" s="31"/>
      <c r="K8" s="31"/>
      <c r="L8" s="31"/>
      <c r="M8" s="13"/>
      <c r="N8" s="13"/>
      <c r="O8" s="31"/>
      <c r="P8" s="31"/>
      <c r="Q8" s="31"/>
      <c r="R8" s="31"/>
      <c r="S8" s="31"/>
      <c r="T8" s="13"/>
      <c r="U8" s="13"/>
      <c r="V8" s="31"/>
      <c r="W8" s="31"/>
      <c r="X8" s="31"/>
      <c r="Y8" s="31"/>
      <c r="Z8" s="31"/>
      <c r="AA8" s="13"/>
      <c r="AB8" s="13"/>
      <c r="AC8" s="31"/>
      <c r="AD8" s="31"/>
      <c r="AE8" s="31"/>
      <c r="AF8" s="31"/>
      <c r="AG8" s="8">
        <f t="shared" si="1"/>
        <v>0</v>
      </c>
      <c r="AH8" s="8">
        <f t="shared" si="2"/>
        <v>0</v>
      </c>
      <c r="AI8" s="8">
        <f t="shared" si="3"/>
        <v>0</v>
      </c>
      <c r="AJ8" s="8">
        <f t="shared" si="4"/>
        <v>0</v>
      </c>
      <c r="AK8" s="8">
        <f t="shared" si="5"/>
        <v>0</v>
      </c>
      <c r="AL8" s="32"/>
      <c r="AM8" s="44" t="s">
        <v>123</v>
      </c>
      <c r="AN8" s="34" t="s">
        <v>124</v>
      </c>
      <c r="AO8" s="2"/>
      <c r="AP8" s="2"/>
    </row>
    <row r="9" spans="1:42" s="3" customFormat="1" ht="25.15" customHeight="1" x14ac:dyDescent="0.55000000000000004">
      <c r="A9" s="10" t="s">
        <v>36</v>
      </c>
      <c r="B9" s="31"/>
      <c r="C9" s="31"/>
      <c r="D9" s="31"/>
      <c r="E9" s="31"/>
      <c r="F9" s="13"/>
      <c r="G9" s="13"/>
      <c r="H9" s="31"/>
      <c r="I9" s="31"/>
      <c r="J9" s="31"/>
      <c r="K9" s="31"/>
      <c r="L9" s="31"/>
      <c r="M9" s="13"/>
      <c r="N9" s="13"/>
      <c r="O9" s="31"/>
      <c r="P9" s="31"/>
      <c r="Q9" s="31"/>
      <c r="R9" s="31"/>
      <c r="S9" s="31"/>
      <c r="T9" s="13"/>
      <c r="U9" s="13"/>
      <c r="V9" s="31"/>
      <c r="W9" s="31"/>
      <c r="X9" s="31"/>
      <c r="Y9" s="31"/>
      <c r="Z9" s="31"/>
      <c r="AA9" s="13"/>
      <c r="AB9" s="13"/>
      <c r="AC9" s="31"/>
      <c r="AD9" s="31"/>
      <c r="AE9" s="31"/>
      <c r="AF9" s="31"/>
      <c r="AG9" s="8">
        <f t="shared" si="1"/>
        <v>0</v>
      </c>
      <c r="AH9" s="8">
        <f t="shared" si="2"/>
        <v>0</v>
      </c>
      <c r="AI9" s="8">
        <f t="shared" si="3"/>
        <v>0</v>
      </c>
      <c r="AJ9" s="8">
        <f t="shared" si="4"/>
        <v>0</v>
      </c>
      <c r="AK9" s="8">
        <f t="shared" si="5"/>
        <v>0</v>
      </c>
      <c r="AL9" s="32"/>
      <c r="AM9" s="38" t="s">
        <v>125</v>
      </c>
      <c r="AN9" s="34" t="s">
        <v>126</v>
      </c>
      <c r="AO9" s="2"/>
      <c r="AP9" s="2"/>
    </row>
    <row r="10" spans="1:42" s="3" customFormat="1" ht="25.15" customHeight="1" x14ac:dyDescent="0.55000000000000004">
      <c r="A10" s="10" t="s">
        <v>46</v>
      </c>
      <c r="B10" s="31"/>
      <c r="C10" s="31"/>
      <c r="D10" s="31"/>
      <c r="E10" s="31"/>
      <c r="F10" s="13"/>
      <c r="G10" s="13"/>
      <c r="H10" s="31"/>
      <c r="I10" s="31"/>
      <c r="J10" s="31"/>
      <c r="K10" s="31"/>
      <c r="L10" s="31"/>
      <c r="M10" s="13"/>
      <c r="N10" s="13"/>
      <c r="O10" s="31"/>
      <c r="P10" s="31"/>
      <c r="Q10" s="31"/>
      <c r="R10" s="31"/>
      <c r="S10" s="31"/>
      <c r="T10" s="13"/>
      <c r="U10" s="13"/>
      <c r="V10" s="31"/>
      <c r="W10" s="31"/>
      <c r="X10" s="31"/>
      <c r="Y10" s="31"/>
      <c r="Z10" s="31"/>
      <c r="AA10" s="13"/>
      <c r="AB10" s="13"/>
      <c r="AC10" s="31"/>
      <c r="AD10" s="31"/>
      <c r="AE10" s="31"/>
      <c r="AF10" s="31"/>
      <c r="AG10" s="8">
        <f t="shared" si="1"/>
        <v>0</v>
      </c>
      <c r="AH10" s="8">
        <f t="shared" si="2"/>
        <v>0</v>
      </c>
      <c r="AI10" s="8">
        <f t="shared" si="3"/>
        <v>0</v>
      </c>
      <c r="AJ10" s="8">
        <f t="shared" si="4"/>
        <v>0</v>
      </c>
      <c r="AK10" s="8">
        <f t="shared" si="5"/>
        <v>0</v>
      </c>
      <c r="AL10" s="32"/>
      <c r="AM10" s="54" t="s">
        <v>116</v>
      </c>
      <c r="AN10" s="55" t="s">
        <v>127</v>
      </c>
      <c r="AO10" s="2"/>
      <c r="AP10" s="2"/>
    </row>
    <row r="11" spans="1:42" s="3" customFormat="1" ht="25.15" customHeight="1" x14ac:dyDescent="0.55000000000000004">
      <c r="A11" s="10" t="s">
        <v>43</v>
      </c>
      <c r="B11" s="31"/>
      <c r="C11" s="31"/>
      <c r="D11" s="31"/>
      <c r="E11" s="31"/>
      <c r="F11" s="13"/>
      <c r="G11" s="13"/>
      <c r="H11" s="31"/>
      <c r="I11" s="31"/>
      <c r="J11" s="31"/>
      <c r="K11" s="31"/>
      <c r="L11" s="31"/>
      <c r="M11" s="13"/>
      <c r="N11" s="13"/>
      <c r="O11" s="31"/>
      <c r="P11" s="31"/>
      <c r="Q11" s="31"/>
      <c r="R11" s="31"/>
      <c r="S11" s="31"/>
      <c r="T11" s="13"/>
      <c r="U11" s="13"/>
      <c r="V11" s="31"/>
      <c r="W11" s="31"/>
      <c r="X11" s="31"/>
      <c r="Y11" s="31"/>
      <c r="Z11" s="31"/>
      <c r="AA11" s="13"/>
      <c r="AB11" s="13"/>
      <c r="AC11" s="31"/>
      <c r="AD11" s="31"/>
      <c r="AE11" s="31"/>
      <c r="AF11" s="31"/>
      <c r="AG11" s="8">
        <f t="shared" si="1"/>
        <v>0</v>
      </c>
      <c r="AH11" s="8">
        <f t="shared" si="2"/>
        <v>0</v>
      </c>
      <c r="AI11" s="8">
        <f t="shared" si="3"/>
        <v>0</v>
      </c>
      <c r="AJ11" s="8">
        <f t="shared" si="4"/>
        <v>0</v>
      </c>
      <c r="AK11" s="8">
        <f t="shared" si="5"/>
        <v>0</v>
      </c>
      <c r="AL11" s="32"/>
      <c r="AM11" s="45"/>
      <c r="AN11" s="56"/>
      <c r="AO11" s="2"/>
      <c r="AP11" s="2"/>
    </row>
    <row r="12" spans="1:42" s="3" customFormat="1" ht="25.15" customHeight="1" x14ac:dyDescent="0.55000000000000004">
      <c r="A12" s="10" t="s">
        <v>47</v>
      </c>
      <c r="B12" s="31"/>
      <c r="C12" s="31"/>
      <c r="D12" s="31"/>
      <c r="E12" s="31"/>
      <c r="F12" s="13"/>
      <c r="G12" s="13"/>
      <c r="H12" s="31"/>
      <c r="I12" s="31"/>
      <c r="J12" s="31"/>
      <c r="K12" s="31"/>
      <c r="L12" s="31"/>
      <c r="M12" s="13"/>
      <c r="N12" s="13"/>
      <c r="O12" s="31"/>
      <c r="P12" s="31"/>
      <c r="Q12" s="31"/>
      <c r="R12" s="31"/>
      <c r="S12" s="31"/>
      <c r="T12" s="13"/>
      <c r="U12" s="13"/>
      <c r="V12" s="31"/>
      <c r="W12" s="31"/>
      <c r="X12" s="31"/>
      <c r="Y12" s="31"/>
      <c r="Z12" s="31"/>
      <c r="AA12" s="13"/>
      <c r="AB12" s="13"/>
      <c r="AC12" s="31"/>
      <c r="AD12" s="31"/>
      <c r="AE12" s="31"/>
      <c r="AF12" s="31"/>
      <c r="AG12" s="8">
        <f t="shared" si="1"/>
        <v>0</v>
      </c>
      <c r="AH12" s="8">
        <f t="shared" si="2"/>
        <v>0</v>
      </c>
      <c r="AI12" s="8">
        <f t="shared" si="3"/>
        <v>0</v>
      </c>
      <c r="AJ12" s="8">
        <f t="shared" si="4"/>
        <v>0</v>
      </c>
      <c r="AK12" s="8">
        <f t="shared" si="5"/>
        <v>0</v>
      </c>
      <c r="AL12" s="32"/>
      <c r="AM12" s="45"/>
      <c r="AN12" s="56"/>
      <c r="AO12" s="2"/>
      <c r="AP12" s="2"/>
    </row>
    <row r="13" spans="1:42" s="3" customFormat="1" ht="25.15" customHeight="1" x14ac:dyDescent="0.55000000000000004">
      <c r="A13" s="10" t="s">
        <v>32</v>
      </c>
      <c r="B13" s="31"/>
      <c r="C13" s="31"/>
      <c r="D13" s="31"/>
      <c r="E13" s="31"/>
      <c r="F13" s="13"/>
      <c r="G13" s="13"/>
      <c r="H13" s="31"/>
      <c r="I13" s="31"/>
      <c r="J13" s="31"/>
      <c r="K13" s="31"/>
      <c r="L13" s="31"/>
      <c r="M13" s="13"/>
      <c r="N13" s="13"/>
      <c r="O13" s="31"/>
      <c r="P13" s="31"/>
      <c r="Q13" s="31"/>
      <c r="R13" s="31"/>
      <c r="S13" s="31"/>
      <c r="T13" s="13"/>
      <c r="U13" s="13"/>
      <c r="V13" s="31"/>
      <c r="W13" s="31"/>
      <c r="X13" s="31"/>
      <c r="Y13" s="31"/>
      <c r="Z13" s="31"/>
      <c r="AA13" s="13"/>
      <c r="AB13" s="13"/>
      <c r="AC13" s="31"/>
      <c r="AD13" s="31"/>
      <c r="AE13" s="31"/>
      <c r="AF13" s="31"/>
      <c r="AG13" s="8">
        <f t="shared" si="1"/>
        <v>0</v>
      </c>
      <c r="AH13" s="8">
        <f t="shared" si="2"/>
        <v>0</v>
      </c>
      <c r="AI13" s="8">
        <f t="shared" si="3"/>
        <v>0</v>
      </c>
      <c r="AJ13" s="8">
        <f t="shared" si="4"/>
        <v>0</v>
      </c>
      <c r="AK13" s="8">
        <f t="shared" si="5"/>
        <v>0</v>
      </c>
      <c r="AL13" s="32"/>
      <c r="AM13" s="2"/>
      <c r="AN13" s="2"/>
      <c r="AO13" s="2"/>
      <c r="AP13" s="2"/>
    </row>
    <row r="14" spans="1:42" s="3" customFormat="1" ht="25.15" customHeight="1" x14ac:dyDescent="0.55000000000000004">
      <c r="A14" s="10" t="s">
        <v>40</v>
      </c>
      <c r="B14" s="31"/>
      <c r="C14" s="31"/>
      <c r="D14" s="31"/>
      <c r="E14" s="31"/>
      <c r="F14" s="13"/>
      <c r="G14" s="13"/>
      <c r="H14" s="31"/>
      <c r="I14" s="31"/>
      <c r="J14" s="31"/>
      <c r="K14" s="31"/>
      <c r="L14" s="31"/>
      <c r="M14" s="13"/>
      <c r="N14" s="13"/>
      <c r="O14" s="31"/>
      <c r="P14" s="31"/>
      <c r="Q14" s="31"/>
      <c r="R14" s="31"/>
      <c r="S14" s="31"/>
      <c r="T14" s="13"/>
      <c r="U14" s="13"/>
      <c r="V14" s="31"/>
      <c r="W14" s="31"/>
      <c r="X14" s="31"/>
      <c r="Y14" s="31"/>
      <c r="Z14" s="31"/>
      <c r="AA14" s="13"/>
      <c r="AB14" s="13"/>
      <c r="AC14" s="31"/>
      <c r="AD14" s="31"/>
      <c r="AE14" s="31"/>
      <c r="AF14" s="31"/>
      <c r="AG14" s="8">
        <f t="shared" si="1"/>
        <v>0</v>
      </c>
      <c r="AH14" s="8">
        <f t="shared" si="2"/>
        <v>0</v>
      </c>
      <c r="AI14" s="8">
        <f t="shared" si="3"/>
        <v>0</v>
      </c>
      <c r="AJ14" s="8">
        <f t="shared" si="4"/>
        <v>0</v>
      </c>
      <c r="AK14" s="8">
        <f t="shared" si="5"/>
        <v>0</v>
      </c>
      <c r="AL14" s="32"/>
      <c r="AM14" s="2"/>
      <c r="AN14" s="2"/>
      <c r="AO14" s="2"/>
      <c r="AP14" s="2"/>
    </row>
    <row r="15" spans="1:42" s="3" customFormat="1" ht="25.15" customHeight="1" x14ac:dyDescent="0.55000000000000004">
      <c r="A15" s="10" t="s">
        <v>34</v>
      </c>
      <c r="B15" s="31"/>
      <c r="C15" s="31"/>
      <c r="D15" s="31"/>
      <c r="E15" s="31"/>
      <c r="F15" s="13"/>
      <c r="G15" s="13"/>
      <c r="H15" s="31"/>
      <c r="I15" s="31"/>
      <c r="J15" s="31"/>
      <c r="K15" s="31"/>
      <c r="L15" s="31"/>
      <c r="M15" s="13"/>
      <c r="N15" s="13"/>
      <c r="O15" s="31"/>
      <c r="P15" s="31"/>
      <c r="Q15" s="31"/>
      <c r="R15" s="31"/>
      <c r="S15" s="31"/>
      <c r="T15" s="13"/>
      <c r="U15" s="13"/>
      <c r="V15" s="31"/>
      <c r="W15" s="31"/>
      <c r="X15" s="31"/>
      <c r="Y15" s="31"/>
      <c r="Z15" s="31"/>
      <c r="AA15" s="13"/>
      <c r="AB15" s="13"/>
      <c r="AC15" s="31"/>
      <c r="AD15" s="31"/>
      <c r="AE15" s="31"/>
      <c r="AF15" s="31"/>
      <c r="AG15" s="8">
        <f t="shared" si="1"/>
        <v>0</v>
      </c>
      <c r="AH15" s="8">
        <f t="shared" si="2"/>
        <v>0</v>
      </c>
      <c r="AI15" s="8">
        <f t="shared" si="3"/>
        <v>0</v>
      </c>
      <c r="AJ15" s="8">
        <f t="shared" si="4"/>
        <v>0</v>
      </c>
      <c r="AK15" s="8">
        <f t="shared" si="5"/>
        <v>0</v>
      </c>
      <c r="AL15" s="2"/>
      <c r="AM15" s="2"/>
      <c r="AN15" s="2"/>
      <c r="AO15" s="2"/>
      <c r="AP15" s="2"/>
    </row>
    <row r="16" spans="1:42" ht="23.5" customHeight="1" x14ac:dyDescent="0.55000000000000004">
      <c r="A16" s="10" t="s">
        <v>29</v>
      </c>
      <c r="B16" s="31"/>
      <c r="C16" s="31"/>
      <c r="D16" s="31"/>
      <c r="E16" s="31"/>
      <c r="F16" s="13"/>
      <c r="G16" s="13"/>
      <c r="H16" s="31"/>
      <c r="I16" s="31"/>
      <c r="J16" s="31"/>
      <c r="K16" s="31"/>
      <c r="L16" s="31"/>
      <c r="M16" s="13"/>
      <c r="N16" s="13"/>
      <c r="O16" s="31"/>
      <c r="P16" s="31"/>
      <c r="Q16" s="31"/>
      <c r="R16" s="31"/>
      <c r="S16" s="31"/>
      <c r="T16" s="13"/>
      <c r="U16" s="13"/>
      <c r="V16" s="31"/>
      <c r="W16" s="31"/>
      <c r="X16" s="31"/>
      <c r="Y16" s="31"/>
      <c r="Z16" s="31"/>
      <c r="AA16" s="13"/>
      <c r="AB16" s="13"/>
      <c r="AC16" s="31"/>
      <c r="AD16" s="31"/>
      <c r="AE16" s="31"/>
      <c r="AF16" s="31"/>
      <c r="AG16" s="8">
        <f t="shared" si="1"/>
        <v>0</v>
      </c>
      <c r="AH16" s="8">
        <f t="shared" si="2"/>
        <v>0</v>
      </c>
      <c r="AI16" s="8">
        <f t="shared" si="3"/>
        <v>0</v>
      </c>
      <c r="AJ16" s="8">
        <f t="shared" si="4"/>
        <v>0</v>
      </c>
      <c r="AK16" s="8">
        <f t="shared" si="5"/>
        <v>0</v>
      </c>
      <c r="AO16" s="2"/>
      <c r="AP16" s="2"/>
    </row>
    <row r="17" spans="1:37" ht="23.5" customHeight="1" x14ac:dyDescent="0.55000000000000004">
      <c r="A17" s="10" t="s">
        <v>128</v>
      </c>
      <c r="B17" s="31"/>
      <c r="C17" s="31"/>
      <c r="D17" s="31"/>
      <c r="E17" s="31"/>
      <c r="F17" s="13"/>
      <c r="G17" s="13"/>
      <c r="H17" s="31"/>
      <c r="I17" s="31"/>
      <c r="J17" s="31"/>
      <c r="K17" s="31"/>
      <c r="L17" s="31"/>
      <c r="M17" s="13"/>
      <c r="N17" s="13"/>
      <c r="O17" s="31"/>
      <c r="P17" s="31"/>
      <c r="Q17" s="31"/>
      <c r="R17" s="31"/>
      <c r="S17" s="31"/>
      <c r="T17" s="13"/>
      <c r="U17" s="13"/>
      <c r="V17" s="31"/>
      <c r="W17" s="31"/>
      <c r="X17" s="31"/>
      <c r="Y17" s="31"/>
      <c r="Z17" s="31"/>
      <c r="AA17" s="13"/>
      <c r="AB17" s="13"/>
      <c r="AC17" s="31"/>
      <c r="AD17" s="31"/>
      <c r="AE17" s="31"/>
      <c r="AF17" s="31"/>
      <c r="AG17" s="8">
        <f t="shared" si="1"/>
        <v>0</v>
      </c>
      <c r="AH17" s="8">
        <f t="shared" si="2"/>
        <v>0</v>
      </c>
      <c r="AI17" s="8">
        <f t="shared" si="3"/>
        <v>0</v>
      </c>
      <c r="AJ17" s="8">
        <f t="shared" si="4"/>
        <v>0</v>
      </c>
      <c r="AK17" s="8">
        <f t="shared" si="5"/>
        <v>0</v>
      </c>
    </row>
    <row r="18" spans="1:37" ht="23.5" customHeight="1" x14ac:dyDescent="0.55000000000000004">
      <c r="A18" s="10" t="s">
        <v>22</v>
      </c>
      <c r="B18" s="31"/>
      <c r="C18" s="31"/>
      <c r="D18" s="31"/>
      <c r="E18" s="31"/>
      <c r="F18" s="13"/>
      <c r="G18" s="13"/>
      <c r="H18" s="31"/>
      <c r="I18" s="31"/>
      <c r="J18" s="31"/>
      <c r="K18" s="31"/>
      <c r="L18" s="31"/>
      <c r="M18" s="13"/>
      <c r="N18" s="13"/>
      <c r="O18" s="31"/>
      <c r="P18" s="31"/>
      <c r="Q18" s="31"/>
      <c r="R18" s="31"/>
      <c r="S18" s="31"/>
      <c r="T18" s="13"/>
      <c r="U18" s="13"/>
      <c r="V18" s="31"/>
      <c r="W18" s="31"/>
      <c r="X18" s="31"/>
      <c r="Y18" s="31"/>
      <c r="Z18" s="31"/>
      <c r="AA18" s="13"/>
      <c r="AB18" s="13"/>
      <c r="AC18" s="31"/>
      <c r="AD18" s="31"/>
      <c r="AE18" s="31"/>
      <c r="AF18" s="31"/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f t="shared" si="4"/>
        <v>0</v>
      </c>
      <c r="AK18" s="8">
        <f t="shared" si="5"/>
        <v>0</v>
      </c>
    </row>
    <row r="19" spans="1:37" ht="23.5" customHeight="1" x14ac:dyDescent="0.55000000000000004">
      <c r="A19" s="10" t="s">
        <v>39</v>
      </c>
      <c r="B19" s="31"/>
      <c r="C19" s="31"/>
      <c r="D19" s="31"/>
      <c r="E19" s="31"/>
      <c r="F19" s="13"/>
      <c r="G19" s="13"/>
      <c r="H19" s="31"/>
      <c r="I19" s="31"/>
      <c r="J19" s="31"/>
      <c r="K19" s="31"/>
      <c r="L19" s="31"/>
      <c r="M19" s="13"/>
      <c r="N19" s="13"/>
      <c r="O19" s="31"/>
      <c r="P19" s="31"/>
      <c r="Q19" s="31"/>
      <c r="R19" s="31"/>
      <c r="S19" s="31"/>
      <c r="T19" s="13"/>
      <c r="U19" s="13"/>
      <c r="V19" s="31"/>
      <c r="W19" s="31"/>
      <c r="X19" s="31"/>
      <c r="Y19" s="31"/>
      <c r="Z19" s="31"/>
      <c r="AA19" s="13"/>
      <c r="AB19" s="13"/>
      <c r="AC19" s="31"/>
      <c r="AD19" s="31"/>
      <c r="AE19" s="31"/>
      <c r="AF19" s="31"/>
      <c r="AG19" s="8">
        <f t="shared" si="1"/>
        <v>0</v>
      </c>
      <c r="AH19" s="8">
        <f t="shared" si="2"/>
        <v>0</v>
      </c>
      <c r="AI19" s="8">
        <f t="shared" si="3"/>
        <v>0</v>
      </c>
      <c r="AJ19" s="8">
        <f t="shared" si="4"/>
        <v>0</v>
      </c>
      <c r="AK19" s="8">
        <f t="shared" si="5"/>
        <v>0</v>
      </c>
    </row>
    <row r="20" spans="1:37" ht="23.5" customHeight="1" x14ac:dyDescent="0.55000000000000004">
      <c r="A20" s="10" t="s">
        <v>50</v>
      </c>
      <c r="B20" s="31"/>
      <c r="C20" s="31"/>
      <c r="D20" s="31"/>
      <c r="E20" s="31"/>
      <c r="F20" s="13"/>
      <c r="G20" s="13"/>
      <c r="H20" s="31"/>
      <c r="I20" s="31"/>
      <c r="J20" s="31"/>
      <c r="K20" s="31"/>
      <c r="L20" s="31"/>
      <c r="M20" s="13"/>
      <c r="N20" s="13"/>
      <c r="O20" s="31"/>
      <c r="P20" s="31"/>
      <c r="Q20" s="31"/>
      <c r="R20" s="31"/>
      <c r="S20" s="31"/>
      <c r="T20" s="13"/>
      <c r="U20" s="13"/>
      <c r="V20" s="31"/>
      <c r="W20" s="31"/>
      <c r="X20" s="31"/>
      <c r="Y20" s="31"/>
      <c r="Z20" s="31"/>
      <c r="AA20" s="13"/>
      <c r="AB20" s="13"/>
      <c r="AC20" s="31"/>
      <c r="AD20" s="31"/>
      <c r="AE20" s="31"/>
      <c r="AF20" s="31"/>
      <c r="AG20" s="8">
        <f t="shared" si="1"/>
        <v>0</v>
      </c>
      <c r="AH20" s="8">
        <f t="shared" si="2"/>
        <v>0</v>
      </c>
      <c r="AI20" s="8">
        <f t="shared" si="3"/>
        <v>0</v>
      </c>
      <c r="AJ20" s="8">
        <f t="shared" si="4"/>
        <v>0</v>
      </c>
      <c r="AK20" s="8">
        <f t="shared" si="5"/>
        <v>0</v>
      </c>
    </row>
    <row r="21" spans="1:37" ht="23.5" customHeight="1" x14ac:dyDescent="0.55000000000000004">
      <c r="A21" s="10" t="s">
        <v>129</v>
      </c>
      <c r="B21" s="31"/>
      <c r="C21" s="31"/>
      <c r="D21" s="31"/>
      <c r="E21" s="31"/>
      <c r="F21" s="13"/>
      <c r="G21" s="13"/>
      <c r="H21" s="31"/>
      <c r="I21" s="31"/>
      <c r="J21" s="31"/>
      <c r="K21" s="31"/>
      <c r="L21" s="31"/>
      <c r="M21" s="13"/>
      <c r="N21" s="13"/>
      <c r="O21" s="31"/>
      <c r="P21" s="31"/>
      <c r="Q21" s="31"/>
      <c r="R21" s="31"/>
      <c r="S21" s="31"/>
      <c r="T21" s="13"/>
      <c r="U21" s="13"/>
      <c r="V21" s="31"/>
      <c r="W21" s="31"/>
      <c r="X21" s="31"/>
      <c r="Y21" s="31"/>
      <c r="Z21" s="31"/>
      <c r="AA21" s="13"/>
      <c r="AB21" s="13"/>
      <c r="AC21" s="31"/>
      <c r="AD21" s="31"/>
      <c r="AE21" s="31"/>
      <c r="AF21" s="31"/>
      <c r="AG21" s="8">
        <f t="shared" si="1"/>
        <v>0</v>
      </c>
      <c r="AH21" s="8">
        <f t="shared" si="2"/>
        <v>0</v>
      </c>
      <c r="AI21" s="8">
        <f t="shared" si="3"/>
        <v>0</v>
      </c>
      <c r="AJ21" s="8">
        <f t="shared" si="4"/>
        <v>0</v>
      </c>
      <c r="AK21" s="8">
        <f t="shared" si="5"/>
        <v>0</v>
      </c>
    </row>
    <row r="22" spans="1:37" ht="23.5" customHeight="1" x14ac:dyDescent="0.55000000000000004">
      <c r="A22" s="10" t="s">
        <v>27</v>
      </c>
      <c r="B22" s="31"/>
      <c r="C22" s="31"/>
      <c r="D22" s="31"/>
      <c r="E22" s="31"/>
      <c r="F22" s="13"/>
      <c r="G22" s="13"/>
      <c r="H22" s="31"/>
      <c r="I22" s="31"/>
      <c r="J22" s="31"/>
      <c r="K22" s="31"/>
      <c r="L22" s="31"/>
      <c r="M22" s="13"/>
      <c r="N22" s="13"/>
      <c r="O22" s="31"/>
      <c r="P22" s="31"/>
      <c r="Q22" s="31"/>
      <c r="R22" s="31"/>
      <c r="S22" s="31"/>
      <c r="T22" s="13"/>
      <c r="U22" s="13"/>
      <c r="V22" s="31"/>
      <c r="W22" s="31"/>
      <c r="X22" s="31"/>
      <c r="Y22" s="31"/>
      <c r="Z22" s="31"/>
      <c r="AA22" s="13"/>
      <c r="AB22" s="13"/>
      <c r="AC22" s="31"/>
      <c r="AD22" s="31"/>
      <c r="AE22" s="31"/>
      <c r="AF22" s="31"/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f t="shared" si="4"/>
        <v>0</v>
      </c>
      <c r="AK22" s="8">
        <f t="shared" si="5"/>
        <v>0</v>
      </c>
    </row>
    <row r="23" spans="1:37" ht="23.5" customHeight="1" x14ac:dyDescent="0.55000000000000004">
      <c r="A23" s="10" t="s">
        <v>28</v>
      </c>
      <c r="B23" s="31"/>
      <c r="C23" s="31"/>
      <c r="D23" s="31"/>
      <c r="E23" s="31"/>
      <c r="F23" s="13"/>
      <c r="G23" s="13"/>
      <c r="H23" s="31"/>
      <c r="I23" s="31"/>
      <c r="J23" s="31"/>
      <c r="K23" s="31"/>
      <c r="L23" s="31"/>
      <c r="M23" s="13"/>
      <c r="N23" s="13"/>
      <c r="O23" s="31"/>
      <c r="P23" s="31"/>
      <c r="Q23" s="31"/>
      <c r="R23" s="31"/>
      <c r="S23" s="31"/>
      <c r="T23" s="13"/>
      <c r="U23" s="13"/>
      <c r="V23" s="31"/>
      <c r="W23" s="31"/>
      <c r="X23" s="31"/>
      <c r="Y23" s="31"/>
      <c r="Z23" s="31"/>
      <c r="AA23" s="13"/>
      <c r="AB23" s="13"/>
      <c r="AC23" s="31"/>
      <c r="AD23" s="31"/>
      <c r="AE23" s="31"/>
      <c r="AF23" s="31"/>
      <c r="AG23" s="8">
        <f t="shared" si="1"/>
        <v>0</v>
      </c>
      <c r="AH23" s="8">
        <f t="shared" si="2"/>
        <v>0</v>
      </c>
      <c r="AI23" s="8">
        <f t="shared" si="3"/>
        <v>0</v>
      </c>
      <c r="AJ23" s="8">
        <f t="shared" si="4"/>
        <v>0</v>
      </c>
      <c r="AK23" s="8">
        <f t="shared" si="5"/>
        <v>0</v>
      </c>
    </row>
    <row r="24" spans="1:37" ht="23.5" customHeight="1" x14ac:dyDescent="0.55000000000000004">
      <c r="A24" s="10" t="s">
        <v>21</v>
      </c>
      <c r="B24" s="31"/>
      <c r="C24" s="31"/>
      <c r="D24" s="31"/>
      <c r="E24" s="31"/>
      <c r="F24" s="13"/>
      <c r="G24" s="13"/>
      <c r="H24" s="31"/>
      <c r="I24" s="31"/>
      <c r="J24" s="31"/>
      <c r="K24" s="31"/>
      <c r="L24" s="31"/>
      <c r="M24" s="13"/>
      <c r="N24" s="13"/>
      <c r="O24" s="31"/>
      <c r="P24" s="31"/>
      <c r="Q24" s="31"/>
      <c r="R24" s="31"/>
      <c r="S24" s="31"/>
      <c r="T24" s="13"/>
      <c r="U24" s="13"/>
      <c r="V24" s="31"/>
      <c r="W24" s="31"/>
      <c r="X24" s="31"/>
      <c r="Y24" s="31"/>
      <c r="Z24" s="31"/>
      <c r="AA24" s="13"/>
      <c r="AB24" s="13"/>
      <c r="AC24" s="31"/>
      <c r="AD24" s="31"/>
      <c r="AE24" s="31"/>
      <c r="AF24" s="31"/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f t="shared" si="4"/>
        <v>0</v>
      </c>
      <c r="AK24" s="8">
        <f t="shared" si="5"/>
        <v>0</v>
      </c>
    </row>
    <row r="25" spans="1:37" ht="23.5" customHeight="1" x14ac:dyDescent="0.55000000000000004">
      <c r="A25" s="10" t="s">
        <v>42</v>
      </c>
      <c r="B25" s="31"/>
      <c r="C25" s="31"/>
      <c r="D25" s="31"/>
      <c r="E25" s="31"/>
      <c r="F25" s="13"/>
      <c r="G25" s="13"/>
      <c r="H25" s="31"/>
      <c r="I25" s="31"/>
      <c r="J25" s="31"/>
      <c r="K25" s="31"/>
      <c r="L25" s="31"/>
      <c r="M25" s="13"/>
      <c r="N25" s="13"/>
      <c r="O25" s="31"/>
      <c r="P25" s="31"/>
      <c r="Q25" s="31"/>
      <c r="R25" s="31"/>
      <c r="S25" s="31"/>
      <c r="T25" s="13"/>
      <c r="U25" s="13"/>
      <c r="V25" s="31"/>
      <c r="W25" s="31"/>
      <c r="X25" s="31"/>
      <c r="Y25" s="31"/>
      <c r="Z25" s="31"/>
      <c r="AA25" s="13"/>
      <c r="AB25" s="13"/>
      <c r="AC25" s="31"/>
      <c r="AD25" s="31"/>
      <c r="AE25" s="31"/>
      <c r="AF25" s="31"/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f t="shared" si="4"/>
        <v>0</v>
      </c>
      <c r="AK25" s="8">
        <f t="shared" si="5"/>
        <v>0</v>
      </c>
    </row>
    <row r="26" spans="1:37" ht="23.5" customHeight="1" x14ac:dyDescent="0.55000000000000004">
      <c r="A26" s="10" t="s">
        <v>26</v>
      </c>
      <c r="B26" s="31"/>
      <c r="C26" s="31"/>
      <c r="D26" s="31"/>
      <c r="E26" s="31"/>
      <c r="F26" s="13"/>
      <c r="G26" s="13"/>
      <c r="H26" s="31"/>
      <c r="I26" s="31"/>
      <c r="J26" s="31"/>
      <c r="K26" s="31"/>
      <c r="L26" s="31"/>
      <c r="M26" s="13"/>
      <c r="N26" s="13"/>
      <c r="O26" s="31"/>
      <c r="P26" s="31"/>
      <c r="Q26" s="31"/>
      <c r="R26" s="31"/>
      <c r="S26" s="31"/>
      <c r="T26" s="13"/>
      <c r="U26" s="13"/>
      <c r="V26" s="31"/>
      <c r="W26" s="31"/>
      <c r="X26" s="31"/>
      <c r="Y26" s="31"/>
      <c r="Z26" s="31"/>
      <c r="AA26" s="13"/>
      <c r="AB26" s="13"/>
      <c r="AC26" s="31"/>
      <c r="AD26" s="31"/>
      <c r="AE26" s="31"/>
      <c r="AF26" s="31"/>
      <c r="AG26" s="8">
        <f t="shared" si="1"/>
        <v>0</v>
      </c>
      <c r="AH26" s="8">
        <f t="shared" si="2"/>
        <v>0</v>
      </c>
      <c r="AI26" s="8">
        <f t="shared" si="3"/>
        <v>0</v>
      </c>
      <c r="AJ26" s="8">
        <f t="shared" si="4"/>
        <v>0</v>
      </c>
      <c r="AK26" s="8">
        <f t="shared" si="5"/>
        <v>0</v>
      </c>
    </row>
    <row r="27" spans="1:37" ht="23.5" customHeight="1" x14ac:dyDescent="0.55000000000000004">
      <c r="A27" s="10" t="s">
        <v>44</v>
      </c>
      <c r="B27" s="31"/>
      <c r="C27" s="31"/>
      <c r="D27" s="31"/>
      <c r="E27" s="31"/>
      <c r="F27" s="13"/>
      <c r="G27" s="13"/>
      <c r="H27" s="31"/>
      <c r="I27" s="31"/>
      <c r="J27" s="31"/>
      <c r="K27" s="31"/>
      <c r="L27" s="31"/>
      <c r="M27" s="13"/>
      <c r="N27" s="13"/>
      <c r="O27" s="31"/>
      <c r="P27" s="31"/>
      <c r="Q27" s="31"/>
      <c r="R27" s="31"/>
      <c r="S27" s="31"/>
      <c r="T27" s="13"/>
      <c r="U27" s="13"/>
      <c r="V27" s="31"/>
      <c r="W27" s="31"/>
      <c r="X27" s="31"/>
      <c r="Y27" s="31"/>
      <c r="Z27" s="31"/>
      <c r="AA27" s="13"/>
      <c r="AB27" s="13"/>
      <c r="AC27" s="31"/>
      <c r="AD27" s="31"/>
      <c r="AE27" s="31"/>
      <c r="AF27" s="31"/>
      <c r="AG27" s="8">
        <f t="shared" si="1"/>
        <v>0</v>
      </c>
      <c r="AH27" s="8">
        <f t="shared" si="2"/>
        <v>0</v>
      </c>
      <c r="AI27" s="8">
        <f t="shared" si="3"/>
        <v>0</v>
      </c>
      <c r="AJ27" s="8">
        <f t="shared" si="4"/>
        <v>0</v>
      </c>
      <c r="AK27" s="8">
        <f t="shared" si="5"/>
        <v>0</v>
      </c>
    </row>
    <row r="28" spans="1:37" ht="23.5" customHeight="1" x14ac:dyDescent="0.55000000000000004">
      <c r="A28" s="10" t="s">
        <v>25</v>
      </c>
      <c r="B28" s="31"/>
      <c r="C28" s="31"/>
      <c r="D28" s="31"/>
      <c r="E28" s="31"/>
      <c r="F28" s="13"/>
      <c r="G28" s="13"/>
      <c r="H28" s="31"/>
      <c r="I28" s="31"/>
      <c r="J28" s="31"/>
      <c r="K28" s="31"/>
      <c r="L28" s="31"/>
      <c r="M28" s="13"/>
      <c r="N28" s="13"/>
      <c r="O28" s="31"/>
      <c r="P28" s="31"/>
      <c r="Q28" s="31"/>
      <c r="R28" s="31"/>
      <c r="S28" s="31"/>
      <c r="T28" s="13"/>
      <c r="U28" s="13"/>
      <c r="V28" s="31"/>
      <c r="W28" s="31"/>
      <c r="X28" s="31"/>
      <c r="Y28" s="31"/>
      <c r="Z28" s="31"/>
      <c r="AA28" s="13"/>
      <c r="AB28" s="13"/>
      <c r="AC28" s="31"/>
      <c r="AD28" s="31"/>
      <c r="AE28" s="31"/>
      <c r="AF28" s="31"/>
      <c r="AG28" s="8">
        <f t="shared" si="1"/>
        <v>0</v>
      </c>
      <c r="AH28" s="8">
        <f t="shared" si="2"/>
        <v>0</v>
      </c>
      <c r="AI28" s="8">
        <f t="shared" si="3"/>
        <v>0</v>
      </c>
      <c r="AJ28" s="8">
        <f t="shared" si="4"/>
        <v>0</v>
      </c>
      <c r="AK28" s="8">
        <f t="shared" si="5"/>
        <v>0</v>
      </c>
    </row>
    <row r="29" spans="1:37" ht="23.5" customHeight="1" x14ac:dyDescent="0.55000000000000004">
      <c r="A29" s="10" t="s">
        <v>24</v>
      </c>
      <c r="B29" s="31"/>
      <c r="C29" s="31"/>
      <c r="D29" s="31"/>
      <c r="E29" s="31"/>
      <c r="F29" s="13"/>
      <c r="G29" s="13"/>
      <c r="H29" s="31"/>
      <c r="I29" s="31"/>
      <c r="J29" s="31"/>
      <c r="K29" s="31"/>
      <c r="L29" s="31"/>
      <c r="M29" s="13"/>
      <c r="N29" s="13"/>
      <c r="O29" s="31"/>
      <c r="P29" s="31"/>
      <c r="Q29" s="31"/>
      <c r="R29" s="31"/>
      <c r="S29" s="31"/>
      <c r="T29" s="13"/>
      <c r="U29" s="13"/>
      <c r="V29" s="31"/>
      <c r="W29" s="31"/>
      <c r="X29" s="31"/>
      <c r="Y29" s="31"/>
      <c r="Z29" s="31"/>
      <c r="AA29" s="13"/>
      <c r="AB29" s="13"/>
      <c r="AC29" s="31"/>
      <c r="AD29" s="31"/>
      <c r="AE29" s="31"/>
      <c r="AF29" s="31"/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f t="shared" si="4"/>
        <v>0</v>
      </c>
      <c r="AK29" s="8">
        <f t="shared" si="5"/>
        <v>0</v>
      </c>
    </row>
    <row r="30" spans="1:37" ht="23.5" customHeight="1" x14ac:dyDescent="0.55000000000000004">
      <c r="A30" s="10" t="s">
        <v>60</v>
      </c>
      <c r="B30" s="31"/>
      <c r="C30" s="31"/>
      <c r="D30" s="31"/>
      <c r="E30" s="31"/>
      <c r="F30" s="13"/>
      <c r="G30" s="13"/>
      <c r="H30" s="31"/>
      <c r="I30" s="31"/>
      <c r="J30" s="31"/>
      <c r="K30" s="31"/>
      <c r="L30" s="31"/>
      <c r="M30" s="13"/>
      <c r="N30" s="13"/>
      <c r="O30" s="31"/>
      <c r="P30" s="31"/>
      <c r="Q30" s="31"/>
      <c r="R30" s="31"/>
      <c r="S30" s="31"/>
      <c r="T30" s="13"/>
      <c r="U30" s="13"/>
      <c r="V30" s="31"/>
      <c r="W30" s="31"/>
      <c r="X30" s="31"/>
      <c r="Y30" s="31"/>
      <c r="Z30" s="31"/>
      <c r="AA30" s="13"/>
      <c r="AB30" s="13"/>
      <c r="AC30" s="31"/>
      <c r="AD30" s="31"/>
      <c r="AE30" s="31"/>
      <c r="AF30" s="31"/>
      <c r="AG30" s="8">
        <f t="shared" si="1"/>
        <v>0</v>
      </c>
      <c r="AH30" s="8">
        <f t="shared" si="2"/>
        <v>0</v>
      </c>
      <c r="AI30" s="8">
        <f t="shared" si="3"/>
        <v>0</v>
      </c>
      <c r="AJ30" s="8">
        <f t="shared" si="4"/>
        <v>0</v>
      </c>
      <c r="AK30" s="8">
        <f t="shared" si="5"/>
        <v>0</v>
      </c>
    </row>
    <row r="31" spans="1:37" ht="23.5" customHeight="1" x14ac:dyDescent="0.55000000000000004">
      <c r="A31" s="10" t="s">
        <v>52</v>
      </c>
      <c r="B31" s="31"/>
      <c r="C31" s="31"/>
      <c r="D31" s="31"/>
      <c r="E31" s="31"/>
      <c r="F31" s="13"/>
      <c r="G31" s="13"/>
      <c r="H31" s="31"/>
      <c r="I31" s="31"/>
      <c r="J31" s="31"/>
      <c r="K31" s="31"/>
      <c r="L31" s="31"/>
      <c r="M31" s="13"/>
      <c r="N31" s="13"/>
      <c r="O31" s="31"/>
      <c r="P31" s="31"/>
      <c r="Q31" s="31"/>
      <c r="R31" s="31"/>
      <c r="S31" s="31"/>
      <c r="T31" s="13"/>
      <c r="U31" s="13"/>
      <c r="V31" s="31"/>
      <c r="W31" s="31"/>
      <c r="X31" s="31"/>
      <c r="Y31" s="31"/>
      <c r="Z31" s="31"/>
      <c r="AA31" s="13"/>
      <c r="AB31" s="13"/>
      <c r="AC31" s="31"/>
      <c r="AD31" s="31"/>
      <c r="AE31" s="31"/>
      <c r="AF31" s="31"/>
      <c r="AG31" s="8">
        <f t="shared" si="1"/>
        <v>0</v>
      </c>
      <c r="AH31" s="8">
        <f t="shared" si="2"/>
        <v>0</v>
      </c>
      <c r="AI31" s="8">
        <f t="shared" si="3"/>
        <v>0</v>
      </c>
      <c r="AJ31" s="8">
        <f t="shared" si="4"/>
        <v>0</v>
      </c>
      <c r="AK31" s="8">
        <f t="shared" si="5"/>
        <v>0</v>
      </c>
    </row>
    <row r="32" spans="1:37" ht="23.5" customHeight="1" x14ac:dyDescent="0.55000000000000004">
      <c r="A32" s="10" t="s">
        <v>130</v>
      </c>
      <c r="B32" s="31"/>
      <c r="C32" s="31"/>
      <c r="D32" s="31"/>
      <c r="E32" s="31"/>
      <c r="F32" s="13"/>
      <c r="G32" s="13"/>
      <c r="H32" s="31"/>
      <c r="I32" s="31"/>
      <c r="J32" s="31"/>
      <c r="K32" s="31"/>
      <c r="L32" s="31"/>
      <c r="M32" s="13"/>
      <c r="N32" s="13"/>
      <c r="O32" s="31"/>
      <c r="P32" s="31"/>
      <c r="Q32" s="31"/>
      <c r="R32" s="31"/>
      <c r="S32" s="31"/>
      <c r="T32" s="13"/>
      <c r="U32" s="13"/>
      <c r="V32" s="31"/>
      <c r="W32" s="31"/>
      <c r="X32" s="31"/>
      <c r="Y32" s="31"/>
      <c r="Z32" s="31"/>
      <c r="AA32" s="13"/>
      <c r="AB32" s="13"/>
      <c r="AC32" s="31"/>
      <c r="AD32" s="31"/>
      <c r="AE32" s="31"/>
      <c r="AF32" s="31"/>
      <c r="AG32" s="8">
        <f t="shared" si="1"/>
        <v>0</v>
      </c>
      <c r="AH32" s="8">
        <f t="shared" si="2"/>
        <v>0</v>
      </c>
      <c r="AI32" s="8">
        <f t="shared" si="3"/>
        <v>0</v>
      </c>
      <c r="AJ32" s="8">
        <f t="shared" si="4"/>
        <v>0</v>
      </c>
      <c r="AK32" s="8">
        <f t="shared" si="5"/>
        <v>0</v>
      </c>
    </row>
    <row r="33" spans="1:37" ht="23.5" customHeight="1" x14ac:dyDescent="0.55000000000000004">
      <c r="A33" s="10" t="s">
        <v>53</v>
      </c>
      <c r="B33" s="31"/>
      <c r="C33" s="31"/>
      <c r="D33" s="31"/>
      <c r="E33" s="31"/>
      <c r="F33" s="13"/>
      <c r="G33" s="13"/>
      <c r="H33" s="31"/>
      <c r="I33" s="31"/>
      <c r="J33" s="31"/>
      <c r="K33" s="31"/>
      <c r="L33" s="31"/>
      <c r="M33" s="13"/>
      <c r="N33" s="13"/>
      <c r="O33" s="31"/>
      <c r="P33" s="31"/>
      <c r="Q33" s="31"/>
      <c r="R33" s="31"/>
      <c r="S33" s="31"/>
      <c r="T33" s="13"/>
      <c r="U33" s="13"/>
      <c r="V33" s="31"/>
      <c r="W33" s="31"/>
      <c r="X33" s="31"/>
      <c r="Y33" s="31"/>
      <c r="Z33" s="31"/>
      <c r="AA33" s="13"/>
      <c r="AB33" s="13"/>
      <c r="AC33" s="31"/>
      <c r="AD33" s="31"/>
      <c r="AE33" s="31"/>
      <c r="AF33" s="31"/>
      <c r="AG33" s="8">
        <f t="shared" si="1"/>
        <v>0</v>
      </c>
      <c r="AH33" s="8">
        <f t="shared" si="2"/>
        <v>0</v>
      </c>
      <c r="AI33" s="8">
        <f t="shared" si="3"/>
        <v>0</v>
      </c>
      <c r="AJ33" s="8">
        <f t="shared" si="4"/>
        <v>0</v>
      </c>
      <c r="AK33" s="8">
        <f t="shared" si="5"/>
        <v>0</v>
      </c>
    </row>
    <row r="34" spans="1:37" ht="23.5" customHeight="1" x14ac:dyDescent="0.55000000000000004">
      <c r="A34" s="10" t="s">
        <v>70</v>
      </c>
      <c r="B34" s="31"/>
      <c r="C34" s="31"/>
      <c r="D34" s="31"/>
      <c r="E34" s="31"/>
      <c r="F34" s="13"/>
      <c r="G34" s="13"/>
      <c r="H34" s="31"/>
      <c r="I34" s="31"/>
      <c r="J34" s="31"/>
      <c r="K34" s="31"/>
      <c r="L34" s="31"/>
      <c r="M34" s="13"/>
      <c r="N34" s="13"/>
      <c r="O34" s="31"/>
      <c r="P34" s="31"/>
      <c r="Q34" s="31"/>
      <c r="R34" s="31"/>
      <c r="S34" s="31"/>
      <c r="T34" s="13"/>
      <c r="U34" s="13"/>
      <c r="V34" s="31"/>
      <c r="W34" s="31"/>
      <c r="X34" s="31"/>
      <c r="Y34" s="31"/>
      <c r="Z34" s="31"/>
      <c r="AA34" s="13"/>
      <c r="AB34" s="13"/>
      <c r="AC34" s="31"/>
      <c r="AD34" s="31"/>
      <c r="AE34" s="31"/>
      <c r="AF34" s="31"/>
      <c r="AG34" s="8">
        <f t="shared" si="1"/>
        <v>0</v>
      </c>
      <c r="AH34" s="8">
        <f t="shared" si="2"/>
        <v>0</v>
      </c>
      <c r="AI34" s="8">
        <f t="shared" si="3"/>
        <v>0</v>
      </c>
      <c r="AJ34" s="8">
        <f t="shared" si="4"/>
        <v>0</v>
      </c>
      <c r="AK34" s="8">
        <f t="shared" si="5"/>
        <v>0</v>
      </c>
    </row>
    <row r="35" spans="1:37" ht="23.5" customHeight="1" x14ac:dyDescent="0.55000000000000004">
      <c r="A35" s="14" t="s">
        <v>131</v>
      </c>
      <c r="B35" s="50"/>
      <c r="C35" s="50"/>
      <c r="D35" s="50"/>
      <c r="E35" s="50"/>
      <c r="F35" s="12"/>
      <c r="G35" s="12"/>
      <c r="H35" s="50"/>
      <c r="I35" s="50"/>
      <c r="J35" s="50"/>
      <c r="K35" s="50"/>
      <c r="L35" s="50"/>
      <c r="M35" s="12"/>
      <c r="N35" s="12"/>
      <c r="O35" s="50"/>
      <c r="P35" s="50"/>
      <c r="Q35" s="50"/>
      <c r="R35" s="50"/>
      <c r="S35" s="50"/>
      <c r="T35" s="12"/>
      <c r="U35" s="12"/>
      <c r="V35" s="50"/>
      <c r="W35" s="50"/>
      <c r="X35" s="50"/>
      <c r="Y35" s="50"/>
      <c r="Z35" s="50"/>
      <c r="AA35" s="12"/>
      <c r="AB35" s="12"/>
      <c r="AC35" s="50"/>
      <c r="AD35" s="50"/>
      <c r="AE35" s="50"/>
      <c r="AF35" s="50"/>
      <c r="AG35" s="4">
        <f t="shared" si="1"/>
        <v>0</v>
      </c>
      <c r="AH35" s="4">
        <f t="shared" si="2"/>
        <v>0</v>
      </c>
      <c r="AI35" s="4">
        <f t="shared" si="3"/>
        <v>0</v>
      </c>
      <c r="AJ35" s="5">
        <f t="shared" si="4"/>
        <v>0</v>
      </c>
      <c r="AK35" s="4">
        <f t="shared" si="5"/>
        <v>0</v>
      </c>
    </row>
  </sheetData>
  <mergeCells count="9">
    <mergeCell ref="AM3:AM4"/>
    <mergeCell ref="AN3:AN4"/>
    <mergeCell ref="A1:AK2"/>
    <mergeCell ref="A3:A4"/>
    <mergeCell ref="AG3:AG4"/>
    <mergeCell ref="AH3:AH4"/>
    <mergeCell ref="AI3:AI4"/>
    <mergeCell ref="AJ3:AJ4"/>
    <mergeCell ref="AK3:AK4"/>
  </mergeCells>
  <conditionalFormatting sqref="B5:AF35">
    <cfRule type="cellIs" dxfId="5" priority="2" operator="equal">
      <formula>"U"</formula>
    </cfRule>
    <cfRule type="cellIs" dxfId="4" priority="3" operator="equal">
      <formula>"M"</formula>
    </cfRule>
    <cfRule type="beginsWith" dxfId="3" priority="4" operator="beginsWith" text="S">
      <formula>LEFT(B5,1)="S"</formula>
    </cfRule>
    <cfRule type="beginsWith" dxfId="2" priority="5" operator="beginsWith" text="V">
      <formula>LEFT(B5,1)="V"</formula>
    </cfRule>
  </conditionalFormatting>
  <conditionalFormatting sqref="AG5:AK35">
    <cfRule type="cellIs" dxfId="1" priority="1" operator="equal">
      <formula>0</formula>
    </cfRule>
  </conditionalFormatting>
  <dataValidations count="1">
    <dataValidation type="list" allowBlank="1" showInputMessage="1" showErrorMessage="1" sqref="B5:AF35" xr:uid="{00000000-0002-0000-0E00-000000000000}">
      <formula1>$AN$5:$AN$12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3E8E-4C5E-4BA9-B958-642D86AA22BB}">
  <sheetPr codeName="Sheet15"/>
  <dimension ref="A2:G17"/>
  <sheetViews>
    <sheetView topLeftCell="A7" zoomScale="88" zoomScaleNormal="88" workbookViewId="0">
      <selection activeCell="B8" sqref="B8"/>
    </sheetView>
  </sheetViews>
  <sheetFormatPr defaultRowHeight="14.5" x14ac:dyDescent="0.35"/>
  <cols>
    <col min="1" max="1" width="16.26953125" bestFit="1" customWidth="1"/>
    <col min="2" max="6" width="17.26953125" customWidth="1"/>
  </cols>
  <sheetData>
    <row r="2" spans="1:7" ht="46" customHeight="1" x14ac:dyDescent="0.35">
      <c r="A2" s="82" t="s">
        <v>146</v>
      </c>
      <c r="B2" s="82"/>
      <c r="C2" s="82"/>
      <c r="D2" s="82"/>
      <c r="E2" s="82"/>
      <c r="F2" s="82"/>
    </row>
    <row r="5" spans="1:7" s="3" customFormat="1" ht="25.15" customHeight="1" x14ac:dyDescent="0.35">
      <c r="A5" s="90" t="s">
        <v>136</v>
      </c>
      <c r="B5" s="91" t="s">
        <v>112</v>
      </c>
      <c r="C5" s="85" t="s">
        <v>113</v>
      </c>
      <c r="D5" s="86" t="s">
        <v>133</v>
      </c>
      <c r="E5" s="87" t="s">
        <v>115</v>
      </c>
      <c r="F5" s="88" t="s">
        <v>116</v>
      </c>
      <c r="G5" s="2"/>
    </row>
    <row r="6" spans="1:7" s="3" customFormat="1" ht="25.15" customHeight="1" x14ac:dyDescent="0.35">
      <c r="A6" s="90"/>
      <c r="B6" s="91"/>
      <c r="C6" s="85"/>
      <c r="D6" s="86"/>
      <c r="E6" s="87"/>
      <c r="F6" s="88"/>
      <c r="G6" s="2"/>
    </row>
    <row r="7" spans="1:7" s="3" customFormat="1" ht="25.15" customHeight="1" x14ac:dyDescent="0.35">
      <c r="A7" s="90"/>
      <c r="B7" s="91"/>
      <c r="C7" s="85"/>
      <c r="D7" s="86"/>
      <c r="E7" s="87"/>
      <c r="F7" s="88"/>
      <c r="G7" s="2"/>
    </row>
    <row r="8" spans="1:7" s="3" customFormat="1" ht="24.75" customHeight="1" x14ac:dyDescent="0.35">
      <c r="A8" s="57"/>
      <c r="B8" s="4"/>
      <c r="C8" s="4"/>
      <c r="D8" s="4"/>
      <c r="E8" s="4"/>
      <c r="F8" s="4"/>
      <c r="G8" s="2"/>
    </row>
    <row r="9" spans="1:7" s="3" customFormat="1" ht="25.15" customHeight="1" x14ac:dyDescent="0.35">
      <c r="A9" s="57"/>
      <c r="B9" s="4"/>
      <c r="C9" s="4"/>
      <c r="D9" s="4">
        <f>Jan!AI7+Feb!AF6+Mar!AI7+Apr!AH6+May!AI6+Jun!AH6+Jul!AI6+Aug!AI6+Sep!AH6+Oct!AI6+Nov!AH6+Dec!AI6</f>
        <v>0</v>
      </c>
      <c r="E9" s="4"/>
      <c r="F9" s="4">
        <f>Jan!AK7+Feb!AH6+Mar!AK7+Apr!AJ6+May!AK6+Jun!AJ6+Jul!AK6+Aug!AK6+Sep!AJ6+Oct!AK6+Nov!AJ6+Dec!AK6</f>
        <v>0</v>
      </c>
      <c r="G9" s="2"/>
    </row>
    <row r="10" spans="1:7" s="3" customFormat="1" ht="25.15" customHeight="1" x14ac:dyDescent="0.35">
      <c r="A10" s="57"/>
      <c r="B10" s="4"/>
      <c r="C10" s="4">
        <f>Jan!AH8+Feb!AE7+Mar!AH8+Apr!AG7+May!AH7+Jun!AG7+Jul!AH7+Aug!AH7+Sep!AG7+Oct!AH7+Nov!AG7+Dec!AH7</f>
        <v>0</v>
      </c>
      <c r="D10" s="4"/>
      <c r="E10" s="4"/>
      <c r="F10" s="4"/>
      <c r="G10" s="2"/>
    </row>
    <row r="11" spans="1:7" s="3" customFormat="1" ht="25.15" customHeight="1" x14ac:dyDescent="0.35">
      <c r="A11" s="57"/>
      <c r="B11" s="4"/>
      <c r="C11" s="4">
        <f>Jan!AH9+Feb!AE8+Mar!AH9+Apr!AG8+May!AH8+Jun!AG8+Jul!AH8+Aug!AH8+Sep!AG8+Oct!AH8+Nov!AG8+Dec!AH8</f>
        <v>0</v>
      </c>
      <c r="D11" s="4"/>
      <c r="E11" s="4">
        <f>Jan!AJ9+Feb!AG8+Mar!AJ9+Apr!AI8+May!AJ8+Jun!AI8+Jul!AJ8+Aug!AJ8+Sep!AI8+Oct!AJ8+Nov!AI8+Dec!AJ8</f>
        <v>0</v>
      </c>
      <c r="F11" s="4"/>
      <c r="G11" s="2"/>
    </row>
    <row r="12" spans="1:7" s="3" customFormat="1" ht="25.15" customHeight="1" x14ac:dyDescent="0.35">
      <c r="A12" s="57"/>
      <c r="B12" s="4"/>
      <c r="C12" s="4"/>
      <c r="D12" s="4"/>
      <c r="E12" s="4">
        <f>Jan!AJ10+Feb!AG9+Mar!AJ10+Apr!AI9+May!AJ9+Jun!AI9+Jul!AJ9+Aug!AJ9+Sep!AI9+Oct!AJ9+Nov!AI9+Dec!AJ9</f>
        <v>0</v>
      </c>
      <c r="F12" s="4"/>
      <c r="G12" s="2"/>
    </row>
    <row r="13" spans="1:7" s="3" customFormat="1" ht="25.15" customHeight="1" x14ac:dyDescent="0.35">
      <c r="A13" s="57"/>
      <c r="B13" s="4"/>
      <c r="C13" s="4"/>
      <c r="D13" s="4"/>
      <c r="E13" s="4"/>
      <c r="F13" s="4"/>
      <c r="G13" s="2"/>
    </row>
    <row r="14" spans="1:7" s="3" customFormat="1" ht="25.15" customHeight="1" x14ac:dyDescent="0.35">
      <c r="A14" s="57"/>
      <c r="B14" s="4"/>
      <c r="C14" s="4"/>
      <c r="D14" s="4"/>
      <c r="E14" s="4"/>
      <c r="F14" s="4"/>
      <c r="G14" s="2"/>
    </row>
    <row r="15" spans="1:7" s="3" customFormat="1" ht="25.15" customHeight="1" x14ac:dyDescent="0.35">
      <c r="A15" s="57"/>
      <c r="B15" s="4"/>
      <c r="C15" s="4"/>
      <c r="D15" s="4"/>
      <c r="E15" s="4"/>
      <c r="F15" s="4"/>
      <c r="G15" s="2"/>
    </row>
    <row r="16" spans="1:7" s="3" customFormat="1" ht="25.15" customHeight="1" x14ac:dyDescent="0.35">
      <c r="A16" s="57"/>
      <c r="B16" s="4"/>
      <c r="C16" s="4"/>
      <c r="D16" s="4"/>
      <c r="E16" s="4">
        <f>Jan!AJ12+Feb!AG13+Mar!AJ14+Apr!AI13+May!AJ13+Jun!AI13+Jul!AJ13+Aug!AJ13+Sep!AI13+Oct!AJ13+Nov!AI13+Dec!AJ13</f>
        <v>0</v>
      </c>
      <c r="F16" s="4"/>
      <c r="G16" s="2"/>
    </row>
    <row r="17" spans="1:7" s="3" customFormat="1" ht="25.15" customHeight="1" x14ac:dyDescent="0.35">
      <c r="A17" s="57"/>
      <c r="B17" s="4"/>
      <c r="C17" s="4">
        <f>Jan!AH13+Feb!AE14+Mar!AH15+Apr!AG14+May!AH14+Jun!AG14+Jul!AH14+Aug!AH14+Sep!AG14+Oct!AH14+Nov!AG14+Dec!AH14</f>
        <v>0</v>
      </c>
      <c r="D17" s="4"/>
      <c r="E17" s="4">
        <f>Jan!AJ13+Feb!AG14+Mar!AJ15+Apr!AI14+May!AJ14+Jun!AI14+Jul!AJ14+Aug!AJ14+Sep!AI14+Oct!AJ14+Nov!AI14+Dec!AJ14</f>
        <v>0</v>
      </c>
      <c r="F17" s="4">
        <f>Jan!AK13+Feb!AH14+Mar!AK15+Apr!AJ14+May!AK14+Jun!AJ14+Jul!AK14+Aug!AK14+Sep!AJ14+Oct!AK14+Nov!AJ14+Dec!AK14</f>
        <v>0</v>
      </c>
      <c r="G17" s="2"/>
    </row>
  </sheetData>
  <mergeCells count="7">
    <mergeCell ref="A2:F2"/>
    <mergeCell ref="A5:A7"/>
    <mergeCell ref="B5:B7"/>
    <mergeCell ref="C5:C7"/>
    <mergeCell ref="D5:D7"/>
    <mergeCell ref="E5:E7"/>
    <mergeCell ref="F5:F7"/>
  </mergeCells>
  <conditionalFormatting sqref="B8:F17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B37C8E2291242978D47FC09504399" ma:contentTypeVersion="14" ma:contentTypeDescription="Create a new document." ma:contentTypeScope="" ma:versionID="499574692d778dbeb6efea12a0174d98">
  <xsd:schema xmlns:xsd="http://www.w3.org/2001/XMLSchema" xmlns:xs="http://www.w3.org/2001/XMLSchema" xmlns:p="http://schemas.microsoft.com/office/2006/metadata/properties" xmlns:ns3="afa49c85-9e75-44e9-a9b6-528f480c5c32" xmlns:ns4="3ed342c9-8147-42be-8c5e-6a7ee4ce3896" targetNamespace="http://schemas.microsoft.com/office/2006/metadata/properties" ma:root="true" ma:fieldsID="d02b88177d11a08041b0b59392620185" ns3:_="" ns4:_="">
    <xsd:import namespace="afa49c85-9e75-44e9-a9b6-528f480c5c32"/>
    <xsd:import namespace="3ed342c9-8147-42be-8c5e-6a7ee4ce389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49c85-9e75-44e9-a9b6-528f480c5c3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342c9-8147-42be-8c5e-6a7ee4ce389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a49c85-9e75-44e9-a9b6-528f480c5c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6902F-E690-4556-898A-15BE55FE9C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a49c85-9e75-44e9-a9b6-528f480c5c32"/>
    <ds:schemaRef ds:uri="3ed342c9-8147-42be-8c5e-6a7ee4ce3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F28B22-F57D-44D0-8FBA-C18126DF3152}">
  <ds:schemaRefs>
    <ds:schemaRef ds:uri="http://schemas.microsoft.com/office/2006/metadata/properties"/>
    <ds:schemaRef ds:uri="http://schemas.microsoft.com/office/infopath/2007/PartnerControls"/>
    <ds:schemaRef ds:uri="afa49c85-9e75-44e9-a9b6-528f480c5c32"/>
  </ds:schemaRefs>
</ds:datastoreItem>
</file>

<file path=customXml/itemProps3.xml><?xml version="1.0" encoding="utf-8"?>
<ds:datastoreItem xmlns:ds="http://schemas.openxmlformats.org/officeDocument/2006/customXml" ds:itemID="{6536F2AD-3EF4-492D-81EB-4E8EE524C83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Year</vt:lpstr>
      <vt:lpstr>Sheet1</vt:lpstr>
      <vt:lpstr>EmployeeData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Summary</vt:lpstr>
      <vt:lpstr>pt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Kumar S, Kiran</cp:lastModifiedBy>
  <cp:revision/>
  <dcterms:created xsi:type="dcterms:W3CDTF">2023-08-16T04:26:14Z</dcterms:created>
  <dcterms:modified xsi:type="dcterms:W3CDTF">2026-02-09T12:41:16Z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0x0101003BDB37C8E2291242978D47FC09504399</vt:lpwstr>
  </property>
</Properties>
</file>