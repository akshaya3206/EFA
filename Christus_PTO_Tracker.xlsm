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kumars\Documents\UiPath\EFA Test 1\"/>
    </mc:Choice>
  </mc:AlternateContent>
  <xr:revisionPtr revIDLastSave="0" documentId="13_ncr:1_{1ADB776E-C031-4B1A-B58E-5D642209D520}" xr6:coauthVersionLast="47" xr6:coauthVersionMax="47" xr10:uidLastSave="{00000000-0000-0000-0000-000000000000}"/>
  <bookViews>
    <workbookView xWindow="-110" yWindow="-110" windowWidth="19420" windowHeight="10300" tabRatio="915" activeTab="2" xr2:uid="{00000000-000D-0000-FFFF-FFFF00000000}"/>
  </bookViews>
  <sheets>
    <sheet name="PTO_Entry_Form" sheetId="3" r:id="rId1"/>
    <sheet name="Analyst_Details" sheetId="1" r:id="rId2"/>
    <sheet name="Christus_Emp_Data" sheetId="9" r:id="rId3"/>
    <sheet name="Firm_Holiday's" sheetId="10" state="hidden" r:id="rId4"/>
    <sheet name="Holidays_2026" sheetId="13" r:id="rId5"/>
  </sheets>
  <definedNames>
    <definedName name="_xlnm._FilterDatabase" localSheetId="1" hidden="1">Analyst_Details!$K$39:$L$68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4" i="9" l="1"/>
  <c r="B393" i="9" l="1"/>
  <c r="C393" i="9"/>
  <c r="D393" i="9"/>
  <c r="J393" i="9"/>
  <c r="L393" i="9"/>
  <c r="B392" i="9"/>
  <c r="C392" i="9"/>
  <c r="D392" i="9"/>
  <c r="J392" i="9"/>
  <c r="L392" i="9"/>
  <c r="B391" i="9"/>
  <c r="C391" i="9"/>
  <c r="D391" i="9"/>
  <c r="J391" i="9"/>
  <c r="L391" i="9"/>
  <c r="B390" i="9"/>
  <c r="C390" i="9"/>
  <c r="D390" i="9"/>
  <c r="J390" i="9"/>
  <c r="L390" i="9"/>
  <c r="B388" i="9"/>
  <c r="C388" i="9"/>
  <c r="D388" i="9"/>
  <c r="J388" i="9"/>
  <c r="L388" i="9"/>
  <c r="B387" i="9"/>
  <c r="C387" i="9"/>
  <c r="D387" i="9"/>
  <c r="J387" i="9"/>
  <c r="L387" i="9"/>
  <c r="B386" i="9"/>
  <c r="C386" i="9"/>
  <c r="D386" i="9"/>
  <c r="J386" i="9"/>
  <c r="L386" i="9"/>
  <c r="B385" i="9"/>
  <c r="C385" i="9"/>
  <c r="D385" i="9"/>
  <c r="J385" i="9"/>
  <c r="L385" i="9"/>
  <c r="C384" i="9"/>
  <c r="D384" i="9"/>
  <c r="J384" i="9"/>
  <c r="L384" i="9"/>
  <c r="J383" i="9"/>
  <c r="L383" i="9"/>
  <c r="D383" i="9"/>
  <c r="C383" i="9"/>
  <c r="B383" i="9"/>
  <c r="L382" i="9"/>
  <c r="J382" i="9"/>
  <c r="D382" i="9"/>
  <c r="C382" i="9"/>
  <c r="B382" i="9"/>
  <c r="B381" i="9"/>
  <c r="C381" i="9"/>
  <c r="D381" i="9"/>
  <c r="J381" i="9"/>
  <c r="L381" i="9"/>
  <c r="B380" i="9"/>
  <c r="C380" i="9"/>
  <c r="D380" i="9"/>
  <c r="J380" i="9"/>
  <c r="L380" i="9"/>
  <c r="B379" i="9"/>
  <c r="C379" i="9"/>
  <c r="D379" i="9"/>
  <c r="J379" i="9"/>
  <c r="L379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2" i="9"/>
  <c r="C2" i="9"/>
  <c r="L378" i="9"/>
  <c r="J378" i="9"/>
  <c r="D378" i="9"/>
  <c r="C378" i="9"/>
  <c r="C377" i="9"/>
  <c r="D377" i="9"/>
  <c r="J377" i="9"/>
  <c r="L377" i="9"/>
  <c r="L376" i="9"/>
  <c r="J376" i="9"/>
  <c r="D376" i="9"/>
  <c r="C376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L315" i="9"/>
  <c r="L316" i="9"/>
  <c r="L317" i="9"/>
  <c r="L318" i="9"/>
  <c r="L319" i="9"/>
  <c r="L320" i="9"/>
  <c r="L321" i="9"/>
  <c r="L322" i="9"/>
  <c r="L323" i="9"/>
  <c r="L324" i="9"/>
  <c r="L325" i="9"/>
  <c r="L326" i="9"/>
  <c r="L327" i="9"/>
  <c r="L328" i="9"/>
  <c r="L329" i="9"/>
  <c r="L330" i="9"/>
  <c r="L331" i="9"/>
  <c r="L332" i="9"/>
  <c r="L333" i="9"/>
  <c r="L334" i="9"/>
  <c r="L335" i="9"/>
  <c r="L336" i="9"/>
  <c r="L337" i="9"/>
  <c r="L338" i="9"/>
  <c r="L339" i="9"/>
  <c r="L340" i="9"/>
  <c r="L341" i="9"/>
  <c r="L342" i="9"/>
  <c r="L343" i="9"/>
  <c r="L344" i="9"/>
  <c r="L345" i="9"/>
  <c r="L346" i="9"/>
  <c r="L347" i="9"/>
  <c r="L348" i="9"/>
  <c r="L349" i="9"/>
  <c r="L350" i="9"/>
  <c r="L351" i="9"/>
  <c r="L352" i="9"/>
  <c r="L353" i="9"/>
  <c r="L354" i="9"/>
  <c r="L355" i="9"/>
  <c r="L356" i="9"/>
  <c r="L357" i="9"/>
  <c r="L358" i="9"/>
  <c r="L359" i="9"/>
  <c r="L360" i="9"/>
  <c r="L361" i="9"/>
  <c r="L362" i="9"/>
  <c r="L363" i="9"/>
  <c r="L364" i="9"/>
  <c r="L365" i="9"/>
  <c r="L366" i="9"/>
  <c r="L367" i="9"/>
  <c r="L368" i="9"/>
  <c r="L369" i="9"/>
  <c r="L370" i="9"/>
  <c r="L371" i="9"/>
  <c r="L372" i="9"/>
  <c r="L373" i="9"/>
  <c r="L374" i="9"/>
  <c r="L375" i="9"/>
  <c r="J375" i="9"/>
  <c r="D375" i="9"/>
  <c r="C375" i="9"/>
  <c r="J374" i="9"/>
  <c r="D374" i="9"/>
  <c r="C374" i="9"/>
  <c r="J373" i="9"/>
  <c r="D373" i="9"/>
  <c r="C373" i="9"/>
  <c r="J372" i="9"/>
  <c r="D372" i="9"/>
  <c r="C372" i="9"/>
  <c r="J371" i="9"/>
  <c r="D371" i="9"/>
  <c r="C371" i="9"/>
  <c r="J370" i="9"/>
  <c r="D370" i="9"/>
  <c r="C370" i="9"/>
  <c r="J369" i="9"/>
  <c r="D369" i="9"/>
  <c r="C369" i="9"/>
  <c r="J368" i="9"/>
  <c r="D368" i="9"/>
  <c r="C368" i="9"/>
  <c r="J367" i="9"/>
  <c r="D367" i="9"/>
  <c r="C367" i="9"/>
  <c r="J366" i="9"/>
  <c r="D366" i="9"/>
  <c r="C366" i="9"/>
  <c r="J365" i="9"/>
  <c r="D365" i="9"/>
  <c r="C365" i="9"/>
  <c r="J364" i="9"/>
  <c r="D364" i="9"/>
  <c r="C364" i="9"/>
  <c r="J363" i="9"/>
  <c r="D363" i="9"/>
  <c r="C363" i="9"/>
  <c r="J362" i="9"/>
  <c r="D362" i="9"/>
  <c r="C362" i="9"/>
  <c r="J361" i="9"/>
  <c r="D361" i="9"/>
  <c r="C361" i="9"/>
  <c r="J360" i="9"/>
  <c r="D360" i="9"/>
  <c r="C360" i="9"/>
  <c r="J359" i="9"/>
  <c r="D359" i="9"/>
  <c r="C359" i="9"/>
  <c r="J358" i="9"/>
  <c r="D358" i="9"/>
  <c r="C358" i="9"/>
  <c r="J357" i="9"/>
  <c r="D357" i="9"/>
  <c r="C357" i="9"/>
  <c r="J356" i="9"/>
  <c r="D356" i="9"/>
  <c r="C356" i="9"/>
  <c r="J355" i="9"/>
  <c r="D355" i="9"/>
  <c r="C355" i="9"/>
  <c r="J354" i="9"/>
  <c r="D354" i="9"/>
  <c r="C354" i="9"/>
  <c r="J353" i="9"/>
  <c r="D353" i="9"/>
  <c r="C353" i="9"/>
  <c r="J352" i="9"/>
  <c r="D352" i="9"/>
  <c r="C352" i="9"/>
  <c r="J351" i="9"/>
  <c r="D351" i="9"/>
  <c r="C351" i="9"/>
  <c r="J350" i="9"/>
  <c r="D350" i="9"/>
  <c r="C350" i="9"/>
  <c r="J349" i="9"/>
  <c r="D349" i="9"/>
  <c r="C349" i="9"/>
  <c r="J348" i="9"/>
  <c r="D348" i="9"/>
  <c r="C348" i="9"/>
  <c r="J347" i="9"/>
  <c r="D347" i="9"/>
  <c r="C347" i="9"/>
  <c r="J346" i="9"/>
  <c r="D346" i="9"/>
  <c r="C346" i="9"/>
  <c r="J345" i="9"/>
  <c r="D345" i="9"/>
  <c r="C345" i="9"/>
  <c r="J344" i="9"/>
  <c r="D344" i="9"/>
  <c r="C344" i="9"/>
  <c r="J343" i="9"/>
  <c r="D343" i="9"/>
  <c r="C343" i="9"/>
  <c r="J342" i="9"/>
  <c r="D342" i="9"/>
  <c r="C342" i="9"/>
  <c r="J341" i="9"/>
  <c r="D341" i="9"/>
  <c r="C341" i="9"/>
  <c r="J340" i="9"/>
  <c r="D340" i="9"/>
  <c r="C340" i="9"/>
  <c r="J339" i="9"/>
  <c r="D339" i="9"/>
  <c r="C339" i="9"/>
  <c r="J338" i="9"/>
  <c r="D338" i="9"/>
  <c r="C338" i="9"/>
  <c r="J337" i="9"/>
  <c r="D337" i="9"/>
  <c r="C337" i="9"/>
  <c r="J336" i="9"/>
  <c r="D336" i="9"/>
  <c r="C336" i="9"/>
  <c r="J335" i="9"/>
  <c r="D335" i="9"/>
  <c r="C335" i="9"/>
  <c r="J334" i="9"/>
  <c r="D334" i="9"/>
  <c r="C334" i="9"/>
  <c r="J333" i="9"/>
  <c r="D333" i="9"/>
  <c r="C333" i="9"/>
  <c r="J332" i="9"/>
  <c r="D332" i="9"/>
  <c r="C332" i="9"/>
  <c r="J331" i="9"/>
  <c r="D331" i="9"/>
  <c r="C331" i="9"/>
  <c r="J330" i="9"/>
  <c r="D330" i="9"/>
  <c r="C330" i="9"/>
  <c r="D329" i="9"/>
  <c r="C329" i="9"/>
  <c r="J328" i="9"/>
  <c r="D328" i="9"/>
  <c r="C328" i="9"/>
  <c r="J327" i="9"/>
  <c r="D327" i="9"/>
  <c r="C327" i="9"/>
  <c r="J326" i="9"/>
  <c r="D326" i="9"/>
  <c r="C326" i="9"/>
  <c r="C325" i="9"/>
  <c r="D325" i="9"/>
  <c r="J325" i="9"/>
  <c r="C324" i="9"/>
  <c r="D324" i="9"/>
  <c r="J324" i="9"/>
  <c r="C323" i="9"/>
  <c r="D323" i="9"/>
  <c r="J323" i="9"/>
  <c r="C322" i="9"/>
  <c r="D322" i="9"/>
  <c r="J322" i="9"/>
  <c r="C321" i="9"/>
  <c r="D321" i="9"/>
  <c r="J321" i="9"/>
  <c r="C320" i="9"/>
  <c r="D320" i="9"/>
  <c r="J320" i="9"/>
  <c r="C319" i="9"/>
  <c r="D319" i="9"/>
  <c r="J319" i="9"/>
  <c r="C318" i="9"/>
  <c r="D318" i="9"/>
  <c r="J318" i="9"/>
  <c r="C317" i="9"/>
  <c r="D317" i="9"/>
  <c r="J317" i="9"/>
  <c r="C316" i="9"/>
  <c r="D316" i="9"/>
  <c r="J316" i="9"/>
  <c r="C315" i="9"/>
  <c r="D315" i="9"/>
  <c r="J315" i="9"/>
  <c r="C314" i="9"/>
  <c r="D314" i="9"/>
  <c r="J314" i="9"/>
  <c r="C313" i="9"/>
  <c r="D313" i="9"/>
  <c r="J313" i="9"/>
  <c r="C312" i="9"/>
  <c r="D312" i="9"/>
  <c r="J312" i="9"/>
  <c r="C311" i="9"/>
  <c r="D311" i="9"/>
  <c r="J311" i="9"/>
  <c r="C310" i="9"/>
  <c r="D310" i="9"/>
  <c r="J310" i="9"/>
  <c r="C309" i="9"/>
  <c r="D309" i="9"/>
  <c r="J309" i="9"/>
  <c r="C308" i="9"/>
  <c r="D308" i="9"/>
  <c r="J308" i="9"/>
  <c r="C307" i="9"/>
  <c r="D307" i="9"/>
  <c r="J307" i="9"/>
  <c r="C306" i="9"/>
  <c r="D306" i="9"/>
  <c r="J306" i="9"/>
  <c r="C305" i="9"/>
  <c r="D305" i="9"/>
  <c r="J305" i="9"/>
  <c r="C304" i="9"/>
  <c r="D304" i="9"/>
  <c r="J304" i="9"/>
  <c r="C303" i="9"/>
  <c r="D303" i="9"/>
  <c r="J303" i="9"/>
  <c r="C302" i="9"/>
  <c r="D302" i="9"/>
  <c r="J302" i="9"/>
  <c r="C301" i="9"/>
  <c r="D301" i="9"/>
  <c r="J301" i="9"/>
  <c r="H1" i="1" a="1"/>
  <c r="H1" i="1" s="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<sst xmlns="http://schemas.openxmlformats.org/spreadsheetml/2006/main" count="1921" uniqueCount="176">
  <si>
    <t>Analyst Name</t>
  </si>
  <si>
    <t>Deloitte Email ID</t>
  </si>
  <si>
    <t>Module</t>
  </si>
  <si>
    <t>Location</t>
  </si>
  <si>
    <t>Active/Inactive</t>
  </si>
  <si>
    <t>Lead</t>
  </si>
  <si>
    <t>Nitish Kumar</t>
  </si>
  <si>
    <t>nitishkumar44@deloitte.com</t>
  </si>
  <si>
    <t>Reporting</t>
  </si>
  <si>
    <t>BLR</t>
  </si>
  <si>
    <t>Active</t>
  </si>
  <si>
    <t>Bharti Kumari</t>
  </si>
  <si>
    <t>bharkumari@deloitte.com</t>
  </si>
  <si>
    <t>Sruthi G</t>
  </si>
  <si>
    <t>srug@deloitte.com</t>
  </si>
  <si>
    <t>Jagannath Belel</t>
  </si>
  <si>
    <t>Balagopalan, Akhila</t>
  </si>
  <si>
    <t>abalagopalan@deloitte.com</t>
  </si>
  <si>
    <t>jbelel@deloitte.com</t>
  </si>
  <si>
    <t>MUM</t>
  </si>
  <si>
    <t>Tanima Debmallik/Nitish Kumar</t>
  </si>
  <si>
    <t>Vaibhav Balaso Dongale</t>
  </si>
  <si>
    <t>vbalasodongale@deloitte.com</t>
  </si>
  <si>
    <t>HYD</t>
  </si>
  <si>
    <t>Inactive</t>
  </si>
  <si>
    <t>Priyanka Pravallika, Adari</t>
  </si>
  <si>
    <t>apriyankapravalli@deloitte.com</t>
  </si>
  <si>
    <t>Sanchi Yadav</t>
  </si>
  <si>
    <t>sancyadav@deloitte.com</t>
  </si>
  <si>
    <t>Gollapudi, Gireesh</t>
  </si>
  <si>
    <t>gigollapudi@deloitte.com</t>
  </si>
  <si>
    <t>Rachana, Golla</t>
  </si>
  <si>
    <t>racharachana@deloitte.com</t>
  </si>
  <si>
    <t>Parth Zalavadia</t>
  </si>
  <si>
    <t>pjagdishzalavadia@deloitte.com</t>
  </si>
  <si>
    <t>Bridges</t>
  </si>
  <si>
    <t>Paul Jayaraj</t>
  </si>
  <si>
    <t>jpaul4@deloitte.com</t>
  </si>
  <si>
    <t>Harshit Malpani</t>
  </si>
  <si>
    <t>hamalpani@deloitte.com</t>
  </si>
  <si>
    <t>MyChart</t>
  </si>
  <si>
    <t>Pavan Kumar</t>
  </si>
  <si>
    <t>mpavkumar@deloitte.com</t>
  </si>
  <si>
    <t>Friendsis Rai</t>
  </si>
  <si>
    <t>frai@deloitte.com</t>
  </si>
  <si>
    <t>Divya Maheshwari</t>
  </si>
  <si>
    <t>divmaheshwari@deloitte.com</t>
  </si>
  <si>
    <t>GUR</t>
  </si>
  <si>
    <t>Ujjwal waikar</t>
  </si>
  <si>
    <t>dwaikar@deloitte.com</t>
  </si>
  <si>
    <t>SER</t>
  </si>
  <si>
    <t>Ankita Roy</t>
  </si>
  <si>
    <t>Rajitha D</t>
  </si>
  <si>
    <t>Drajitha@deloitte.com</t>
  </si>
  <si>
    <t>Lavleen Kaur</t>
  </si>
  <si>
    <t>lakaur@deloitte.com</t>
  </si>
  <si>
    <t>Sanjay Singhal</t>
  </si>
  <si>
    <t>sanjasinghal@deloitte.com</t>
  </si>
  <si>
    <t>Robin babu</t>
  </si>
  <si>
    <t>rmbabu@deloitte.com</t>
  </si>
  <si>
    <t>ECLink</t>
  </si>
  <si>
    <t>Pavani B Raj</t>
  </si>
  <si>
    <t>pbraj@deloitte.com</t>
  </si>
  <si>
    <t>Automation</t>
  </si>
  <si>
    <t>Tanu Gupta</t>
  </si>
  <si>
    <t>tgupta10@deloitte.com</t>
  </si>
  <si>
    <t>Akshaya Kumar</t>
  </si>
  <si>
    <t>akshayakumar@deloitte.com</t>
  </si>
  <si>
    <t>Anusree Saha</t>
  </si>
  <si>
    <t>anussaha@deloitte.com</t>
  </si>
  <si>
    <t>Amisha Shaw</t>
  </si>
  <si>
    <t>amisshaw@deloitte.com</t>
  </si>
  <si>
    <t>Sujitha Satti</t>
  </si>
  <si>
    <t>susujitha@deloitte.com</t>
  </si>
  <si>
    <t>QA</t>
  </si>
  <si>
    <t>Tanuja, Sunkara</t>
  </si>
  <si>
    <t>stanuja@deloitte.com</t>
  </si>
  <si>
    <t>ankitaroy2@deloitte.com</t>
  </si>
  <si>
    <t>EC/DC</t>
  </si>
  <si>
    <t>Pragati Rawat</t>
  </si>
  <si>
    <t>pragrawat@deloitte.com</t>
  </si>
  <si>
    <t>Charan S</t>
  </si>
  <si>
    <t>scharan1@deloitte.com</t>
  </si>
  <si>
    <t>Meghana Baddam</t>
  </si>
  <si>
    <t>bmeghana@deloitte.com</t>
  </si>
  <si>
    <t>Arittri Das</t>
  </si>
  <si>
    <t>arittdas@deloitte.com</t>
  </si>
  <si>
    <t>ASAP</t>
  </si>
  <si>
    <t>Abburi Durga Grishmitha</t>
  </si>
  <si>
    <t>agrishmitha@deloitte.com</t>
  </si>
  <si>
    <t>Kiran Kumar S</t>
  </si>
  <si>
    <t>kikumars@deloitte.com</t>
  </si>
  <si>
    <t>Bhalerao, Rachana</t>
  </si>
  <si>
    <t>rabhalerao@deloitte.com</t>
  </si>
  <si>
    <t>Team member name</t>
  </si>
  <si>
    <t>IRPM Lead</t>
  </si>
  <si>
    <t>Parth</t>
  </si>
  <si>
    <t>Nitish</t>
  </si>
  <si>
    <t>Tanuja Sunkara</t>
  </si>
  <si>
    <t>Ankita</t>
  </si>
  <si>
    <t>Rachna Golla</t>
  </si>
  <si>
    <t>Ujjwal Waikar</t>
  </si>
  <si>
    <t>Jagannath</t>
  </si>
  <si>
    <t>Anushree Saha</t>
  </si>
  <si>
    <t>Gireesh Gollapudi</t>
  </si>
  <si>
    <t>Divya Maheswari</t>
  </si>
  <si>
    <t>Robin M Babu</t>
  </si>
  <si>
    <t>Paul J</t>
  </si>
  <si>
    <t>Tanima</t>
  </si>
  <si>
    <t>CHRISTUS Health PTO entry form</t>
  </si>
  <si>
    <t>Analyst Name:</t>
  </si>
  <si>
    <t>PTO Type:</t>
  </si>
  <si>
    <t>Emergency</t>
  </si>
  <si>
    <t>From Date:</t>
  </si>
  <si>
    <t>Format: (MM/DD/YYYY)</t>
  </si>
  <si>
    <t>To Date:</t>
  </si>
  <si>
    <t>Reason of PTO:</t>
  </si>
  <si>
    <t>Free Text</t>
  </si>
  <si>
    <t>Status:</t>
  </si>
  <si>
    <t>Draft</t>
  </si>
  <si>
    <t>If your leave is more than 5 days, please send email to your manager for approval</t>
  </si>
  <si>
    <t>Deloitte Email ID:</t>
  </si>
  <si>
    <t>Module:</t>
  </si>
  <si>
    <t>Location:</t>
  </si>
  <si>
    <t>PTO Count</t>
  </si>
  <si>
    <t>Email Status</t>
  </si>
  <si>
    <t>Approver</t>
  </si>
  <si>
    <t>PTO</t>
  </si>
  <si>
    <t>Approved</t>
  </si>
  <si>
    <t>Sick Leave</t>
  </si>
  <si>
    <t>Half Day</t>
  </si>
  <si>
    <t xml:space="preserve">Maternity </t>
  </si>
  <si>
    <t>Maternity Leave</t>
  </si>
  <si>
    <t>Vacation</t>
  </si>
  <si>
    <t>Cousins Wedding</t>
  </si>
  <si>
    <t>To attend Wedding</t>
  </si>
  <si>
    <t>Sent</t>
  </si>
  <si>
    <t>Personal reason</t>
  </si>
  <si>
    <t>Going to my Home town</t>
  </si>
  <si>
    <t>Going home for Holi festival</t>
  </si>
  <si>
    <t>Sick leave</t>
  </si>
  <si>
    <t>Firm Holiday Date</t>
  </si>
  <si>
    <t>New Year's Day - (HYD,BLR,MUM,GUR,CHE,PUN)</t>
  </si>
  <si>
    <t>Makara Sankranthi/Pongal - (BLR,CHE,GUR,HYD,MUM,PUN)</t>
  </si>
  <si>
    <t>Netaji Subhas Chandra Bose Jayanti - (KOL)</t>
  </si>
  <si>
    <t>Holi/Doljatra - (BLR,GUR,KOL,MUM,PUN)</t>
  </si>
  <si>
    <t>Eid Ul Fitr - (HYD,BLR,MUM,GUR,CHE,PUN)</t>
  </si>
  <si>
    <t>Tamil New Year/Ambedkar Jayanti Day - (CHE,GUR)</t>
  </si>
  <si>
    <t>May/Labor Day - (HYD,BLR,MUM,GUR,CHE,PUN)</t>
  </si>
  <si>
    <t>Telangana Formation Day - (HYD)</t>
  </si>
  <si>
    <t>Independece Day -(HYD,BLR,MUM,GUR,CHE,PUN)</t>
  </si>
  <si>
    <t>Ganesh Chaturthi -(BLR,CHE,HYD,MUM,PUN)</t>
  </si>
  <si>
    <t>Maha Navami -(KOL)</t>
  </si>
  <si>
    <t>Dussera/Gandhi Jayanti - (HYD,BLR,MUM,GUR,CHE,PUN)</t>
  </si>
  <si>
    <t>Diwali - (BLR,CHE,GUR,HYD,KOL,MUM,PUN)</t>
  </si>
  <si>
    <t>Christmas Day - (BLR,CHE,GUR,HYD,KOL,MUM,PUN)</t>
  </si>
  <si>
    <t>Winter Disconnect - (BLR,CHE,GUR,HYD,KOL,MUM,PUN)</t>
  </si>
  <si>
    <t>New Year's Day</t>
  </si>
  <si>
    <t>Republic Day</t>
  </si>
  <si>
    <t>Holi/Dolijatra - (BLR,CHE,HYD,MUM,PUN,KOL)</t>
  </si>
  <si>
    <t>Holi - (GUR)</t>
  </si>
  <si>
    <t>Ugadi/Gudi Padwa - (BLR,HYD,MUM,PUN)</t>
  </si>
  <si>
    <t>Tamil New Year / Ambedkar Jayanti - (CHE,GUR)</t>
  </si>
  <si>
    <t>May/ Labor Day</t>
  </si>
  <si>
    <t>Rakshabandhan - (GUR,KOL)</t>
  </si>
  <si>
    <t>Ganesh Chaturthi - (BLR,CHE,MUM,PUN)</t>
  </si>
  <si>
    <t>Gandhi Jayanti</t>
  </si>
  <si>
    <t>Dussehra - (CHE,GUR,HYD,MUM,PUN,KOL)</t>
  </si>
  <si>
    <t>Dussehra - (KOL, BLR)</t>
  </si>
  <si>
    <t>Deepawali</t>
  </si>
  <si>
    <t>Christmas Day</t>
  </si>
  <si>
    <t>Collective Disconnect</t>
  </si>
  <si>
    <t xml:space="preserve"> Sick Leave</t>
  </si>
  <si>
    <t>Emergency PTO</t>
  </si>
  <si>
    <t>Marriage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</si>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</sst>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rgb="FF0563C1"/>
      <name val="Calibri"/>
      <family val="2"/>
    </font>
    <font>
      <sz val="12"/>
      <color rgb="FF000000"/>
      <name val="Calibri"/>
      <family val="2"/>
    </font>
    <font>
      <b/>
      <sz val="11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3"/>
      <color theme="3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5"/>
      <color rgb="FFFF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</fills>
  <borders count="2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0" borderId="19" applyNumberFormat="0" applyFill="0" applyAlignment="0" applyProtection="0"/>
  </cellStyleXfs>
  <cellXfs count="61">
    <xf numFmtId="0" fontId="0" fillId="0" borderId="0" xfId="0"/>
    <xf numFmtId="0" fontId="4" fillId="2" borderId="1" xfId="0" applyFont="1" applyFill="1" applyBorder="1"/>
    <xf numFmtId="0" fontId="1" fillId="2" borderId="1" xfId="1" applyFill="1" applyBorder="1" applyAlignment="1"/>
    <xf numFmtId="0" fontId="4" fillId="0" borderId="1" xfId="0" applyFont="1" applyBorder="1"/>
    <xf numFmtId="0" fontId="1" fillId="0" borderId="1" xfId="1" applyBorder="1" applyAlignment="1"/>
    <xf numFmtId="0" fontId="3" fillId="0" borderId="1" xfId="0" applyFont="1" applyBorder="1"/>
    <xf numFmtId="0" fontId="2" fillId="0" borderId="2" xfId="0" applyFont="1" applyBorder="1"/>
    <xf numFmtId="0" fontId="1" fillId="0" borderId="3" xfId="1" applyBorder="1" applyAlignme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5" fillId="3" borderId="4" xfId="0" applyFont="1" applyFill="1" applyBorder="1"/>
    <xf numFmtId="0" fontId="5" fillId="3" borderId="5" xfId="0" applyFont="1" applyFill="1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/>
    <xf numFmtId="14" fontId="0" fillId="0" borderId="12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15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4" fontId="0" fillId="0" borderId="0" xfId="0" applyNumberFormat="1" applyAlignment="1">
      <alignment horizontal="center" vertical="center" wrapText="1"/>
    </xf>
    <xf numFmtId="0" fontId="7" fillId="3" borderId="4" xfId="0" applyFont="1" applyFill="1" applyBorder="1"/>
    <xf numFmtId="0" fontId="8" fillId="5" borderId="19" xfId="2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0" borderId="21" xfId="0" applyBorder="1"/>
    <xf numFmtId="0" fontId="0" fillId="0" borderId="17" xfId="0" applyBorder="1"/>
    <xf numFmtId="0" fontId="3" fillId="0" borderId="7" xfId="0" applyFont="1" applyBorder="1"/>
    <xf numFmtId="0" fontId="3" fillId="0" borderId="8" xfId="0" applyFont="1" applyBorder="1"/>
    <xf numFmtId="0" fontId="2" fillId="0" borderId="10" xfId="0" applyFont="1" applyBorder="1"/>
    <xf numFmtId="0" fontId="2" fillId="0" borderId="22" xfId="0" applyFont="1" applyBorder="1"/>
    <xf numFmtId="0" fontId="0" fillId="0" borderId="12" xfId="0" applyBorder="1"/>
    <xf numFmtId="0" fontId="0" fillId="0" borderId="15" xfId="0" applyBorder="1"/>
    <xf numFmtId="0" fontId="10" fillId="7" borderId="23" xfId="0" applyFont="1" applyFill="1" applyBorder="1" applyAlignment="1">
      <alignment vertical="center"/>
    </xf>
    <xf numFmtId="0" fontId="11" fillId="8" borderId="24" xfId="0" applyFont="1" applyFill="1" applyBorder="1" applyAlignment="1">
      <alignment vertical="center"/>
    </xf>
    <xf numFmtId="0" fontId="11" fillId="8" borderId="25" xfId="0" applyFont="1" applyFill="1" applyBorder="1" applyAlignment="1">
      <alignment vertical="center"/>
    </xf>
    <xf numFmtId="0" fontId="11" fillId="8" borderId="26" xfId="0" applyFont="1" applyFill="1" applyBorder="1" applyAlignment="1">
      <alignment vertical="center"/>
    </xf>
    <xf numFmtId="0" fontId="8" fillId="5" borderId="17" xfId="2" applyFill="1" applyBorder="1" applyAlignment="1">
      <alignment horizontal="center" vertical="center" wrapText="1"/>
    </xf>
    <xf numFmtId="0" fontId="8" fillId="5" borderId="27" xfId="2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14" fontId="0" fillId="0" borderId="1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49" fontId="0" fillId="6" borderId="0" xfId="0" applyNumberFormat="1" applyFill="1" applyAlignment="1">
      <alignment horizontal="center"/>
    </xf>
    <xf numFmtId="0" fontId="7" fillId="0" borderId="12" xfId="0" applyFont="1" applyBorder="1"/>
    <xf numFmtId="0" fontId="1" fillId="0" borderId="15" xfId="1" applyNumberFormat="1" applyBorder="1" applyAlignment="1">
      <alignment horizontal="center"/>
    </xf>
    <xf numFmtId="0" fontId="1" fillId="0" borderId="1" xfId="1" applyBorder="1" applyAlignment="1">
      <alignment horizontal="center"/>
    </xf>
    <xf numFmtId="0" fontId="6" fillId="4" borderId="20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3">
    <cellStyle name="Heading 2" xfId="2" builtinId="17"/>
    <cellStyle name="Hyperlink" xfId="1" builtinId="8"/>
    <cellStyle name="Normal" xfId="0" builtinId="0"/>
  </cellStyles>
  <dxfs count="37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</dxfs>
  <tableStyles count="0" defaultTableStyle="TableStyleMedium2" defaultPivotStyle="PivotStyleMedium9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1435100</xdr:colOff>
      <xdr:row>16</xdr:row>
      <xdr:rowOff>44450</xdr:rowOff>
    </xdr:from>
    <xdr:to>
      <xdr:col>3</xdr:col>
      <xdr:colOff>88900</xdr:colOff>
      <xdr:row>17</xdr:row>
      <xdr:rowOff>82550</xdr:rowOff>
    </xdr:to>
    <xdr:sp macro="[0]!Submit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3715D04-8D13-0AFB-C786-11E58CC24D55}"/>
            </a:ext>
          </a:extLst>
        </xdr:cNvPr>
        <xdr:cNvSpPr/>
      </xdr:nvSpPr>
      <xdr:spPr>
        <a:xfrm>
          <a:off x="2044700" y="2940050"/>
          <a:ext cx="1339850" cy="219075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bg1"/>
              </a:solidFill>
              <a:latin typeface="+mn-lt"/>
              <a:ea typeface="+mn-lt"/>
              <a:cs typeface="+mn-lt"/>
            </a:rPr>
            <a:t>Submit</a:t>
          </a:r>
        </a:p>
      </xdr:txBody>
    </xdr:sp>
    <xdr:clientData/>
  </xdr:twoCellAnchor>
  <xdr:twoCellAnchor>
    <xdr:from>
      <xdr:col>3</xdr:col>
      <xdr:colOff>917575</xdr:colOff>
      <xdr:row>16</xdr:row>
      <xdr:rowOff>44450</xdr:rowOff>
    </xdr:from>
    <xdr:to>
      <xdr:col>3</xdr:col>
      <xdr:colOff>2187575</xdr:colOff>
      <xdr:row>17</xdr:row>
      <xdr:rowOff>88900</xdr:rowOff>
    </xdr:to>
    <xdr:sp macro="[0]!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D2C287-4FC1-47A4-A6F8-740B65B3998C}"/>
            </a:ext>
            <a:ext uri="{147F2762-F138-4A5C-976F-8EAC2B608ADB}">
              <a16:predDERef xmlns:a16="http://schemas.microsoft.com/office/drawing/2014/main" pred="{A3715D04-8D13-0AFB-C786-11E58CC24D55}"/>
            </a:ext>
          </a:extLst>
        </xdr:cNvPr>
        <xdr:cNvSpPr/>
      </xdr:nvSpPr>
      <xdr:spPr>
        <a:xfrm>
          <a:off x="4213225" y="2940050"/>
          <a:ext cx="1270000" cy="225425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DC536D-87F7-4040-84BC-DAE9A82A0044}" name="Table1" displayName="Table1" ref="A1:F37" totalsRowShown="0" headerRowDxfId="36" headerRowBorderDxfId="35" tableBorderDxfId="34" totalsRowBorderDxfId="33">
  <autoFilter ref="A1:F37" xr:uid="{D7DC536D-87F7-4040-84BC-DAE9A82A0044}"/>
  <tableColumns count="6">
    <tableColumn id="1" xr3:uid="{9E717F08-438A-4B45-BBD6-4ABB9C219144}" name="Analyst Name" dataDxfId="32"/>
    <tableColumn id="2" xr3:uid="{D0864B47-28FD-4220-93D8-E05F2067033F}" name="Deloitte Email ID" dataDxfId="31" dataCellStyle="Hyperlink"/>
    <tableColumn id="3" xr3:uid="{80BADFEE-2C55-482D-AAF4-421DF45ACA0C}" name="Module" dataDxfId="30"/>
    <tableColumn id="4" xr3:uid="{B714C2AB-F468-4EE7-B1A2-0DA654CEEF77}" name="Location" dataDxfId="29"/>
    <tableColumn id="5" xr3:uid="{5411DB95-F600-4C57-95DD-114788D4D0EB}" name="Active/Inactive" dataDxfId="28"/>
    <tableColumn id="6" xr3:uid="{8EFF0261-70DE-4BA8-8FE0-2C047493EE82}" name="Lead" dataDxfId="2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CDC0C4-28B3-442C-92AA-BCAA7C016623}" name="Christus_Emp_Table" displayName="Christus_Emp_Table" ref="A1:L393" totalsRowShown="0" headerRowDxfId="26" headerRowBorderDxfId="25" tableBorderDxfId="24" totalsRowBorderDxfId="23">
  <autoFilter ref="A1:L393" xr:uid="{B0CDC0C4-28B3-442C-92AA-BCAA7C016623}"/>
  <tableColumns count="12">
    <tableColumn id="1" xr3:uid="{FC38B242-8027-4DD2-B018-E1D0B6870AAE}" name="Analyst Name:" dataDxfId="22"/>
    <tableColumn id="2" xr3:uid="{C520ED34-5DB6-45B5-B2DF-6C27DBC3849E}" name="Deloitte Email ID:" dataDxfId="21">
      <calculatedColumnFormula>_xlfn.XLOOKUP(Christus_Emp_Table[[#This Row],[Analyst Name:]],Table1[Analyst Name],Table1[Deloitte Email ID])</calculatedColumnFormula>
    </tableColumn>
    <tableColumn id="3" xr3:uid="{67B8A241-9DF6-442F-B33B-18EDD4086B70}" name="Module:" dataDxfId="20">
      <calculatedColumnFormula>_xlfn.XLOOKUP(Christus_Emp_Table[[#This Row],[Analyst Name:]],Table1[Analyst Name],Table1[Module])</calculatedColumnFormula>
    </tableColumn>
    <tableColumn id="4" xr3:uid="{15DB2265-26BE-4063-A88E-7FDCFBD3EEAB}" name="Location:" dataDxfId="19">
      <calculatedColumnFormula>_xlfn.XLOOKUP(Christus_Emp_Table[[#This Row],[Analyst Name:]],Table1[Analyst Name],Table1[Location])</calculatedColumnFormula>
    </tableColumn>
    <tableColumn id="5" xr3:uid="{F4F7444F-6CFE-41E5-ADEA-8FAFE860CAD6}" name="PTO Type:" dataDxfId="18"/>
    <tableColumn id="6" xr3:uid="{A562D46E-E4DC-4D26-8DC0-C8C559CBDB29}" name="From Date:" dataDxfId="17"/>
    <tableColumn id="7" xr3:uid="{7D3546C4-6FD3-4067-A2EF-B99043197E01}" name="To Date:" dataDxfId="16"/>
    <tableColumn id="8" xr3:uid="{4797B4C4-00D1-4466-93CC-E537E2BE3207}" name="Reason of PTO:" dataDxfId="15"/>
    <tableColumn id="9" xr3:uid="{FEA33EE0-8424-4A19-9CAE-7F783A9DF7FC}" name="Status:" dataDxfId="14"/>
    <tableColumn id="10" xr3:uid="{A6684D09-5037-40E0-BF55-3F727F8B3E9A}" name="PTO Count" dataDxfId="13">
      <calculatedColumnFormula>NETWORKDAYS(Christus_Emp_Table[[#This Row],[From Date:]],Christus_Emp_Table[[#This Row],[To Date:]])</calculatedColumnFormula>
    </tableColumn>
    <tableColumn id="11" xr3:uid="{75D392F9-6F54-49F9-9690-8CB4EA85178D}" name="Email Status" dataDxfId="12"/>
    <tableColumn id="12" xr3:uid="{961BD32C-7A38-496F-895F-DBBAD35DCBC6}" name="Approver" dataDxfId="11">
      <calculatedColumnFormula>_xlfn.XLOOKUP(Christus_Emp_Table[[#This Row],[Analyst Name:]],Table1[Analyst Name],Table1[Lead])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07BDFC-172D-487C-BFB1-9350BA0BB9A7}" name="Firm_Holiday_Table" displayName="Firm_Holiday_Table" ref="A1:B20" totalsRowShown="0" headerRowDxfId="10" dataDxfId="9">
  <autoFilter ref="A1:B20" xr:uid="{3907BDFC-172D-487C-BFB1-9350BA0BB9A7}"/>
  <tableColumns count="2">
    <tableColumn id="1" xr3:uid="{5C703714-6DA4-470F-AC1A-63C46529586C}" name="Firm Holiday Date" dataDxfId="8"/>
    <tableColumn id="2" xr3:uid="{1D823D9C-E8BC-4CBF-99F0-0015296BF9F6}" name="Location" dataDxfId="7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795AA2-C56E-40F7-B516-EA01B546905F}" name="Firm_Holiday_Table8" displayName="Firm_Holiday_Table8" ref="A1:B22" totalsRowShown="0" headerRowDxfId="6" dataDxfId="4" headerRowBorderDxfId="5" tableBorderDxfId="3" totalsRowBorderDxfId="2">
  <autoFilter ref="A1:B22" xr:uid="{B4795AA2-C56E-40F7-B516-EA01B546905F}"/>
  <tableColumns count="2">
    <tableColumn id="1" xr3:uid="{911518EE-7E79-4D0D-A31B-66E5D36DF9AC}" name="Firm Holiday Date" dataDxfId="1"/>
    <tableColumn id="2" xr3:uid="{B9B78B48-25A0-43A5-B6C3-1CB21CF97DB9}" name="Location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rittdas@deloitte.com" TargetMode="External"/><Relationship Id="rId3" Type="http://schemas.openxmlformats.org/officeDocument/2006/relationships/hyperlink" Target="mailto:anussaha@deloitte.com" TargetMode="External"/><Relationship Id="rId7" Type="http://schemas.openxmlformats.org/officeDocument/2006/relationships/hyperlink" Target="mailto:pragrawat@deloitte.com" TargetMode="External"/><Relationship Id="rId2" Type="http://schemas.openxmlformats.org/officeDocument/2006/relationships/hyperlink" Target="mailto:akshayakumar@deloitte.com" TargetMode="External"/><Relationship Id="rId1" Type="http://schemas.openxmlformats.org/officeDocument/2006/relationships/hyperlink" Target="mailto:gigollapudi@deloitte.com" TargetMode="External"/><Relationship Id="rId6" Type="http://schemas.openxmlformats.org/officeDocument/2006/relationships/hyperlink" Target="mailto:ankitaroy2@deloitte.com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stanuja@deloitte.com" TargetMode="External"/><Relationship Id="rId10" Type="http://schemas.openxmlformats.org/officeDocument/2006/relationships/hyperlink" Target="mailto:kikumars@deloitte.com" TargetMode="External"/><Relationship Id="rId4" Type="http://schemas.openxmlformats.org/officeDocument/2006/relationships/hyperlink" Target="mailto:susujitha@deloitte.com" TargetMode="External"/><Relationship Id="rId9" Type="http://schemas.openxmlformats.org/officeDocument/2006/relationships/hyperlink" Target="mailto:agrishmitha@deloitte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scharan1@deloitte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5D423-C86B-415E-B2AD-B71C84CF1896}">
  <sheetPr codeName="Sheet4"/>
  <dimension ref="B1:E48"/>
  <sheetViews>
    <sheetView showGridLines="0" zoomScale="71" zoomScaleNormal="100" workbookViewId="0">
      <selection activeCell="H6" sqref="H6"/>
    </sheetView>
  </sheetViews>
  <sheetFormatPr defaultRowHeight="14.5" x14ac:dyDescent="0.35"/>
  <cols>
    <col min="2" max="2" width="31.26953125" style="9" customWidth="1"/>
    <col min="4" max="4" width="43" customWidth="1"/>
    <col min="5" max="5" width="23" customWidth="1"/>
  </cols>
  <sheetData>
    <row r="1" spans="2:5" x14ac:dyDescent="0.35">
      <c r="B1" s="57" t="s">
        <v>109</v>
      </c>
      <c r="C1" s="58"/>
      <c r="D1" s="58"/>
      <c r="E1" s="59"/>
    </row>
    <row r="2" spans="2:5" x14ac:dyDescent="0.35">
      <c r="B2" s="12"/>
      <c r="C2" s="13"/>
      <c r="D2" s="13"/>
      <c r="E2" s="35"/>
    </row>
    <row r="3" spans="2:5" x14ac:dyDescent="0.35">
      <c r="B3" s="32" t="s">
        <v>110</v>
      </c>
      <c r="D3" s="33" t="s">
        <v>70</v>
      </c>
      <c r="E3" s="35"/>
    </row>
    <row r="4" spans="2:5" x14ac:dyDescent="0.35">
      <c r="B4" s="14"/>
      <c r="E4" s="35"/>
    </row>
    <row r="5" spans="2:5" x14ac:dyDescent="0.35">
      <c r="B5" s="32" t="s">
        <v>111</v>
      </c>
      <c r="D5" s="33"/>
      <c r="E5" s="35"/>
    </row>
    <row r="6" spans="2:5" x14ac:dyDescent="0.35">
      <c r="B6" s="14"/>
      <c r="E6" s="35"/>
    </row>
    <row r="7" spans="2:5" x14ac:dyDescent="0.35">
      <c r="B7" s="32" t="s">
        <v>113</v>
      </c>
      <c r="D7" s="34"/>
      <c r="E7" s="35" t="s">
        <v>114</v>
      </c>
    </row>
    <row r="8" spans="2:5" x14ac:dyDescent="0.35">
      <c r="B8" s="14"/>
      <c r="E8" s="35"/>
    </row>
    <row r="9" spans="2:5" x14ac:dyDescent="0.35">
      <c r="B9" s="32" t="s">
        <v>115</v>
      </c>
      <c r="D9" s="34"/>
      <c r="E9" s="35" t="s">
        <v>114</v>
      </c>
    </row>
    <row r="10" spans="2:5" x14ac:dyDescent="0.35">
      <c r="B10" s="14"/>
      <c r="E10" s="35"/>
    </row>
    <row r="11" spans="2:5" x14ac:dyDescent="0.35">
      <c r="B11" s="32" t="s">
        <v>116</v>
      </c>
      <c r="D11" s="33"/>
      <c r="E11" s="35" t="s">
        <v>117</v>
      </c>
    </row>
    <row r="12" spans="2:5" x14ac:dyDescent="0.35">
      <c r="B12" s="14"/>
      <c r="E12" s="35"/>
    </row>
    <row r="13" spans="2:5" x14ac:dyDescent="0.35">
      <c r="B13" s="32" t="s">
        <v>118</v>
      </c>
      <c r="D13" s="53"/>
      <c r="E13" s="35"/>
    </row>
    <row r="14" spans="2:5" x14ac:dyDescent="0.35">
      <c r="B14" s="15"/>
      <c r="C14" s="16"/>
      <c r="D14" s="16"/>
      <c r="E14" s="36"/>
    </row>
    <row r="18" spans="2:5" x14ac:dyDescent="0.35">
      <c r="D18" s="9"/>
    </row>
    <row r="21" spans="2:5" ht="19.5" x14ac:dyDescent="0.35">
      <c r="B21" s="60" t="s">
        <v>120</v>
      </c>
      <c r="C21" s="60"/>
      <c r="D21" s="60"/>
      <c r="E21" s="60"/>
    </row>
    <row r="47" spans="4:4" x14ac:dyDescent="0.35">
      <c r="D47" s="56"/>
    </row>
    <row r="48" spans="4:4" x14ac:dyDescent="0.35">
      <c r="D48" s="56"/>
    </row>
  </sheetData>
  <mergeCells count="3">
    <mergeCell ref="D47:D48"/>
    <mergeCell ref="B1:E1"/>
    <mergeCell ref="B21:E21"/>
  </mergeCells>
  <dataValidations count="4">
    <dataValidation type="list" allowBlank="1" showInputMessage="1" showErrorMessage="1" promptTitle="Keep status as Draft" sqref="D13" xr:uid="{80CC52E3-0727-4675-8819-9EFBD3391B9A}">
      <formula1>"Draft"</formula1>
    </dataValidation>
    <dataValidation type="list" allowBlank="1" showInputMessage="1" showErrorMessage="1" prompt="Enter PTO type" sqref="D5" xr:uid="{F85144EC-5E46-4B16-B2E1-BE8D80EF6D73}">
      <formula1>"PTO, Half Day, Maternity, Emergency,"</formula1>
    </dataValidation>
    <dataValidation allowBlank="1" showInputMessage="1" showErrorMessage="1" prompt="Reason for PTO" sqref="D11" xr:uid="{06A66391-4CD0-4DE6-833B-9E18341F6B73}"/>
    <dataValidation type="date" allowBlank="1" showInputMessage="1" showErrorMessage="1" prompt="PTO start date" sqref="D7 D9" xr:uid="{3C3744A9-67BD-4ABD-A9B6-E40C3BEE20A3}">
      <formula1>36526</formula1>
      <formula2>73051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2CC2F1E-D46B-4C5B-B7FB-E11F98CF1C2D}">
          <x14:formula1>
            <xm:f>_xlfn._xlws.FILTER(Analyst_Details!$A$2:$A$31,Analyst_Details!$E$2:$E$31="Active")</xm:f>
          </x14:formula1>
          <xm:sqref>G3</xm:sqref>
        </x14:dataValidation>
        <x14:dataValidation type="list" allowBlank="1" showInputMessage="1" showErrorMessage="1" xr:uid="{81FD7471-2994-41CB-8C13-89FA5E7BB8B6}">
          <x14:formula1>
            <xm:f>Analyst_Details!$H:$H</xm:f>
          </x14:formula1>
          <xm:sqref>L2</xm:sqref>
        </x14:dataValidation>
        <x14:dataValidation type="list" allowBlank="1" showInputMessage="1" showErrorMessage="1" prompt="Enter your name" xr:uid="{9E1BF667-6B95-4F63-9930-977ECA1AC5F9}">
          <x14:formula1>
            <xm:f>Analyst_Details!$H:$H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L68"/>
  <sheetViews>
    <sheetView topLeftCell="A7" workbookViewId="0">
      <selection activeCell="E14" sqref="E14"/>
    </sheetView>
  </sheetViews>
  <sheetFormatPr defaultRowHeight="14.5" x14ac:dyDescent="0.35"/>
  <cols>
    <col min="1" max="1" width="25.7265625" bestFit="1" customWidth="1"/>
    <col min="2" max="2" width="30.26953125" bestFit="1" customWidth="1"/>
    <col min="3" max="4" width="11.26953125" customWidth="1"/>
    <col min="5" max="5" width="17" customWidth="1"/>
    <col min="6" max="6" width="29.7265625" customWidth="1"/>
    <col min="8" max="8" width="20.26953125" hidden="1" customWidth="1"/>
    <col min="11" max="11" width="20" bestFit="1" customWidth="1"/>
    <col min="12" max="12" width="10.453125" bestFit="1" customWidth="1"/>
  </cols>
  <sheetData>
    <row r="1" spans="1:8" x14ac:dyDescent="0.35">
      <c r="A1" s="6" t="s">
        <v>0</v>
      </c>
      <c r="B1" s="6" t="s">
        <v>1</v>
      </c>
      <c r="C1" s="6" t="s">
        <v>2</v>
      </c>
      <c r="D1" s="6" t="s">
        <v>3</v>
      </c>
      <c r="E1" s="39" t="s">
        <v>4</v>
      </c>
      <c r="F1" s="40" t="s">
        <v>5</v>
      </c>
      <c r="H1" t="str" cm="1">
        <f t="array" ref="H1:H31">_xlfn._xlws.FILTER(Table1[Analyst Name],Table1[Active/Inactive]="Active")</f>
        <v>Nitish Kumar</v>
      </c>
    </row>
    <row r="2" spans="1:8" ht="15.5" x14ac:dyDescent="0.35">
      <c r="A2" s="29" t="s">
        <v>6</v>
      </c>
      <c r="B2" s="1" t="s">
        <v>7</v>
      </c>
      <c r="C2" s="5" t="s">
        <v>8</v>
      </c>
      <c r="D2" s="37" t="s">
        <v>9</v>
      </c>
      <c r="E2" s="41" t="s">
        <v>10</v>
      </c>
      <c r="F2" s="41"/>
      <c r="H2" t="str">
        <v>Bharti Kumari</v>
      </c>
    </row>
    <row r="3" spans="1:8" ht="15.5" x14ac:dyDescent="0.35">
      <c r="A3" s="10" t="s">
        <v>11</v>
      </c>
      <c r="B3" s="1" t="s">
        <v>12</v>
      </c>
      <c r="C3" s="5" t="s">
        <v>8</v>
      </c>
      <c r="D3" s="37" t="s">
        <v>9</v>
      </c>
      <c r="E3" s="41" t="s">
        <v>10</v>
      </c>
      <c r="F3" s="29" t="s">
        <v>6</v>
      </c>
      <c r="H3" t="str">
        <v>Sruthi G</v>
      </c>
    </row>
    <row r="4" spans="1:8" ht="15.5" x14ac:dyDescent="0.35">
      <c r="A4" s="10" t="s">
        <v>13</v>
      </c>
      <c r="B4" s="5" t="s">
        <v>14</v>
      </c>
      <c r="C4" s="5" t="s">
        <v>8</v>
      </c>
      <c r="D4" s="37" t="s">
        <v>9</v>
      </c>
      <c r="E4" s="41" t="s">
        <v>10</v>
      </c>
      <c r="F4" s="10" t="s">
        <v>15</v>
      </c>
      <c r="H4" t="str">
        <v>Balagopalan, Akhila</v>
      </c>
    </row>
    <row r="5" spans="1:8" ht="15.5" x14ac:dyDescent="0.35">
      <c r="A5" s="10" t="s">
        <v>16</v>
      </c>
      <c r="B5" s="1" t="s">
        <v>17</v>
      </c>
      <c r="C5" s="5" t="s">
        <v>8</v>
      </c>
      <c r="D5" s="37" t="s">
        <v>9</v>
      </c>
      <c r="E5" s="41" t="s">
        <v>10</v>
      </c>
      <c r="F5" s="10" t="s">
        <v>15</v>
      </c>
      <c r="H5" t="str">
        <v>Jagannath Belel</v>
      </c>
    </row>
    <row r="6" spans="1:8" ht="15.5" x14ac:dyDescent="0.35">
      <c r="A6" s="10" t="s">
        <v>15</v>
      </c>
      <c r="B6" s="1" t="s">
        <v>18</v>
      </c>
      <c r="C6" s="5" t="s">
        <v>8</v>
      </c>
      <c r="D6" s="37" t="s">
        <v>19</v>
      </c>
      <c r="E6" s="41" t="s">
        <v>10</v>
      </c>
      <c r="F6" s="54" t="s">
        <v>20</v>
      </c>
      <c r="H6" t="str">
        <v>Sanchi Yadav</v>
      </c>
    </row>
    <row r="7" spans="1:8" ht="15.5" x14ac:dyDescent="0.35">
      <c r="A7" s="10" t="s">
        <v>21</v>
      </c>
      <c r="B7" s="1" t="s">
        <v>22</v>
      </c>
      <c r="C7" s="5" t="s">
        <v>8</v>
      </c>
      <c r="D7" s="37" t="s">
        <v>23</v>
      </c>
      <c r="E7" s="41" t="s">
        <v>24</v>
      </c>
      <c r="F7" s="41"/>
      <c r="H7" t="str">
        <v>Gollapudi, Gireesh</v>
      </c>
    </row>
    <row r="8" spans="1:8" ht="15.5" x14ac:dyDescent="0.35">
      <c r="A8" s="10" t="s">
        <v>25</v>
      </c>
      <c r="B8" s="5" t="s">
        <v>26</v>
      </c>
      <c r="C8" s="5" t="s">
        <v>8</v>
      </c>
      <c r="D8" s="37" t="s">
        <v>23</v>
      </c>
      <c r="E8" s="41" t="s">
        <v>24</v>
      </c>
      <c r="F8" s="41"/>
      <c r="H8" t="str">
        <v>Rachana, Golla</v>
      </c>
    </row>
    <row r="9" spans="1:8" ht="15.5" x14ac:dyDescent="0.35">
      <c r="A9" s="11" t="s">
        <v>27</v>
      </c>
      <c r="B9" s="4" t="s">
        <v>28</v>
      </c>
      <c r="C9" s="5" t="s">
        <v>8</v>
      </c>
      <c r="D9" s="37" t="s">
        <v>23</v>
      </c>
      <c r="E9" s="41" t="s">
        <v>10</v>
      </c>
      <c r="F9" s="29" t="s">
        <v>6</v>
      </c>
      <c r="H9" t="str">
        <v>Parth Zalavadia</v>
      </c>
    </row>
    <row r="10" spans="1:8" ht="15.5" x14ac:dyDescent="0.35">
      <c r="A10" s="10" t="s">
        <v>29</v>
      </c>
      <c r="B10" s="2" t="s">
        <v>30</v>
      </c>
      <c r="C10" s="5" t="s">
        <v>8</v>
      </c>
      <c r="D10" s="37" t="s">
        <v>23</v>
      </c>
      <c r="E10" s="41" t="s">
        <v>10</v>
      </c>
      <c r="F10" s="10" t="s">
        <v>15</v>
      </c>
      <c r="H10" t="str">
        <v>Harshit Malpani</v>
      </c>
    </row>
    <row r="11" spans="1:8" ht="15.5" x14ac:dyDescent="0.35">
      <c r="A11" s="10" t="s">
        <v>31</v>
      </c>
      <c r="B11" s="2" t="s">
        <v>32</v>
      </c>
      <c r="C11" s="5" t="s">
        <v>8</v>
      </c>
      <c r="D11" s="37" t="s">
        <v>23</v>
      </c>
      <c r="E11" s="41" t="s">
        <v>10</v>
      </c>
      <c r="F11" s="29" t="s">
        <v>6</v>
      </c>
      <c r="H11" t="str">
        <v>Friendsis Rai</v>
      </c>
    </row>
    <row r="12" spans="1:8" ht="15.5" x14ac:dyDescent="0.35">
      <c r="A12" s="10" t="s">
        <v>33</v>
      </c>
      <c r="B12" s="1" t="s">
        <v>34</v>
      </c>
      <c r="C12" s="5" t="s">
        <v>35</v>
      </c>
      <c r="D12" s="37" t="s">
        <v>9</v>
      </c>
      <c r="E12" s="41" t="s">
        <v>10</v>
      </c>
      <c r="F12" s="54" t="s">
        <v>20</v>
      </c>
      <c r="H12" t="str">
        <v>Divya Maheshwari</v>
      </c>
    </row>
    <row r="13" spans="1:8" ht="15.5" x14ac:dyDescent="0.35">
      <c r="A13" s="10" t="s">
        <v>36</v>
      </c>
      <c r="B13" s="5" t="s">
        <v>37</v>
      </c>
      <c r="C13" s="5" t="s">
        <v>35</v>
      </c>
      <c r="D13" s="37" t="s">
        <v>9</v>
      </c>
      <c r="E13" s="41" t="s">
        <v>24</v>
      </c>
      <c r="F13" s="10" t="s">
        <v>33</v>
      </c>
      <c r="H13" t="str">
        <v>Ujjwal waikar</v>
      </c>
    </row>
    <row r="14" spans="1:8" ht="15.5" x14ac:dyDescent="0.35">
      <c r="A14" s="10" t="s">
        <v>38</v>
      </c>
      <c r="B14" s="1" t="s">
        <v>39</v>
      </c>
      <c r="C14" s="5" t="s">
        <v>40</v>
      </c>
      <c r="D14" s="37" t="s">
        <v>23</v>
      </c>
      <c r="E14" s="41" t="s">
        <v>10</v>
      </c>
      <c r="F14" s="29" t="s">
        <v>6</v>
      </c>
      <c r="H14" t="str">
        <v>Rajitha D</v>
      </c>
    </row>
    <row r="15" spans="1:8" ht="15.5" x14ac:dyDescent="0.35">
      <c r="A15" s="10" t="s">
        <v>41</v>
      </c>
      <c r="B15" s="1" t="s">
        <v>42</v>
      </c>
      <c r="C15" s="5" t="s">
        <v>40</v>
      </c>
      <c r="D15" s="37" t="s">
        <v>23</v>
      </c>
      <c r="E15" s="41" t="s">
        <v>24</v>
      </c>
      <c r="F15" s="29" t="s">
        <v>6</v>
      </c>
      <c r="H15" t="str">
        <v>Lavleen Kaur</v>
      </c>
    </row>
    <row r="16" spans="1:8" ht="15.5" x14ac:dyDescent="0.35">
      <c r="A16" s="10" t="s">
        <v>43</v>
      </c>
      <c r="B16" s="1" t="s">
        <v>44</v>
      </c>
      <c r="C16" s="5" t="s">
        <v>40</v>
      </c>
      <c r="D16" s="37" t="s">
        <v>23</v>
      </c>
      <c r="E16" s="41" t="s">
        <v>10</v>
      </c>
      <c r="F16" s="29" t="s">
        <v>6</v>
      </c>
      <c r="H16" t="str">
        <v>Sanjay Singhal</v>
      </c>
    </row>
    <row r="17" spans="1:8" ht="15.5" x14ac:dyDescent="0.35">
      <c r="A17" s="10" t="s">
        <v>45</v>
      </c>
      <c r="B17" s="1" t="s">
        <v>46</v>
      </c>
      <c r="C17" s="5" t="s">
        <v>40</v>
      </c>
      <c r="D17" s="37" t="s">
        <v>47</v>
      </c>
      <c r="E17" s="41" t="s">
        <v>10</v>
      </c>
      <c r="F17" s="29" t="s">
        <v>6</v>
      </c>
      <c r="H17" t="str">
        <v>Robin babu</v>
      </c>
    </row>
    <row r="18" spans="1:8" ht="15.5" x14ac:dyDescent="0.35">
      <c r="A18" s="10" t="s">
        <v>48</v>
      </c>
      <c r="B18" s="1" t="s">
        <v>49</v>
      </c>
      <c r="C18" s="5" t="s">
        <v>50</v>
      </c>
      <c r="D18" s="37" t="s">
        <v>9</v>
      </c>
      <c r="E18" s="41" t="s">
        <v>10</v>
      </c>
      <c r="F18" s="10" t="s">
        <v>51</v>
      </c>
      <c r="H18" t="str">
        <v>Pavani B Raj</v>
      </c>
    </row>
    <row r="19" spans="1:8" ht="15.5" x14ac:dyDescent="0.35">
      <c r="A19" s="10" t="s">
        <v>52</v>
      </c>
      <c r="B19" s="1" t="s">
        <v>53</v>
      </c>
      <c r="C19" s="5" t="s">
        <v>50</v>
      </c>
      <c r="D19" s="37" t="s">
        <v>9</v>
      </c>
      <c r="E19" s="41" t="s">
        <v>10</v>
      </c>
      <c r="F19" s="10" t="s">
        <v>51</v>
      </c>
      <c r="H19" t="str">
        <v>Tanu Gupta</v>
      </c>
    </row>
    <row r="20" spans="1:8" ht="15.5" x14ac:dyDescent="0.35">
      <c r="A20" s="10" t="s">
        <v>54</v>
      </c>
      <c r="B20" s="1" t="s">
        <v>55</v>
      </c>
      <c r="C20" s="5" t="s">
        <v>50</v>
      </c>
      <c r="D20" s="37" t="s">
        <v>47</v>
      </c>
      <c r="E20" s="41" t="s">
        <v>10</v>
      </c>
      <c r="F20" s="10" t="s">
        <v>51</v>
      </c>
      <c r="H20" t="str">
        <v>Akshaya Kumar</v>
      </c>
    </row>
    <row r="21" spans="1:8" ht="15.5" x14ac:dyDescent="0.35">
      <c r="A21" s="10" t="s">
        <v>56</v>
      </c>
      <c r="B21" s="5" t="s">
        <v>57</v>
      </c>
      <c r="C21" s="5" t="s">
        <v>50</v>
      </c>
      <c r="D21" s="37" t="s">
        <v>23</v>
      </c>
      <c r="E21" s="41" t="s">
        <v>10</v>
      </c>
      <c r="F21" s="10" t="s">
        <v>51</v>
      </c>
      <c r="H21" t="str">
        <v>Amisha Shaw</v>
      </c>
    </row>
    <row r="22" spans="1:8" ht="15.5" x14ac:dyDescent="0.35">
      <c r="A22" s="10" t="s">
        <v>58</v>
      </c>
      <c r="B22" s="1" t="s">
        <v>59</v>
      </c>
      <c r="C22" s="5" t="s">
        <v>60</v>
      </c>
      <c r="D22" s="37" t="s">
        <v>23</v>
      </c>
      <c r="E22" s="41" t="s">
        <v>10</v>
      </c>
      <c r="F22" s="29" t="s">
        <v>6</v>
      </c>
      <c r="H22" t="str">
        <v>Sujitha Satti</v>
      </c>
    </row>
    <row r="23" spans="1:8" ht="15.5" x14ac:dyDescent="0.35">
      <c r="A23" s="10" t="s">
        <v>61</v>
      </c>
      <c r="B23" s="3" t="s">
        <v>62</v>
      </c>
      <c r="C23" s="5" t="s">
        <v>63</v>
      </c>
      <c r="D23" s="37" t="s">
        <v>9</v>
      </c>
      <c r="E23" s="41" t="s">
        <v>10</v>
      </c>
      <c r="F23" s="29" t="s">
        <v>6</v>
      </c>
      <c r="H23" t="str">
        <v>Tanuja, Sunkara</v>
      </c>
    </row>
    <row r="24" spans="1:8" ht="15.5" x14ac:dyDescent="0.35">
      <c r="A24" s="10" t="s">
        <v>64</v>
      </c>
      <c r="B24" s="1" t="s">
        <v>65</v>
      </c>
      <c r="C24" s="5" t="s">
        <v>63</v>
      </c>
      <c r="D24" s="37" t="s">
        <v>23</v>
      </c>
      <c r="E24" s="41" t="s">
        <v>10</v>
      </c>
      <c r="F24" s="10" t="s">
        <v>33</v>
      </c>
      <c r="H24" t="str">
        <v>Ankita Roy</v>
      </c>
    </row>
    <row r="25" spans="1:8" ht="15.5" x14ac:dyDescent="0.35">
      <c r="A25" s="10" t="s">
        <v>66</v>
      </c>
      <c r="B25" s="4" t="s">
        <v>67</v>
      </c>
      <c r="C25" s="5" t="s">
        <v>63</v>
      </c>
      <c r="D25" s="37" t="s">
        <v>9</v>
      </c>
      <c r="E25" s="41" t="s">
        <v>10</v>
      </c>
      <c r="F25" s="10" t="s">
        <v>33</v>
      </c>
      <c r="H25" t="str">
        <v>Pragati Rawat</v>
      </c>
    </row>
    <row r="26" spans="1:8" ht="15.5" x14ac:dyDescent="0.35">
      <c r="A26" s="10" t="s">
        <v>68</v>
      </c>
      <c r="B26" s="4" t="s">
        <v>69</v>
      </c>
      <c r="C26" s="5" t="s">
        <v>63</v>
      </c>
      <c r="D26" s="37" t="s">
        <v>23</v>
      </c>
      <c r="E26" s="41" t="s">
        <v>24</v>
      </c>
      <c r="F26" s="29" t="s">
        <v>6</v>
      </c>
      <c r="H26" t="str">
        <v>Charan S</v>
      </c>
    </row>
    <row r="27" spans="1:8" ht="15.5" x14ac:dyDescent="0.35">
      <c r="A27" s="10" t="s">
        <v>70</v>
      </c>
      <c r="B27" s="1" t="s">
        <v>71</v>
      </c>
      <c r="C27" s="5" t="s">
        <v>63</v>
      </c>
      <c r="D27" s="37" t="s">
        <v>19</v>
      </c>
      <c r="E27" s="41" t="s">
        <v>10</v>
      </c>
      <c r="F27" s="29" t="s">
        <v>6</v>
      </c>
      <c r="H27" t="str">
        <v>Meghana Baddam</v>
      </c>
    </row>
    <row r="28" spans="1:8" ht="15.5" x14ac:dyDescent="0.35">
      <c r="A28" s="10" t="s">
        <v>72</v>
      </c>
      <c r="B28" s="4" t="s">
        <v>73</v>
      </c>
      <c r="C28" s="5" t="s">
        <v>74</v>
      </c>
      <c r="D28" s="37" t="s">
        <v>23</v>
      </c>
      <c r="E28" s="41" t="s">
        <v>10</v>
      </c>
      <c r="F28" s="10" t="s">
        <v>51</v>
      </c>
      <c r="H28" t="str">
        <v>Arittri Das</v>
      </c>
    </row>
    <row r="29" spans="1:8" ht="15.5" x14ac:dyDescent="0.35">
      <c r="A29" s="10" t="s">
        <v>75</v>
      </c>
      <c r="B29" s="4" t="s">
        <v>76</v>
      </c>
      <c r="C29" s="5" t="s">
        <v>74</v>
      </c>
      <c r="D29" s="37" t="s">
        <v>23</v>
      </c>
      <c r="E29" s="41" t="s">
        <v>10</v>
      </c>
      <c r="F29" s="10" t="s">
        <v>51</v>
      </c>
      <c r="H29" t="str">
        <v>Abburi Durga Grishmitha</v>
      </c>
    </row>
    <row r="30" spans="1:8" ht="15.5" x14ac:dyDescent="0.35">
      <c r="A30" s="10" t="s">
        <v>51</v>
      </c>
      <c r="B30" s="4" t="s">
        <v>77</v>
      </c>
      <c r="C30" s="5" t="s">
        <v>78</v>
      </c>
      <c r="D30" s="37" t="s">
        <v>9</v>
      </c>
      <c r="E30" s="41" t="s">
        <v>10</v>
      </c>
      <c r="F30" s="41"/>
      <c r="H30" t="str">
        <v>Kiran Kumar S</v>
      </c>
    </row>
    <row r="31" spans="1:8" ht="15.5" x14ac:dyDescent="0.35">
      <c r="A31" s="11" t="s">
        <v>79</v>
      </c>
      <c r="B31" s="7" t="s">
        <v>80</v>
      </c>
      <c r="C31" s="8" t="s">
        <v>78</v>
      </c>
      <c r="D31" s="38" t="s">
        <v>47</v>
      </c>
      <c r="E31" s="41" t="s">
        <v>10</v>
      </c>
      <c r="F31" s="10" t="s">
        <v>51</v>
      </c>
      <c r="H31" t="str">
        <v>Bhalerao, Rachana</v>
      </c>
    </row>
    <row r="32" spans="1:8" ht="15.5" x14ac:dyDescent="0.35">
      <c r="A32" s="11" t="s">
        <v>81</v>
      </c>
      <c r="B32" s="7" t="s">
        <v>82</v>
      </c>
      <c r="C32" s="8" t="s">
        <v>35</v>
      </c>
      <c r="D32" s="8" t="s">
        <v>23</v>
      </c>
      <c r="E32" s="41" t="s">
        <v>10</v>
      </c>
      <c r="F32" s="29" t="s">
        <v>6</v>
      </c>
    </row>
    <row r="33" spans="1:12" ht="15.5" x14ac:dyDescent="0.35">
      <c r="A33" s="11" t="s">
        <v>83</v>
      </c>
      <c r="B33" s="7" t="s">
        <v>84</v>
      </c>
      <c r="C33" s="8" t="s">
        <v>35</v>
      </c>
      <c r="D33" s="8" t="s">
        <v>9</v>
      </c>
      <c r="E33" s="41" t="s">
        <v>10</v>
      </c>
      <c r="F33" s="10" t="s">
        <v>33</v>
      </c>
    </row>
    <row r="34" spans="1:12" ht="15.5" x14ac:dyDescent="0.35">
      <c r="A34" s="11" t="s">
        <v>85</v>
      </c>
      <c r="B34" s="7" t="s">
        <v>86</v>
      </c>
      <c r="C34" s="8" t="s">
        <v>87</v>
      </c>
      <c r="D34" s="8" t="s">
        <v>23</v>
      </c>
      <c r="E34" s="41" t="s">
        <v>10</v>
      </c>
      <c r="F34" s="42" t="s">
        <v>6</v>
      </c>
    </row>
    <row r="35" spans="1:12" ht="15.5" x14ac:dyDescent="0.35">
      <c r="A35" s="11" t="s">
        <v>88</v>
      </c>
      <c r="B35" s="7" t="s">
        <v>89</v>
      </c>
      <c r="C35" s="8" t="s">
        <v>40</v>
      </c>
      <c r="D35" s="8" t="s">
        <v>23</v>
      </c>
      <c r="E35" s="41" t="s">
        <v>10</v>
      </c>
      <c r="F35" s="42" t="s">
        <v>6</v>
      </c>
    </row>
    <row r="36" spans="1:12" ht="15.5" x14ac:dyDescent="0.35">
      <c r="A36" s="11" t="s">
        <v>90</v>
      </c>
      <c r="B36" s="7" t="s">
        <v>91</v>
      </c>
      <c r="C36" s="8" t="s">
        <v>63</v>
      </c>
      <c r="D36" s="8" t="s">
        <v>9</v>
      </c>
      <c r="E36" s="41" t="s">
        <v>10</v>
      </c>
      <c r="F36" s="42" t="s">
        <v>6</v>
      </c>
    </row>
    <row r="37" spans="1:12" ht="15.5" x14ac:dyDescent="0.35">
      <c r="A37" s="11" t="s">
        <v>92</v>
      </c>
      <c r="B37" s="7" t="s">
        <v>93</v>
      </c>
      <c r="C37" s="8" t="s">
        <v>74</v>
      </c>
      <c r="D37" s="8" t="s">
        <v>23</v>
      </c>
      <c r="E37" s="41" t="s">
        <v>10</v>
      </c>
      <c r="F37" s="42" t="s">
        <v>51</v>
      </c>
    </row>
    <row r="38" spans="1:12" ht="15" thickBot="1" x14ac:dyDescent="0.4"/>
    <row r="39" spans="1:12" ht="16" thickBot="1" x14ac:dyDescent="0.4">
      <c r="K39" s="43" t="s">
        <v>94</v>
      </c>
      <c r="L39" s="43" t="s">
        <v>95</v>
      </c>
    </row>
    <row r="40" spans="1:12" ht="15" hidden="1" thickBot="1" x14ac:dyDescent="0.4">
      <c r="K40" s="44" t="s">
        <v>64</v>
      </c>
      <c r="L40" s="44" t="s">
        <v>96</v>
      </c>
    </row>
    <row r="41" spans="1:12" ht="15" hidden="1" thickBot="1" x14ac:dyDescent="0.4">
      <c r="K41" s="44" t="s">
        <v>66</v>
      </c>
      <c r="L41" s="44" t="s">
        <v>96</v>
      </c>
    </row>
    <row r="42" spans="1:12" ht="15" thickBot="1" x14ac:dyDescent="0.4">
      <c r="K42" s="44" t="s">
        <v>70</v>
      </c>
      <c r="L42" s="44" t="s">
        <v>97</v>
      </c>
    </row>
    <row r="43" spans="1:12" ht="15" hidden="1" thickBot="1" x14ac:dyDescent="0.4">
      <c r="K43" s="44" t="s">
        <v>98</v>
      </c>
      <c r="L43" s="44" t="s">
        <v>99</v>
      </c>
    </row>
    <row r="44" spans="1:12" ht="15" thickBot="1" x14ac:dyDescent="0.4">
      <c r="K44" s="44" t="s">
        <v>100</v>
      </c>
      <c r="L44" s="44" t="s">
        <v>97</v>
      </c>
    </row>
    <row r="45" spans="1:12" ht="15" hidden="1" thickBot="1" x14ac:dyDescent="0.4">
      <c r="K45" s="44" t="s">
        <v>79</v>
      </c>
      <c r="L45" s="44" t="s">
        <v>99</v>
      </c>
    </row>
    <row r="46" spans="1:12" ht="15" hidden="1" thickBot="1" x14ac:dyDescent="0.4">
      <c r="K46" s="44" t="s">
        <v>101</v>
      </c>
      <c r="L46" s="44" t="s">
        <v>99</v>
      </c>
    </row>
    <row r="47" spans="1:12" ht="15" thickBot="1" x14ac:dyDescent="0.4">
      <c r="K47" s="44" t="s">
        <v>38</v>
      </c>
      <c r="L47" s="44" t="s">
        <v>97</v>
      </c>
    </row>
    <row r="48" spans="1:12" ht="15" hidden="1" thickBot="1" x14ac:dyDescent="0.4">
      <c r="K48" s="44" t="s">
        <v>13</v>
      </c>
      <c r="L48" s="44" t="s">
        <v>102</v>
      </c>
    </row>
    <row r="49" spans="11:12" ht="15" hidden="1" thickBot="1" x14ac:dyDescent="0.4">
      <c r="K49" s="44" t="s">
        <v>16</v>
      </c>
      <c r="L49" s="44" t="s">
        <v>102</v>
      </c>
    </row>
    <row r="50" spans="11:12" ht="15" thickBot="1" x14ac:dyDescent="0.4">
      <c r="K50" s="44" t="s">
        <v>103</v>
      </c>
      <c r="L50" s="44" t="s">
        <v>97</v>
      </c>
    </row>
    <row r="51" spans="11:12" ht="15" thickBot="1" x14ac:dyDescent="0.4">
      <c r="K51" s="44" t="s">
        <v>61</v>
      </c>
      <c r="L51" s="44" t="s">
        <v>97</v>
      </c>
    </row>
    <row r="52" spans="11:12" ht="15" thickBot="1" x14ac:dyDescent="0.4">
      <c r="K52" s="44" t="s">
        <v>11</v>
      </c>
      <c r="L52" s="44" t="s">
        <v>97</v>
      </c>
    </row>
    <row r="53" spans="11:12" ht="15" hidden="1" thickBot="1" x14ac:dyDescent="0.4">
      <c r="K53" s="44" t="s">
        <v>104</v>
      </c>
      <c r="L53" s="44" t="s">
        <v>102</v>
      </c>
    </row>
    <row r="54" spans="11:12" ht="15" thickBot="1" x14ac:dyDescent="0.4">
      <c r="K54" s="44" t="s">
        <v>27</v>
      </c>
      <c r="L54" s="44" t="s">
        <v>97</v>
      </c>
    </row>
    <row r="55" spans="11:12" ht="15" hidden="1" thickBot="1" x14ac:dyDescent="0.4">
      <c r="K55" s="44" t="s">
        <v>72</v>
      </c>
      <c r="L55" s="44" t="s">
        <v>99</v>
      </c>
    </row>
    <row r="56" spans="11:12" ht="15" thickBot="1" x14ac:dyDescent="0.4">
      <c r="K56" s="44" t="s">
        <v>41</v>
      </c>
      <c r="L56" s="44" t="s">
        <v>97</v>
      </c>
    </row>
    <row r="57" spans="11:12" ht="15" thickBot="1" x14ac:dyDescent="0.4">
      <c r="K57" s="44" t="s">
        <v>43</v>
      </c>
      <c r="L57" s="44" t="s">
        <v>97</v>
      </c>
    </row>
    <row r="58" spans="11:12" ht="15" thickBot="1" x14ac:dyDescent="0.4">
      <c r="K58" s="44" t="s">
        <v>105</v>
      </c>
      <c r="L58" s="44" t="s">
        <v>97</v>
      </c>
    </row>
    <row r="59" spans="11:12" ht="15" thickBot="1" x14ac:dyDescent="0.4">
      <c r="K59" s="44" t="s">
        <v>106</v>
      </c>
      <c r="L59" s="44" t="s">
        <v>97</v>
      </c>
    </row>
    <row r="60" spans="11:12" ht="15" hidden="1" thickBot="1" x14ac:dyDescent="0.4">
      <c r="K60" s="44" t="s">
        <v>54</v>
      </c>
      <c r="L60" s="44" t="s">
        <v>99</v>
      </c>
    </row>
    <row r="61" spans="11:12" ht="15" hidden="1" thickBot="1" x14ac:dyDescent="0.4">
      <c r="K61" s="44" t="s">
        <v>52</v>
      </c>
      <c r="L61" s="44" t="s">
        <v>99</v>
      </c>
    </row>
    <row r="62" spans="11:12" ht="15" hidden="1" thickBot="1" x14ac:dyDescent="0.4">
      <c r="K62" s="44" t="s">
        <v>56</v>
      </c>
      <c r="L62" s="44" t="s">
        <v>99</v>
      </c>
    </row>
    <row r="63" spans="11:12" ht="15" hidden="1" thickBot="1" x14ac:dyDescent="0.4">
      <c r="K63" s="44" t="s">
        <v>107</v>
      </c>
      <c r="L63" s="44" t="s">
        <v>96</v>
      </c>
    </row>
    <row r="64" spans="11:12" ht="15" thickBot="1" x14ac:dyDescent="0.4">
      <c r="K64" s="44" t="s">
        <v>81</v>
      </c>
      <c r="L64" s="44" t="s">
        <v>97</v>
      </c>
    </row>
    <row r="65" spans="11:12" ht="15" hidden="1" thickBot="1" x14ac:dyDescent="0.4">
      <c r="K65" s="45" t="s">
        <v>33</v>
      </c>
      <c r="L65" s="46" t="s">
        <v>108</v>
      </c>
    </row>
    <row r="66" spans="11:12" ht="15" hidden="1" thickBot="1" x14ac:dyDescent="0.4">
      <c r="K66" s="45" t="s">
        <v>15</v>
      </c>
      <c r="L66" s="46" t="s">
        <v>108</v>
      </c>
    </row>
    <row r="67" spans="11:12" ht="15" hidden="1" thickBot="1" x14ac:dyDescent="0.4">
      <c r="K67" s="45" t="s">
        <v>6</v>
      </c>
      <c r="L67" s="46" t="s">
        <v>108</v>
      </c>
    </row>
    <row r="68" spans="11:12" ht="15" hidden="1" thickBot="1" x14ac:dyDescent="0.4">
      <c r="K68" s="45" t="s">
        <v>51</v>
      </c>
      <c r="L68" s="46" t="s">
        <v>108</v>
      </c>
    </row>
  </sheetData>
  <sheetProtection sheet="1" objects="1" scenarios="1"/>
  <autoFilter ref="K39:L68" xr:uid="{00000000-0001-0000-0000-000000000000}">
    <filterColumn colId="1">
      <filters>
        <filter val="Nitish"/>
      </filters>
    </filterColumn>
  </autoFilter>
  <dataValidations count="2">
    <dataValidation type="list" allowBlank="1" showInputMessage="1" showErrorMessage="1" errorTitle="Please select the value from the dropdown" sqref="E38:E1048576" xr:uid="{9225848B-D439-43AC-A4E1-9619993015C2}">
      <formula1>"Actve, Inactive"</formula1>
    </dataValidation>
    <dataValidation type="list" allowBlank="1" showInputMessage="1" showErrorMessage="1" errorTitle="Please select the value from the dropdown" sqref="E2:E37" xr:uid="{A95B6568-84AC-4AEC-9F00-934B06ACEBAF}">
      <formula1>"Active, Inactive"</formula1>
    </dataValidation>
  </dataValidations>
  <hyperlinks>
    <hyperlink ref="B10" r:id="rId1" xr:uid="{098CF65D-65AF-4D3F-A54F-7966A33C8BF6}"/>
    <hyperlink ref="B25" r:id="rId2" xr:uid="{40294740-C46A-4FC2-B6FF-25BBF3F5D2E4}"/>
    <hyperlink ref="B26" r:id="rId3" xr:uid="{60C59937-D34D-4C2E-B13E-D9FE4E00956B}"/>
    <hyperlink ref="B28" r:id="rId4" xr:uid="{CF72E0D4-F80F-4643-9DAA-16601E2E3C8A}"/>
    <hyperlink ref="B29" r:id="rId5" xr:uid="{F6DC09DC-5301-4A5A-A166-D531A6968CB8}"/>
    <hyperlink ref="B30" r:id="rId6" xr:uid="{798B68F8-393C-47C9-BACD-276B90782501}"/>
    <hyperlink ref="B31" r:id="rId7" xr:uid="{CA540176-6428-4A9F-8FE2-8A8635C836C3}"/>
    <hyperlink ref="B34" r:id="rId8" xr:uid="{A9FF48C0-5D3E-4596-8651-545F312B5460}"/>
    <hyperlink ref="B35" r:id="rId9" xr:uid="{78E84ABA-AE69-4427-A189-42C78745F27B}"/>
    <hyperlink ref="B36" r:id="rId10" xr:uid="{BF0ADBC7-6197-46DC-BC36-BF028AA0CEB7}"/>
  </hyperlinks>
  <pageMargins left="0.7" right="0.7" top="0.75" bottom="0.75" header="0.3" footer="0.3"/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DC4D8-DA2F-411D-9856-D15E84C1185B}">
  <sheetPr codeName="Sheet2"/>
  <dimension ref="A1:L393"/>
  <sheetViews>
    <sheetView tabSelected="1" topLeftCell="A377" zoomScale="78" workbookViewId="0">
      <selection activeCell="D398" sqref="D398"/>
    </sheetView>
  </sheetViews>
  <sheetFormatPr defaultColWidth="8.7265625" defaultRowHeight="14.5" x14ac:dyDescent="0.35"/>
  <cols>
    <col min="1" max="1" width="35.54296875" style="22" customWidth="1"/>
    <col min="2" max="2" width="33.26953125" style="22" customWidth="1"/>
    <col min="3" max="3" width="24.7265625" style="22" customWidth="1"/>
    <col min="4" max="9" width="16.7265625" style="22" customWidth="1"/>
    <col min="10" max="10" width="11.54296875" style="25" customWidth="1"/>
    <col min="11" max="11" width="17.26953125" style="22" customWidth="1"/>
    <col min="12" max="12" width="13.54296875" style="22" customWidth="1"/>
    <col min="13" max="13" width="12.54296875" style="24" customWidth="1"/>
    <col min="14" max="16384" width="8.7265625" style="24"/>
  </cols>
  <sheetData>
    <row r="1" spans="1:12" x14ac:dyDescent="0.35">
      <c r="A1" s="26" t="s">
        <v>110</v>
      </c>
      <c r="B1" s="27" t="s">
        <v>121</v>
      </c>
      <c r="C1" s="27" t="s">
        <v>122</v>
      </c>
      <c r="D1" s="27" t="s">
        <v>123</v>
      </c>
      <c r="E1" s="27" t="s">
        <v>111</v>
      </c>
      <c r="F1" s="27" t="s">
        <v>113</v>
      </c>
      <c r="G1" s="27" t="s">
        <v>115</v>
      </c>
      <c r="H1" s="27" t="s">
        <v>116</v>
      </c>
      <c r="I1" s="27" t="s">
        <v>118</v>
      </c>
      <c r="J1" s="23" t="s">
        <v>124</v>
      </c>
      <c r="K1" s="23" t="s">
        <v>125</v>
      </c>
      <c r="L1" s="23" t="s">
        <v>126</v>
      </c>
    </row>
    <row r="2" spans="1:12" x14ac:dyDescent="0.35">
      <c r="A2" s="21" t="s">
        <v>6</v>
      </c>
      <c r="B2" s="22" t="str">
        <f>_xlfn.XLOOKUP(Christus_Emp_Table[[#This Row],[Analyst Name:]],Table1[Analyst Name],Table1[Deloitte Email ID])</f>
        <v>nitishkumar44@deloitte.com</v>
      </c>
      <c r="C2" s="22" t="str">
        <f>_xlfn.XLOOKUP(Christus_Emp_Table[[#This Row],[Analyst Name:]],Table1[Analyst Name],Table1[Module])</f>
        <v>Reporting</v>
      </c>
      <c r="D2" s="22" t="str">
        <f>_xlfn.XLOOKUP(Christus_Emp_Table[[#This Row],[Analyst Name:]],Table1[Analyst Name],Table1[Location])</f>
        <v>BLR</v>
      </c>
      <c r="E2" s="22" t="s">
        <v>127</v>
      </c>
      <c r="F2" s="17">
        <v>45663</v>
      </c>
      <c r="G2" s="17">
        <v>45663</v>
      </c>
      <c r="H2" s="22" t="s">
        <v>127</v>
      </c>
      <c r="I2" s="22" t="s">
        <v>128</v>
      </c>
      <c r="J2" s="22">
        <f>NETWORKDAYS(Christus_Emp_Table[[#This Row],[From Date:]],Christus_Emp_Table[[#This Row],[To Date:]])</f>
        <v>1</v>
      </c>
      <c r="L2" s="22">
        <f>_xlfn.XLOOKUP(Christus_Emp_Table[[#This Row],[Analyst Name:]],Table1[Analyst Name],Table1[Lead])</f>
        <v>0</v>
      </c>
    </row>
    <row r="3" spans="1:12" x14ac:dyDescent="0.35">
      <c r="A3" s="21" t="s">
        <v>13</v>
      </c>
      <c r="B3" s="22" t="str">
        <f>_xlfn.XLOOKUP(Christus_Emp_Table[[#This Row],[Analyst Name:]],Table1[Analyst Name],Table1[Deloitte Email ID])</f>
        <v>srug@deloitte.com</v>
      </c>
      <c r="C3" s="22" t="str">
        <f>_xlfn.XLOOKUP(Christus_Emp_Table[[#This Row],[Analyst Name:]],Table1[Analyst Name],Table1[Module])</f>
        <v>Reporting</v>
      </c>
      <c r="D3" s="22" t="str">
        <f>_xlfn.XLOOKUP(Christus_Emp_Table[[#This Row],[Analyst Name:]],Table1[Analyst Name],Table1[Location])</f>
        <v>BLR</v>
      </c>
      <c r="E3" s="22" t="s">
        <v>127</v>
      </c>
      <c r="F3" s="17">
        <v>45670</v>
      </c>
      <c r="G3" s="17">
        <v>45673</v>
      </c>
      <c r="H3" s="22" t="s">
        <v>127</v>
      </c>
      <c r="I3" s="22" t="s">
        <v>128</v>
      </c>
      <c r="J3" s="22">
        <f>NETWORKDAYS(Christus_Emp_Table[[#This Row],[From Date:]],Christus_Emp_Table[[#This Row],[To Date:]])</f>
        <v>4</v>
      </c>
      <c r="L3" s="22" t="str">
        <f>_xlfn.XLOOKUP(Christus_Emp_Table[[#This Row],[Analyst Name:]],Table1[Analyst Name],Table1[Lead])</f>
        <v>Jagannath Belel</v>
      </c>
    </row>
    <row r="4" spans="1:12" x14ac:dyDescent="0.35">
      <c r="A4" s="21" t="s">
        <v>13</v>
      </c>
      <c r="B4" s="22" t="str">
        <f>_xlfn.XLOOKUP(Christus_Emp_Table[[#This Row],[Analyst Name:]],Table1[Analyst Name],Table1[Deloitte Email ID])</f>
        <v>srug@deloitte.com</v>
      </c>
      <c r="C4" s="22" t="str">
        <f>_xlfn.XLOOKUP(Christus_Emp_Table[[#This Row],[Analyst Name:]],Table1[Analyst Name],Table1[Module])</f>
        <v>Reporting</v>
      </c>
      <c r="D4" s="22" t="str">
        <f>_xlfn.XLOOKUP(Christus_Emp_Table[[#This Row],[Analyst Name:]],Table1[Analyst Name],Table1[Location])</f>
        <v>BLR</v>
      </c>
      <c r="E4" s="22" t="s">
        <v>127</v>
      </c>
      <c r="F4" s="17">
        <v>45677</v>
      </c>
      <c r="G4" s="17">
        <v>45677</v>
      </c>
      <c r="H4" s="22" t="s">
        <v>127</v>
      </c>
      <c r="I4" s="22" t="s">
        <v>128</v>
      </c>
      <c r="J4" s="22">
        <f>NETWORKDAYS(Christus_Emp_Table[[#This Row],[From Date:]],Christus_Emp_Table[[#This Row],[To Date:]])</f>
        <v>1</v>
      </c>
      <c r="L4" s="22" t="str">
        <f>_xlfn.XLOOKUP(Christus_Emp_Table[[#This Row],[Analyst Name:]],Table1[Analyst Name],Table1[Lead])</f>
        <v>Jagannath Belel</v>
      </c>
    </row>
    <row r="5" spans="1:12" x14ac:dyDescent="0.35">
      <c r="A5" s="21" t="s">
        <v>68</v>
      </c>
      <c r="B5" s="22" t="str">
        <f>_xlfn.XLOOKUP(Christus_Emp_Table[[#This Row],[Analyst Name:]],Table1[Analyst Name],Table1[Deloitte Email ID])</f>
        <v>anussaha@deloitte.com</v>
      </c>
      <c r="C5" s="22" t="str">
        <f>_xlfn.XLOOKUP(Christus_Emp_Table[[#This Row],[Analyst Name:]],Table1[Analyst Name],Table1[Module])</f>
        <v>Automation</v>
      </c>
      <c r="D5" s="22" t="str">
        <f>_xlfn.XLOOKUP(Christus_Emp_Table[[#This Row],[Analyst Name:]],Table1[Analyst Name],Table1[Location])</f>
        <v>HYD</v>
      </c>
      <c r="E5" s="22" t="s">
        <v>127</v>
      </c>
      <c r="F5" s="17">
        <v>45670</v>
      </c>
      <c r="G5" s="17">
        <v>45670</v>
      </c>
      <c r="H5" s="22" t="s">
        <v>127</v>
      </c>
      <c r="I5" s="22" t="s">
        <v>128</v>
      </c>
      <c r="J5" s="22">
        <f>NETWORKDAYS(Christus_Emp_Table[[#This Row],[From Date:]],Christus_Emp_Table[[#This Row],[To Date:]])</f>
        <v>1</v>
      </c>
      <c r="L5" s="22" t="str">
        <f>_xlfn.XLOOKUP(Christus_Emp_Table[[#This Row],[Analyst Name:]],Table1[Analyst Name],Table1[Lead])</f>
        <v>Nitish Kumar</v>
      </c>
    </row>
    <row r="6" spans="1:12" x14ac:dyDescent="0.35">
      <c r="A6" s="21" t="s">
        <v>68</v>
      </c>
      <c r="B6" s="22" t="str">
        <f>_xlfn.XLOOKUP(Christus_Emp_Table[[#This Row],[Analyst Name:]],Table1[Analyst Name],Table1[Deloitte Email ID])</f>
        <v>anussaha@deloitte.com</v>
      </c>
      <c r="C6" s="22" t="str">
        <f>_xlfn.XLOOKUP(Christus_Emp_Table[[#This Row],[Analyst Name:]],Table1[Analyst Name],Table1[Module])</f>
        <v>Automation</v>
      </c>
      <c r="D6" s="22" t="str">
        <f>_xlfn.XLOOKUP(Christus_Emp_Table[[#This Row],[Analyst Name:]],Table1[Analyst Name],Table1[Location])</f>
        <v>HYD</v>
      </c>
      <c r="E6" s="19" t="s">
        <v>112</v>
      </c>
      <c r="F6" s="17">
        <v>45688</v>
      </c>
      <c r="G6" s="17">
        <v>45688</v>
      </c>
      <c r="H6" s="22" t="s">
        <v>129</v>
      </c>
      <c r="I6" s="22" t="s">
        <v>128</v>
      </c>
      <c r="J6" s="22">
        <f>NETWORKDAYS(Christus_Emp_Table[[#This Row],[From Date:]],Christus_Emp_Table[[#This Row],[To Date:]])</f>
        <v>1</v>
      </c>
      <c r="L6" s="22" t="str">
        <f>_xlfn.XLOOKUP(Christus_Emp_Table[[#This Row],[Analyst Name:]],Table1[Analyst Name],Table1[Lead])</f>
        <v>Nitish Kumar</v>
      </c>
    </row>
    <row r="7" spans="1:12" x14ac:dyDescent="0.35">
      <c r="A7" s="21" t="s">
        <v>66</v>
      </c>
      <c r="B7" s="22" t="str">
        <f>_xlfn.XLOOKUP(Christus_Emp_Table[[#This Row],[Analyst Name:]],Table1[Analyst Name],Table1[Deloitte Email ID])</f>
        <v>akshayakumar@deloitte.com</v>
      </c>
      <c r="C7" s="22" t="str">
        <f>_xlfn.XLOOKUP(Christus_Emp_Table[[#This Row],[Analyst Name:]],Table1[Analyst Name],Table1[Module])</f>
        <v>Automation</v>
      </c>
      <c r="D7" s="22" t="str">
        <f>_xlfn.XLOOKUP(Christus_Emp_Table[[#This Row],[Analyst Name:]],Table1[Analyst Name],Table1[Location])</f>
        <v>BLR</v>
      </c>
      <c r="E7" s="19" t="s">
        <v>112</v>
      </c>
      <c r="F7" s="17">
        <v>45688</v>
      </c>
      <c r="G7" s="17">
        <v>45688</v>
      </c>
      <c r="H7" s="22" t="s">
        <v>129</v>
      </c>
      <c r="I7" s="22" t="s">
        <v>128</v>
      </c>
      <c r="J7" s="22">
        <f>NETWORKDAYS(Christus_Emp_Table[[#This Row],[From Date:]],Christus_Emp_Table[[#This Row],[To Date:]])</f>
        <v>1</v>
      </c>
      <c r="L7" s="22" t="str">
        <f>_xlfn.XLOOKUP(Christus_Emp_Table[[#This Row],[Analyst Name:]],Table1[Analyst Name],Table1[Lead])</f>
        <v>Parth Zalavadia</v>
      </c>
    </row>
    <row r="8" spans="1:12" x14ac:dyDescent="0.35">
      <c r="A8" s="21" t="s">
        <v>52</v>
      </c>
      <c r="B8" s="22" t="str">
        <f>_xlfn.XLOOKUP(Christus_Emp_Table[[#This Row],[Analyst Name:]],Table1[Analyst Name],Table1[Deloitte Email ID])</f>
        <v>Drajitha@deloitte.com</v>
      </c>
      <c r="C8" s="22" t="str">
        <f>_xlfn.XLOOKUP(Christus_Emp_Table[[#This Row],[Analyst Name:]],Table1[Analyst Name],Table1[Module])</f>
        <v>SER</v>
      </c>
      <c r="D8" s="22" t="str">
        <f>_xlfn.XLOOKUP(Christus_Emp_Table[[#This Row],[Analyst Name:]],Table1[Analyst Name],Table1[Location])</f>
        <v>BLR</v>
      </c>
      <c r="E8" s="22" t="s">
        <v>127</v>
      </c>
      <c r="F8" s="17">
        <v>45663</v>
      </c>
      <c r="G8" s="17">
        <v>45663</v>
      </c>
      <c r="H8" s="22" t="s">
        <v>127</v>
      </c>
      <c r="I8" s="22" t="s">
        <v>128</v>
      </c>
      <c r="J8" s="22">
        <f>NETWORKDAYS(Christus_Emp_Table[[#This Row],[From Date:]],Christus_Emp_Table[[#This Row],[To Date:]])</f>
        <v>1</v>
      </c>
      <c r="L8" s="22" t="str">
        <f>_xlfn.XLOOKUP(Christus_Emp_Table[[#This Row],[Analyst Name:]],Table1[Analyst Name],Table1[Lead])</f>
        <v>Ankita Roy</v>
      </c>
    </row>
    <row r="9" spans="1:12" x14ac:dyDescent="0.35">
      <c r="A9" s="21" t="s">
        <v>52</v>
      </c>
      <c r="B9" s="22" t="str">
        <f>_xlfn.XLOOKUP(Christus_Emp_Table[[#This Row],[Analyst Name:]],Table1[Analyst Name],Table1[Deloitte Email ID])</f>
        <v>Drajitha@deloitte.com</v>
      </c>
      <c r="C9" s="22" t="str">
        <f>_xlfn.XLOOKUP(Christus_Emp_Table[[#This Row],[Analyst Name:]],Table1[Analyst Name],Table1[Module])</f>
        <v>SER</v>
      </c>
      <c r="D9" s="22" t="str">
        <f>_xlfn.XLOOKUP(Christus_Emp_Table[[#This Row],[Analyst Name:]],Table1[Analyst Name],Table1[Location])</f>
        <v>BLR</v>
      </c>
      <c r="E9" s="22" t="s">
        <v>130</v>
      </c>
      <c r="F9" s="17">
        <v>45665</v>
      </c>
      <c r="G9" s="17">
        <v>45665</v>
      </c>
      <c r="H9" s="22" t="s">
        <v>127</v>
      </c>
      <c r="I9" s="22" t="s">
        <v>128</v>
      </c>
      <c r="J9" s="22">
        <f>NETWORKDAYS(Christus_Emp_Table[[#This Row],[From Date:]],Christus_Emp_Table[[#This Row],[To Date:]])</f>
        <v>1</v>
      </c>
      <c r="L9" s="22" t="str">
        <f>_xlfn.XLOOKUP(Christus_Emp_Table[[#This Row],[Analyst Name:]],Table1[Analyst Name],Table1[Lead])</f>
        <v>Ankita Roy</v>
      </c>
    </row>
    <row r="10" spans="1:12" x14ac:dyDescent="0.35">
      <c r="A10" s="21" t="s">
        <v>52</v>
      </c>
      <c r="B10" s="22" t="str">
        <f>_xlfn.XLOOKUP(Christus_Emp_Table[[#This Row],[Analyst Name:]],Table1[Analyst Name],Table1[Deloitte Email ID])</f>
        <v>Drajitha@deloitte.com</v>
      </c>
      <c r="C10" s="22" t="str">
        <f>_xlfn.XLOOKUP(Christus_Emp_Table[[#This Row],[Analyst Name:]],Table1[Analyst Name],Table1[Module])</f>
        <v>SER</v>
      </c>
      <c r="D10" s="22" t="str">
        <f>_xlfn.XLOOKUP(Christus_Emp_Table[[#This Row],[Analyst Name:]],Table1[Analyst Name],Table1[Location])</f>
        <v>BLR</v>
      </c>
      <c r="E10" s="19" t="s">
        <v>112</v>
      </c>
      <c r="F10" s="17">
        <v>45685</v>
      </c>
      <c r="G10" s="17">
        <v>45685</v>
      </c>
      <c r="H10" s="22" t="s">
        <v>129</v>
      </c>
      <c r="I10" s="22" t="s">
        <v>128</v>
      </c>
      <c r="J10" s="22">
        <f>NETWORKDAYS(Christus_Emp_Table[[#This Row],[From Date:]],Christus_Emp_Table[[#This Row],[To Date:]])</f>
        <v>1</v>
      </c>
      <c r="L10" s="22" t="str">
        <f>_xlfn.XLOOKUP(Christus_Emp_Table[[#This Row],[Analyst Name:]],Table1[Analyst Name],Table1[Lead])</f>
        <v>Ankita Roy</v>
      </c>
    </row>
    <row r="11" spans="1:12" x14ac:dyDescent="0.35">
      <c r="A11" s="21" t="s">
        <v>79</v>
      </c>
      <c r="B11" s="22" t="str">
        <f>_xlfn.XLOOKUP(Christus_Emp_Table[[#This Row],[Analyst Name:]],Table1[Analyst Name],Table1[Deloitte Email ID])</f>
        <v>pragrawat@deloitte.com</v>
      </c>
      <c r="C11" s="22" t="str">
        <f>_xlfn.XLOOKUP(Christus_Emp_Table[[#This Row],[Analyst Name:]],Table1[Analyst Name],Table1[Module])</f>
        <v>EC/DC</v>
      </c>
      <c r="D11" s="22" t="str">
        <f>_xlfn.XLOOKUP(Christus_Emp_Table[[#This Row],[Analyst Name:]],Table1[Analyst Name],Table1[Location])</f>
        <v>GUR</v>
      </c>
      <c r="E11" s="22" t="s">
        <v>127</v>
      </c>
      <c r="F11" s="17">
        <v>45659</v>
      </c>
      <c r="G11" s="17">
        <v>45660</v>
      </c>
      <c r="H11" s="22" t="s">
        <v>127</v>
      </c>
      <c r="I11" s="22" t="s">
        <v>128</v>
      </c>
      <c r="J11" s="22">
        <f>NETWORKDAYS(Christus_Emp_Table[[#This Row],[From Date:]],Christus_Emp_Table[[#This Row],[To Date:]])</f>
        <v>2</v>
      </c>
      <c r="L11" s="22" t="str">
        <f>_xlfn.XLOOKUP(Christus_Emp_Table[[#This Row],[Analyst Name:]],Table1[Analyst Name],Table1[Lead])</f>
        <v>Ankita Roy</v>
      </c>
    </row>
    <row r="12" spans="1:12" x14ac:dyDescent="0.35">
      <c r="A12" s="21" t="s">
        <v>79</v>
      </c>
      <c r="B12" s="22" t="str">
        <f>_xlfn.XLOOKUP(Christus_Emp_Table[[#This Row],[Analyst Name:]],Table1[Analyst Name],Table1[Deloitte Email ID])</f>
        <v>pragrawat@deloitte.com</v>
      </c>
      <c r="C12" s="22" t="str">
        <f>_xlfn.XLOOKUP(Christus_Emp_Table[[#This Row],[Analyst Name:]],Table1[Analyst Name],Table1[Module])</f>
        <v>EC/DC</v>
      </c>
      <c r="D12" s="22" t="str">
        <f>_xlfn.XLOOKUP(Christus_Emp_Table[[#This Row],[Analyst Name:]],Table1[Analyst Name],Table1[Location])</f>
        <v>GUR</v>
      </c>
      <c r="E12" s="19" t="s">
        <v>112</v>
      </c>
      <c r="F12" s="17">
        <v>45666</v>
      </c>
      <c r="G12" s="17">
        <v>45666</v>
      </c>
      <c r="H12" s="22" t="s">
        <v>129</v>
      </c>
      <c r="I12" s="22" t="s">
        <v>128</v>
      </c>
      <c r="J12" s="22">
        <f>NETWORKDAYS(Christus_Emp_Table[[#This Row],[From Date:]],Christus_Emp_Table[[#This Row],[To Date:]])</f>
        <v>1</v>
      </c>
      <c r="L12" s="22" t="str">
        <f>_xlfn.XLOOKUP(Christus_Emp_Table[[#This Row],[Analyst Name:]],Table1[Analyst Name],Table1[Lead])</f>
        <v>Ankita Roy</v>
      </c>
    </row>
    <row r="13" spans="1:12" x14ac:dyDescent="0.35">
      <c r="A13" s="21" t="s">
        <v>51</v>
      </c>
      <c r="B13" s="22" t="str">
        <f>_xlfn.XLOOKUP(Christus_Emp_Table[[#This Row],[Analyst Name:]],Table1[Analyst Name],Table1[Deloitte Email ID])</f>
        <v>ankitaroy2@deloitte.com</v>
      </c>
      <c r="C13" s="22" t="str">
        <f>_xlfn.XLOOKUP(Christus_Emp_Table[[#This Row],[Analyst Name:]],Table1[Analyst Name],Table1[Module])</f>
        <v>EC/DC</v>
      </c>
      <c r="D13" s="22" t="str">
        <f>_xlfn.XLOOKUP(Christus_Emp_Table[[#This Row],[Analyst Name:]],Table1[Analyst Name],Table1[Location])</f>
        <v>BLR</v>
      </c>
      <c r="E13" s="19" t="s">
        <v>112</v>
      </c>
      <c r="F13" s="17">
        <v>45664</v>
      </c>
      <c r="G13" s="17">
        <v>45664</v>
      </c>
      <c r="H13" s="22" t="s">
        <v>129</v>
      </c>
      <c r="I13" s="22" t="s">
        <v>128</v>
      </c>
      <c r="J13" s="22">
        <f>NETWORKDAYS(Christus_Emp_Table[[#This Row],[From Date:]],Christus_Emp_Table[[#This Row],[To Date:]])</f>
        <v>1</v>
      </c>
      <c r="L13" s="22">
        <f>_xlfn.XLOOKUP(Christus_Emp_Table[[#This Row],[Analyst Name:]],Table1[Analyst Name],Table1[Lead])</f>
        <v>0</v>
      </c>
    </row>
    <row r="14" spans="1:12" x14ac:dyDescent="0.35">
      <c r="A14" s="21" t="s">
        <v>51</v>
      </c>
      <c r="B14" s="22" t="str">
        <f>_xlfn.XLOOKUP(Christus_Emp_Table[[#This Row],[Analyst Name:]],Table1[Analyst Name],Table1[Deloitte Email ID])</f>
        <v>ankitaroy2@deloitte.com</v>
      </c>
      <c r="C14" s="22" t="str">
        <f>_xlfn.XLOOKUP(Christus_Emp_Table[[#This Row],[Analyst Name:]],Table1[Analyst Name],Table1[Module])</f>
        <v>EC/DC</v>
      </c>
      <c r="D14" s="22" t="str">
        <f>_xlfn.XLOOKUP(Christus_Emp_Table[[#This Row],[Analyst Name:]],Table1[Analyst Name],Table1[Location])</f>
        <v>BLR</v>
      </c>
      <c r="E14" s="22" t="s">
        <v>127</v>
      </c>
      <c r="F14" s="17">
        <v>45681</v>
      </c>
      <c r="G14" s="17">
        <v>45684</v>
      </c>
      <c r="H14" s="22" t="s">
        <v>127</v>
      </c>
      <c r="I14" s="22" t="s">
        <v>128</v>
      </c>
      <c r="J14" s="22">
        <f>NETWORKDAYS(Christus_Emp_Table[[#This Row],[From Date:]],Christus_Emp_Table[[#This Row],[To Date:]])</f>
        <v>2</v>
      </c>
      <c r="L14" s="22">
        <f>_xlfn.XLOOKUP(Christus_Emp_Table[[#This Row],[Analyst Name:]],Table1[Analyst Name],Table1[Lead])</f>
        <v>0</v>
      </c>
    </row>
    <row r="15" spans="1:12" x14ac:dyDescent="0.35">
      <c r="A15" s="21" t="s">
        <v>72</v>
      </c>
      <c r="B15" s="22" t="str">
        <f>_xlfn.XLOOKUP(Christus_Emp_Table[[#This Row],[Analyst Name:]],Table1[Analyst Name],Table1[Deloitte Email ID])</f>
        <v>susujitha@deloitte.com</v>
      </c>
      <c r="C15" s="22" t="str">
        <f>_xlfn.XLOOKUP(Christus_Emp_Table[[#This Row],[Analyst Name:]],Table1[Analyst Name],Table1[Module])</f>
        <v>QA</v>
      </c>
      <c r="D15" s="22" t="str">
        <f>_xlfn.XLOOKUP(Christus_Emp_Table[[#This Row],[Analyst Name:]],Table1[Analyst Name],Table1[Location])</f>
        <v>HYD</v>
      </c>
      <c r="E15" s="22" t="s">
        <v>127</v>
      </c>
      <c r="F15" s="17">
        <v>45670</v>
      </c>
      <c r="G15" s="17">
        <v>45670</v>
      </c>
      <c r="H15" s="22" t="s">
        <v>127</v>
      </c>
      <c r="I15" s="22" t="s">
        <v>128</v>
      </c>
      <c r="J15" s="22">
        <f>NETWORKDAYS(Christus_Emp_Table[[#This Row],[From Date:]],Christus_Emp_Table[[#This Row],[To Date:]])</f>
        <v>1</v>
      </c>
      <c r="L15" s="22" t="str">
        <f>_xlfn.XLOOKUP(Christus_Emp_Table[[#This Row],[Analyst Name:]],Table1[Analyst Name],Table1[Lead])</f>
        <v>Ankita Roy</v>
      </c>
    </row>
    <row r="16" spans="1:12" x14ac:dyDescent="0.35">
      <c r="A16" s="21" t="s">
        <v>61</v>
      </c>
      <c r="B16" s="22" t="str">
        <f>_xlfn.XLOOKUP(Christus_Emp_Table[[#This Row],[Analyst Name:]],Table1[Analyst Name],Table1[Deloitte Email ID])</f>
        <v>pbraj@deloitte.com</v>
      </c>
      <c r="C16" s="22" t="str">
        <f>_xlfn.XLOOKUP(Christus_Emp_Table[[#This Row],[Analyst Name:]],Table1[Analyst Name],Table1[Module])</f>
        <v>Automation</v>
      </c>
      <c r="D16" s="22" t="str">
        <f>_xlfn.XLOOKUP(Christus_Emp_Table[[#This Row],[Analyst Name:]],Table1[Analyst Name],Table1[Location])</f>
        <v>BLR</v>
      </c>
      <c r="E16" s="19" t="s">
        <v>112</v>
      </c>
      <c r="F16" s="17">
        <v>45677</v>
      </c>
      <c r="G16" s="17">
        <v>45677</v>
      </c>
      <c r="H16" s="22" t="s">
        <v>129</v>
      </c>
      <c r="I16" s="22" t="s">
        <v>128</v>
      </c>
      <c r="J16" s="22">
        <f>NETWORKDAYS(Christus_Emp_Table[[#This Row],[From Date:]],Christus_Emp_Table[[#This Row],[To Date:]])</f>
        <v>1</v>
      </c>
      <c r="L16" s="22" t="str">
        <f>_xlfn.XLOOKUP(Christus_Emp_Table[[#This Row],[Analyst Name:]],Table1[Analyst Name],Table1[Lead])</f>
        <v>Nitish Kumar</v>
      </c>
    </row>
    <row r="17" spans="1:12" x14ac:dyDescent="0.35">
      <c r="A17" s="21" t="s">
        <v>64</v>
      </c>
      <c r="B17" s="22" t="str">
        <f>_xlfn.XLOOKUP(Christus_Emp_Table[[#This Row],[Analyst Name:]],Table1[Analyst Name],Table1[Deloitte Email ID])</f>
        <v>tgupta10@deloitte.com</v>
      </c>
      <c r="C17" s="22" t="str">
        <f>_xlfn.XLOOKUP(Christus_Emp_Table[[#This Row],[Analyst Name:]],Table1[Analyst Name],Table1[Module])</f>
        <v>Automation</v>
      </c>
      <c r="D17" s="22" t="str">
        <f>_xlfn.XLOOKUP(Christus_Emp_Table[[#This Row],[Analyst Name:]],Table1[Analyst Name],Table1[Location])</f>
        <v>HYD</v>
      </c>
      <c r="E17" s="22" t="s">
        <v>127</v>
      </c>
      <c r="F17" s="17">
        <v>45670</v>
      </c>
      <c r="G17" s="17">
        <v>45674</v>
      </c>
      <c r="H17" s="22" t="s">
        <v>127</v>
      </c>
      <c r="I17" s="22" t="s">
        <v>128</v>
      </c>
      <c r="J17" s="22">
        <f>NETWORKDAYS(Christus_Emp_Table[[#This Row],[From Date:]],Christus_Emp_Table[[#This Row],[To Date:]])</f>
        <v>5</v>
      </c>
      <c r="L17" s="22" t="str">
        <f>_xlfn.XLOOKUP(Christus_Emp_Table[[#This Row],[Analyst Name:]],Table1[Analyst Name],Table1[Lead])</f>
        <v>Parth Zalavadia</v>
      </c>
    </row>
    <row r="18" spans="1:12" x14ac:dyDescent="0.35">
      <c r="A18" s="21" t="s">
        <v>45</v>
      </c>
      <c r="B18" s="22" t="str">
        <f>_xlfn.XLOOKUP(Christus_Emp_Table[[#This Row],[Analyst Name:]],Table1[Analyst Name],Table1[Deloitte Email ID])</f>
        <v>divmaheshwari@deloitte.com</v>
      </c>
      <c r="C18" s="22" t="str">
        <f>_xlfn.XLOOKUP(Christus_Emp_Table[[#This Row],[Analyst Name:]],Table1[Analyst Name],Table1[Module])</f>
        <v>MyChart</v>
      </c>
      <c r="D18" s="22" t="str">
        <f>_xlfn.XLOOKUP(Christus_Emp_Table[[#This Row],[Analyst Name:]],Table1[Analyst Name],Table1[Location])</f>
        <v>GUR</v>
      </c>
      <c r="E18" s="22" t="s">
        <v>127</v>
      </c>
      <c r="F18" s="17">
        <v>45659</v>
      </c>
      <c r="G18" s="17">
        <v>45660</v>
      </c>
      <c r="H18" s="22" t="s">
        <v>127</v>
      </c>
      <c r="I18" s="22" t="s">
        <v>128</v>
      </c>
      <c r="J18" s="22">
        <f>NETWORKDAYS(Christus_Emp_Table[[#This Row],[From Date:]],Christus_Emp_Table[[#This Row],[To Date:]])</f>
        <v>2</v>
      </c>
      <c r="L18" s="22" t="str">
        <f>_xlfn.XLOOKUP(Christus_Emp_Table[[#This Row],[Analyst Name:]],Table1[Analyst Name],Table1[Lead])</f>
        <v>Nitish Kumar</v>
      </c>
    </row>
    <row r="19" spans="1:12" x14ac:dyDescent="0.35">
      <c r="A19" s="21" t="s">
        <v>45</v>
      </c>
      <c r="B19" s="22" t="str">
        <f>_xlfn.XLOOKUP(Christus_Emp_Table[[#This Row],[Analyst Name:]],Table1[Analyst Name],Table1[Deloitte Email ID])</f>
        <v>divmaheshwari@deloitte.com</v>
      </c>
      <c r="C19" s="22" t="str">
        <f>_xlfn.XLOOKUP(Christus_Emp_Table[[#This Row],[Analyst Name:]],Table1[Analyst Name],Table1[Module])</f>
        <v>MyChart</v>
      </c>
      <c r="D19" s="22" t="str">
        <f>_xlfn.XLOOKUP(Christus_Emp_Table[[#This Row],[Analyst Name:]],Table1[Analyst Name],Table1[Location])</f>
        <v>GUR</v>
      </c>
      <c r="E19" s="22" t="s">
        <v>130</v>
      </c>
      <c r="F19" s="17">
        <v>45664</v>
      </c>
      <c r="G19" s="17">
        <v>45664</v>
      </c>
      <c r="H19" s="22" t="s">
        <v>127</v>
      </c>
      <c r="I19" s="22" t="s">
        <v>128</v>
      </c>
      <c r="J19" s="22">
        <f>NETWORKDAYS(Christus_Emp_Table[[#This Row],[From Date:]],Christus_Emp_Table[[#This Row],[To Date:]])</f>
        <v>1</v>
      </c>
      <c r="L19" s="22" t="str">
        <f>_xlfn.XLOOKUP(Christus_Emp_Table[[#This Row],[Analyst Name:]],Table1[Analyst Name],Table1[Lead])</f>
        <v>Nitish Kumar</v>
      </c>
    </row>
    <row r="20" spans="1:12" x14ac:dyDescent="0.35">
      <c r="A20" s="21" t="s">
        <v>45</v>
      </c>
      <c r="B20" s="22" t="str">
        <f>_xlfn.XLOOKUP(Christus_Emp_Table[[#This Row],[Analyst Name:]],Table1[Analyst Name],Table1[Deloitte Email ID])</f>
        <v>divmaheshwari@deloitte.com</v>
      </c>
      <c r="C20" s="22" t="str">
        <f>_xlfn.XLOOKUP(Christus_Emp_Table[[#This Row],[Analyst Name:]],Table1[Analyst Name],Table1[Module])</f>
        <v>MyChart</v>
      </c>
      <c r="D20" s="22" t="str">
        <f>_xlfn.XLOOKUP(Christus_Emp_Table[[#This Row],[Analyst Name:]],Table1[Analyst Name],Table1[Location])</f>
        <v>GUR</v>
      </c>
      <c r="E20" s="19" t="s">
        <v>112</v>
      </c>
      <c r="F20" s="17">
        <v>45670</v>
      </c>
      <c r="G20" s="17">
        <v>45670</v>
      </c>
      <c r="H20" s="22" t="s">
        <v>129</v>
      </c>
      <c r="I20" s="22" t="s">
        <v>128</v>
      </c>
      <c r="J20" s="22">
        <f>NETWORKDAYS(Christus_Emp_Table[[#This Row],[From Date:]],Christus_Emp_Table[[#This Row],[To Date:]])</f>
        <v>1</v>
      </c>
      <c r="L20" s="22" t="str">
        <f>_xlfn.XLOOKUP(Christus_Emp_Table[[#This Row],[Analyst Name:]],Table1[Analyst Name],Table1[Lead])</f>
        <v>Nitish Kumar</v>
      </c>
    </row>
    <row r="21" spans="1:12" x14ac:dyDescent="0.35">
      <c r="A21" s="21" t="s">
        <v>58</v>
      </c>
      <c r="B21" s="22" t="str">
        <f>_xlfn.XLOOKUP(Christus_Emp_Table[[#This Row],[Analyst Name:]],Table1[Analyst Name],Table1[Deloitte Email ID])</f>
        <v>rmbabu@deloitte.com</v>
      </c>
      <c r="C21" s="22" t="str">
        <f>_xlfn.XLOOKUP(Christus_Emp_Table[[#This Row],[Analyst Name:]],Table1[Analyst Name],Table1[Module])</f>
        <v>ECLink</v>
      </c>
      <c r="D21" s="22" t="str">
        <f>_xlfn.XLOOKUP(Christus_Emp_Table[[#This Row],[Analyst Name:]],Table1[Analyst Name],Table1[Location])</f>
        <v>HYD</v>
      </c>
      <c r="E21" s="19" t="s">
        <v>112</v>
      </c>
      <c r="F21" s="17">
        <v>45659</v>
      </c>
      <c r="G21" s="17">
        <v>45660</v>
      </c>
      <c r="H21" s="22" t="s">
        <v>129</v>
      </c>
      <c r="I21" s="22" t="s">
        <v>128</v>
      </c>
      <c r="J21" s="22">
        <f>NETWORKDAYS(Christus_Emp_Table[[#This Row],[From Date:]],Christus_Emp_Table[[#This Row],[To Date:]])</f>
        <v>2</v>
      </c>
      <c r="L21" s="22" t="str">
        <f>_xlfn.XLOOKUP(Christus_Emp_Table[[#This Row],[Analyst Name:]],Table1[Analyst Name],Table1[Lead])</f>
        <v>Nitish Kumar</v>
      </c>
    </row>
    <row r="22" spans="1:12" x14ac:dyDescent="0.35">
      <c r="A22" s="21" t="s">
        <v>48</v>
      </c>
      <c r="B22" s="22" t="str">
        <f>_xlfn.XLOOKUP(Christus_Emp_Table[[#This Row],[Analyst Name:]],Table1[Analyst Name],Table1[Deloitte Email ID])</f>
        <v>dwaikar@deloitte.com</v>
      </c>
      <c r="C22" s="22" t="str">
        <f>_xlfn.XLOOKUP(Christus_Emp_Table[[#This Row],[Analyst Name:]],Table1[Analyst Name],Table1[Module])</f>
        <v>SER</v>
      </c>
      <c r="D22" s="22" t="str">
        <f>_xlfn.XLOOKUP(Christus_Emp_Table[[#This Row],[Analyst Name:]],Table1[Analyst Name],Table1[Location])</f>
        <v>BLR</v>
      </c>
      <c r="E22" s="22" t="s">
        <v>127</v>
      </c>
      <c r="F22" s="17">
        <v>45670</v>
      </c>
      <c r="G22" s="17">
        <v>45670</v>
      </c>
      <c r="H22" s="22" t="s">
        <v>127</v>
      </c>
      <c r="I22" s="22" t="s">
        <v>128</v>
      </c>
      <c r="J22" s="22">
        <f>NETWORKDAYS(Christus_Emp_Table[[#This Row],[From Date:]],Christus_Emp_Table[[#This Row],[To Date:]])</f>
        <v>1</v>
      </c>
      <c r="L22" s="22" t="str">
        <f>_xlfn.XLOOKUP(Christus_Emp_Table[[#This Row],[Analyst Name:]],Table1[Analyst Name],Table1[Lead])</f>
        <v>Ankita Roy</v>
      </c>
    </row>
    <row r="23" spans="1:12" x14ac:dyDescent="0.35">
      <c r="A23" s="21" t="s">
        <v>48</v>
      </c>
      <c r="B23" s="22" t="str">
        <f>_xlfn.XLOOKUP(Christus_Emp_Table[[#This Row],[Analyst Name:]],Table1[Analyst Name],Table1[Deloitte Email ID])</f>
        <v>dwaikar@deloitte.com</v>
      </c>
      <c r="C23" s="22" t="str">
        <f>_xlfn.XLOOKUP(Christus_Emp_Table[[#This Row],[Analyst Name:]],Table1[Analyst Name],Table1[Module])</f>
        <v>SER</v>
      </c>
      <c r="D23" s="22" t="str">
        <f>_xlfn.XLOOKUP(Christus_Emp_Table[[#This Row],[Analyst Name:]],Table1[Analyst Name],Table1[Location])</f>
        <v>BLR</v>
      </c>
      <c r="E23" s="19" t="s">
        <v>112</v>
      </c>
      <c r="F23" s="17">
        <v>45672</v>
      </c>
      <c r="G23" s="17">
        <v>45672</v>
      </c>
      <c r="H23" s="22" t="s">
        <v>129</v>
      </c>
      <c r="I23" s="22" t="s">
        <v>128</v>
      </c>
      <c r="J23" s="22">
        <f>NETWORKDAYS(Christus_Emp_Table[[#This Row],[From Date:]],Christus_Emp_Table[[#This Row],[To Date:]])</f>
        <v>1</v>
      </c>
      <c r="L23" s="22" t="str">
        <f>_xlfn.XLOOKUP(Christus_Emp_Table[[#This Row],[Analyst Name:]],Table1[Analyst Name],Table1[Lead])</f>
        <v>Ankita Roy</v>
      </c>
    </row>
    <row r="24" spans="1:12" x14ac:dyDescent="0.35">
      <c r="A24" s="21" t="s">
        <v>33</v>
      </c>
      <c r="B24" s="22" t="str">
        <f>_xlfn.XLOOKUP(Christus_Emp_Table[[#This Row],[Analyst Name:]],Table1[Analyst Name],Table1[Deloitte Email ID])</f>
        <v>pjagdishzalavadia@deloitte.com</v>
      </c>
      <c r="C24" s="22" t="str">
        <f>_xlfn.XLOOKUP(Christus_Emp_Table[[#This Row],[Analyst Name:]],Table1[Analyst Name],Table1[Module])</f>
        <v>Bridges</v>
      </c>
      <c r="D24" s="22" t="str">
        <f>_xlfn.XLOOKUP(Christus_Emp_Table[[#This Row],[Analyst Name:]],Table1[Analyst Name],Table1[Location])</f>
        <v>BLR</v>
      </c>
      <c r="E24" s="22" t="s">
        <v>127</v>
      </c>
      <c r="F24" s="17">
        <v>45659</v>
      </c>
      <c r="G24" s="17">
        <v>45660</v>
      </c>
      <c r="H24" s="22" t="s">
        <v>127</v>
      </c>
      <c r="I24" s="22" t="s">
        <v>128</v>
      </c>
      <c r="J24" s="22">
        <f>NETWORKDAYS(Christus_Emp_Table[[#This Row],[From Date:]],Christus_Emp_Table[[#This Row],[To Date:]])</f>
        <v>2</v>
      </c>
      <c r="L24" s="22" t="str">
        <f>_xlfn.XLOOKUP(Christus_Emp_Table[[#This Row],[Analyst Name:]],Table1[Analyst Name],Table1[Lead])</f>
        <v>Tanima Debmallik/Nitish Kumar</v>
      </c>
    </row>
    <row r="25" spans="1:12" x14ac:dyDescent="0.35">
      <c r="A25" s="21" t="s">
        <v>33</v>
      </c>
      <c r="B25" s="22" t="str">
        <f>_xlfn.XLOOKUP(Christus_Emp_Table[[#This Row],[Analyst Name:]],Table1[Analyst Name],Table1[Deloitte Email ID])</f>
        <v>pjagdishzalavadia@deloitte.com</v>
      </c>
      <c r="C25" s="22" t="str">
        <f>_xlfn.XLOOKUP(Christus_Emp_Table[[#This Row],[Analyst Name:]],Table1[Analyst Name],Table1[Module])</f>
        <v>Bridges</v>
      </c>
      <c r="D25" s="22" t="str">
        <f>_xlfn.XLOOKUP(Christus_Emp_Table[[#This Row],[Analyst Name:]],Table1[Analyst Name],Table1[Location])</f>
        <v>BLR</v>
      </c>
      <c r="E25" s="22" t="s">
        <v>127</v>
      </c>
      <c r="F25" s="17">
        <v>45687</v>
      </c>
      <c r="G25" s="17">
        <v>45688</v>
      </c>
      <c r="H25" s="22" t="s">
        <v>127</v>
      </c>
      <c r="I25" s="22" t="s">
        <v>128</v>
      </c>
      <c r="J25" s="22">
        <f>NETWORKDAYS(Christus_Emp_Table[[#This Row],[From Date:]],Christus_Emp_Table[[#This Row],[To Date:]])</f>
        <v>2</v>
      </c>
      <c r="L25" s="22" t="str">
        <f>_xlfn.XLOOKUP(Christus_Emp_Table[[#This Row],[Analyst Name:]],Table1[Analyst Name],Table1[Lead])</f>
        <v>Tanima Debmallik/Nitish Kumar</v>
      </c>
    </row>
    <row r="26" spans="1:12" x14ac:dyDescent="0.35">
      <c r="A26" s="21" t="s">
        <v>41</v>
      </c>
      <c r="B26" s="22" t="str">
        <f>_xlfn.XLOOKUP(Christus_Emp_Table[[#This Row],[Analyst Name:]],Table1[Analyst Name],Table1[Deloitte Email ID])</f>
        <v>mpavkumar@deloitte.com</v>
      </c>
      <c r="C26" s="22" t="str">
        <f>_xlfn.XLOOKUP(Christus_Emp_Table[[#This Row],[Analyst Name:]],Table1[Analyst Name],Table1[Module])</f>
        <v>MyChart</v>
      </c>
      <c r="D26" s="22" t="str">
        <f>_xlfn.XLOOKUP(Christus_Emp_Table[[#This Row],[Analyst Name:]],Table1[Analyst Name],Table1[Location])</f>
        <v>HYD</v>
      </c>
      <c r="E26" s="19" t="s">
        <v>112</v>
      </c>
      <c r="F26" s="17">
        <v>45688</v>
      </c>
      <c r="G26" s="17">
        <v>45688</v>
      </c>
      <c r="H26" s="22" t="s">
        <v>129</v>
      </c>
      <c r="I26" s="22" t="s">
        <v>128</v>
      </c>
      <c r="J26" s="22">
        <f>NETWORKDAYS(Christus_Emp_Table[[#This Row],[From Date:]],Christus_Emp_Table[[#This Row],[To Date:]])</f>
        <v>1</v>
      </c>
      <c r="L26" s="22" t="str">
        <f>_xlfn.XLOOKUP(Christus_Emp_Table[[#This Row],[Analyst Name:]],Table1[Analyst Name],Table1[Lead])</f>
        <v>Nitish Kumar</v>
      </c>
    </row>
    <row r="27" spans="1:12" x14ac:dyDescent="0.35">
      <c r="A27" s="21" t="s">
        <v>43</v>
      </c>
      <c r="B27" s="22" t="str">
        <f>_xlfn.XLOOKUP(Christus_Emp_Table[[#This Row],[Analyst Name:]],Table1[Analyst Name],Table1[Deloitte Email ID])</f>
        <v>frai@deloitte.com</v>
      </c>
      <c r="C27" s="22" t="str">
        <f>_xlfn.XLOOKUP(Christus_Emp_Table[[#This Row],[Analyst Name:]],Table1[Analyst Name],Table1[Module])</f>
        <v>MyChart</v>
      </c>
      <c r="D27" s="22" t="str">
        <f>_xlfn.XLOOKUP(Christus_Emp_Table[[#This Row],[Analyst Name:]],Table1[Analyst Name],Table1[Location])</f>
        <v>HYD</v>
      </c>
      <c r="E27" s="22" t="s">
        <v>127</v>
      </c>
      <c r="F27" s="17">
        <v>45659</v>
      </c>
      <c r="G27" s="17">
        <v>45660</v>
      </c>
      <c r="H27" s="22" t="s">
        <v>127</v>
      </c>
      <c r="I27" s="22" t="s">
        <v>128</v>
      </c>
      <c r="J27" s="22">
        <f>NETWORKDAYS(Christus_Emp_Table[[#This Row],[From Date:]],Christus_Emp_Table[[#This Row],[To Date:]])</f>
        <v>2</v>
      </c>
      <c r="L27" s="22" t="str">
        <f>_xlfn.XLOOKUP(Christus_Emp_Table[[#This Row],[Analyst Name:]],Table1[Analyst Name],Table1[Lead])</f>
        <v>Nitish Kumar</v>
      </c>
    </row>
    <row r="28" spans="1:12" x14ac:dyDescent="0.35">
      <c r="A28" s="21" t="s">
        <v>21</v>
      </c>
      <c r="B28" s="22" t="str">
        <f>_xlfn.XLOOKUP(Christus_Emp_Table[[#This Row],[Analyst Name:]],Table1[Analyst Name],Table1[Deloitte Email ID])</f>
        <v>vbalasodongale@deloitte.com</v>
      </c>
      <c r="C28" s="22" t="str">
        <f>_xlfn.XLOOKUP(Christus_Emp_Table[[#This Row],[Analyst Name:]],Table1[Analyst Name],Table1[Module])</f>
        <v>Reporting</v>
      </c>
      <c r="D28" s="22" t="str">
        <f>_xlfn.XLOOKUP(Christus_Emp_Table[[#This Row],[Analyst Name:]],Table1[Analyst Name],Table1[Location])</f>
        <v>HYD</v>
      </c>
      <c r="E28" s="22" t="s">
        <v>127</v>
      </c>
      <c r="F28" s="17">
        <v>45659</v>
      </c>
      <c r="G28" s="17">
        <v>45660</v>
      </c>
      <c r="H28" s="22" t="s">
        <v>127</v>
      </c>
      <c r="I28" s="22" t="s">
        <v>128</v>
      </c>
      <c r="J28" s="22">
        <f>NETWORKDAYS(Christus_Emp_Table[[#This Row],[From Date:]],Christus_Emp_Table[[#This Row],[To Date:]])</f>
        <v>2</v>
      </c>
      <c r="L28" s="22">
        <f>_xlfn.XLOOKUP(Christus_Emp_Table[[#This Row],[Analyst Name:]],Table1[Analyst Name],Table1[Lead])</f>
        <v>0</v>
      </c>
    </row>
    <row r="29" spans="1:12" x14ac:dyDescent="0.35">
      <c r="A29" s="21" t="s">
        <v>21</v>
      </c>
      <c r="B29" s="22" t="str">
        <f>_xlfn.XLOOKUP(Christus_Emp_Table[[#This Row],[Analyst Name:]],Table1[Analyst Name],Table1[Deloitte Email ID])</f>
        <v>vbalasodongale@deloitte.com</v>
      </c>
      <c r="C29" s="22" t="str">
        <f>_xlfn.XLOOKUP(Christus_Emp_Table[[#This Row],[Analyst Name:]],Table1[Analyst Name],Table1[Module])</f>
        <v>Reporting</v>
      </c>
      <c r="D29" s="22" t="str">
        <f>_xlfn.XLOOKUP(Christus_Emp_Table[[#This Row],[Analyst Name:]],Table1[Analyst Name],Table1[Location])</f>
        <v>HYD</v>
      </c>
      <c r="E29" s="19" t="s">
        <v>112</v>
      </c>
      <c r="F29" s="17">
        <v>45666</v>
      </c>
      <c r="G29" s="17">
        <v>45666</v>
      </c>
      <c r="H29" s="22" t="s">
        <v>129</v>
      </c>
      <c r="I29" s="22" t="s">
        <v>128</v>
      </c>
      <c r="J29" s="22">
        <f>NETWORKDAYS(Christus_Emp_Table[[#This Row],[From Date:]],Christus_Emp_Table[[#This Row],[To Date:]])</f>
        <v>1</v>
      </c>
      <c r="L29" s="22">
        <f>_xlfn.XLOOKUP(Christus_Emp_Table[[#This Row],[Analyst Name:]],Table1[Analyst Name],Table1[Lead])</f>
        <v>0</v>
      </c>
    </row>
    <row r="30" spans="1:12" x14ac:dyDescent="0.35">
      <c r="A30" s="21" t="s">
        <v>15</v>
      </c>
      <c r="B30" s="22" t="str">
        <f>_xlfn.XLOOKUP(Christus_Emp_Table[[#This Row],[Analyst Name:]],Table1[Analyst Name],Table1[Deloitte Email ID])</f>
        <v>jbelel@deloitte.com</v>
      </c>
      <c r="C30" s="22" t="str">
        <f>_xlfn.XLOOKUP(Christus_Emp_Table[[#This Row],[Analyst Name:]],Table1[Analyst Name],Table1[Module])</f>
        <v>Reporting</v>
      </c>
      <c r="D30" s="22" t="str">
        <f>_xlfn.XLOOKUP(Christus_Emp_Table[[#This Row],[Analyst Name:]],Table1[Analyst Name],Table1[Location])</f>
        <v>MUM</v>
      </c>
      <c r="E30" s="22" t="s">
        <v>127</v>
      </c>
      <c r="F30" s="17">
        <v>45685</v>
      </c>
      <c r="G30" s="17">
        <v>45686</v>
      </c>
      <c r="H30" s="22" t="s">
        <v>127</v>
      </c>
      <c r="I30" s="22" t="s">
        <v>128</v>
      </c>
      <c r="J30" s="22">
        <f>NETWORKDAYS(Christus_Emp_Table[[#This Row],[From Date:]],Christus_Emp_Table[[#This Row],[To Date:]])</f>
        <v>2</v>
      </c>
      <c r="L30" s="22" t="str">
        <f>_xlfn.XLOOKUP(Christus_Emp_Table[[#This Row],[Analyst Name:]],Table1[Analyst Name],Table1[Lead])</f>
        <v>Tanima Debmallik/Nitish Kumar</v>
      </c>
    </row>
    <row r="31" spans="1:12" x14ac:dyDescent="0.35">
      <c r="A31" s="21" t="s">
        <v>11</v>
      </c>
      <c r="B31" s="22" t="str">
        <f>_xlfn.XLOOKUP(Christus_Emp_Table[[#This Row],[Analyst Name:]],Table1[Analyst Name],Table1[Deloitte Email ID])</f>
        <v>bharkumari@deloitte.com</v>
      </c>
      <c r="C31" s="22" t="str">
        <f>_xlfn.XLOOKUP(Christus_Emp_Table[[#This Row],[Analyst Name:]],Table1[Analyst Name],Table1[Module])</f>
        <v>Reporting</v>
      </c>
      <c r="D31" s="22" t="str">
        <f>_xlfn.XLOOKUP(Christus_Emp_Table[[#This Row],[Analyst Name:]],Table1[Analyst Name],Table1[Location])</f>
        <v>BLR</v>
      </c>
      <c r="E31" s="22" t="s">
        <v>127</v>
      </c>
      <c r="F31" s="17">
        <v>45659</v>
      </c>
      <c r="G31" s="17">
        <v>45664</v>
      </c>
      <c r="H31" s="22" t="s">
        <v>127</v>
      </c>
      <c r="I31" s="22" t="s">
        <v>128</v>
      </c>
      <c r="J31" s="22">
        <f>NETWORKDAYS(Christus_Emp_Table[[#This Row],[From Date:]],Christus_Emp_Table[[#This Row],[To Date:]])</f>
        <v>4</v>
      </c>
      <c r="L31" s="22" t="str">
        <f>_xlfn.XLOOKUP(Christus_Emp_Table[[#This Row],[Analyst Name:]],Table1[Analyst Name],Table1[Lead])</f>
        <v>Nitish Kumar</v>
      </c>
    </row>
    <row r="32" spans="1:12" x14ac:dyDescent="0.35">
      <c r="A32" s="21" t="s">
        <v>6</v>
      </c>
      <c r="B32" s="22" t="str">
        <f>_xlfn.XLOOKUP(Christus_Emp_Table[[#This Row],[Analyst Name:]],Table1[Analyst Name],Table1[Deloitte Email ID])</f>
        <v>nitishkumar44@deloitte.com</v>
      </c>
      <c r="C32" s="22" t="str">
        <f>_xlfn.XLOOKUP(Christus_Emp_Table[[#This Row],[Analyst Name:]],Table1[Analyst Name],Table1[Module])</f>
        <v>Reporting</v>
      </c>
      <c r="D32" s="22" t="str">
        <f>_xlfn.XLOOKUP(Christus_Emp_Table[[#This Row],[Analyst Name:]],Table1[Analyst Name],Table1[Location])</f>
        <v>BLR</v>
      </c>
      <c r="E32" s="19" t="s">
        <v>112</v>
      </c>
      <c r="F32" s="17">
        <v>45685</v>
      </c>
      <c r="G32" s="17">
        <v>45686</v>
      </c>
      <c r="H32" s="22" t="s">
        <v>129</v>
      </c>
      <c r="I32" s="22" t="s">
        <v>128</v>
      </c>
      <c r="J32" s="22">
        <f>NETWORKDAYS(Christus_Emp_Table[[#This Row],[From Date:]],Christus_Emp_Table[[#This Row],[To Date:]])</f>
        <v>2</v>
      </c>
      <c r="L32" s="22">
        <f>_xlfn.XLOOKUP(Christus_Emp_Table[[#This Row],[Analyst Name:]],Table1[Analyst Name],Table1[Lead])</f>
        <v>0</v>
      </c>
    </row>
    <row r="33" spans="1:12" x14ac:dyDescent="0.35">
      <c r="A33" s="21" t="s">
        <v>13</v>
      </c>
      <c r="B33" s="22" t="str">
        <f>_xlfn.XLOOKUP(Christus_Emp_Table[[#This Row],[Analyst Name:]],Table1[Analyst Name],Table1[Deloitte Email ID])</f>
        <v>srug@deloitte.com</v>
      </c>
      <c r="C33" s="22" t="str">
        <f>_xlfn.XLOOKUP(Christus_Emp_Table[[#This Row],[Analyst Name:]],Table1[Analyst Name],Table1[Module])</f>
        <v>Reporting</v>
      </c>
      <c r="D33" s="22" t="str">
        <f>_xlfn.XLOOKUP(Christus_Emp_Table[[#This Row],[Analyst Name:]],Table1[Analyst Name],Table1[Location])</f>
        <v>BLR</v>
      </c>
      <c r="E33" s="22" t="s">
        <v>127</v>
      </c>
      <c r="F33" s="17">
        <v>45702</v>
      </c>
      <c r="G33" s="17">
        <v>45702</v>
      </c>
      <c r="H33" s="22" t="s">
        <v>127</v>
      </c>
      <c r="I33" s="22" t="s">
        <v>128</v>
      </c>
      <c r="J33" s="22">
        <f>NETWORKDAYS(Christus_Emp_Table[[#This Row],[From Date:]],Christus_Emp_Table[[#This Row],[To Date:]])</f>
        <v>1</v>
      </c>
      <c r="L33" s="22" t="str">
        <f>_xlfn.XLOOKUP(Christus_Emp_Table[[#This Row],[Analyst Name:]],Table1[Analyst Name],Table1[Lead])</f>
        <v>Jagannath Belel</v>
      </c>
    </row>
    <row r="34" spans="1:12" x14ac:dyDescent="0.35">
      <c r="A34" s="21" t="s">
        <v>68</v>
      </c>
      <c r="B34" s="22" t="str">
        <f>_xlfn.XLOOKUP(Christus_Emp_Table[[#This Row],[Analyst Name:]],Table1[Analyst Name],Table1[Deloitte Email ID])</f>
        <v>anussaha@deloitte.com</v>
      </c>
      <c r="C34" s="22" t="str">
        <f>_xlfn.XLOOKUP(Christus_Emp_Table[[#This Row],[Analyst Name:]],Table1[Analyst Name],Table1[Module])</f>
        <v>Automation</v>
      </c>
      <c r="D34" s="22" t="str">
        <f>_xlfn.XLOOKUP(Christus_Emp_Table[[#This Row],[Analyst Name:]],Table1[Analyst Name],Table1[Location])</f>
        <v>HYD</v>
      </c>
      <c r="E34" s="22" t="s">
        <v>127</v>
      </c>
      <c r="F34" s="17">
        <v>45691</v>
      </c>
      <c r="G34" s="17">
        <v>45702</v>
      </c>
      <c r="H34" s="22" t="s">
        <v>127</v>
      </c>
      <c r="I34" s="22" t="s">
        <v>128</v>
      </c>
      <c r="J34" s="22">
        <f>NETWORKDAYS(Christus_Emp_Table[[#This Row],[From Date:]],Christus_Emp_Table[[#This Row],[To Date:]])</f>
        <v>10</v>
      </c>
      <c r="L34" s="22" t="str">
        <f>_xlfn.XLOOKUP(Christus_Emp_Table[[#This Row],[Analyst Name:]],Table1[Analyst Name],Table1[Lead])</f>
        <v>Nitish Kumar</v>
      </c>
    </row>
    <row r="35" spans="1:12" x14ac:dyDescent="0.35">
      <c r="A35" s="21" t="s">
        <v>68</v>
      </c>
      <c r="B35" s="22" t="str">
        <f>_xlfn.XLOOKUP(Christus_Emp_Table[[#This Row],[Analyst Name:]],Table1[Analyst Name],Table1[Deloitte Email ID])</f>
        <v>anussaha@deloitte.com</v>
      </c>
      <c r="C35" s="22" t="str">
        <f>_xlfn.XLOOKUP(Christus_Emp_Table[[#This Row],[Analyst Name:]],Table1[Analyst Name],Table1[Module])</f>
        <v>Automation</v>
      </c>
      <c r="D35" s="22" t="str">
        <f>_xlfn.XLOOKUP(Christus_Emp_Table[[#This Row],[Analyst Name:]],Table1[Analyst Name],Table1[Location])</f>
        <v>HYD</v>
      </c>
      <c r="E35" s="22" t="s">
        <v>127</v>
      </c>
      <c r="F35" s="17">
        <v>45713</v>
      </c>
      <c r="G35" s="17">
        <v>45713</v>
      </c>
      <c r="H35" s="22" t="s">
        <v>127</v>
      </c>
      <c r="I35" s="22" t="s">
        <v>128</v>
      </c>
      <c r="J35" s="22">
        <f>NETWORKDAYS(Christus_Emp_Table[[#This Row],[From Date:]],Christus_Emp_Table[[#This Row],[To Date:]])</f>
        <v>1</v>
      </c>
      <c r="L35" s="22" t="str">
        <f>_xlfn.XLOOKUP(Christus_Emp_Table[[#This Row],[Analyst Name:]],Table1[Analyst Name],Table1[Lead])</f>
        <v>Nitish Kumar</v>
      </c>
    </row>
    <row r="36" spans="1:12" x14ac:dyDescent="0.35">
      <c r="A36" s="21" t="s">
        <v>52</v>
      </c>
      <c r="B36" s="22" t="str">
        <f>_xlfn.XLOOKUP(Christus_Emp_Table[[#This Row],[Analyst Name:]],Table1[Analyst Name],Table1[Deloitte Email ID])</f>
        <v>Drajitha@deloitte.com</v>
      </c>
      <c r="C36" s="22" t="str">
        <f>_xlfn.XLOOKUP(Christus_Emp_Table[[#This Row],[Analyst Name:]],Table1[Analyst Name],Table1[Module])</f>
        <v>SER</v>
      </c>
      <c r="D36" s="22" t="str">
        <f>_xlfn.XLOOKUP(Christus_Emp_Table[[#This Row],[Analyst Name:]],Table1[Analyst Name],Table1[Location])</f>
        <v>BLR</v>
      </c>
      <c r="E36" s="22" t="s">
        <v>127</v>
      </c>
      <c r="F36" s="17">
        <v>45701</v>
      </c>
      <c r="G36" s="17">
        <v>45702</v>
      </c>
      <c r="H36" s="22" t="s">
        <v>127</v>
      </c>
      <c r="I36" s="22" t="s">
        <v>128</v>
      </c>
      <c r="J36" s="22">
        <f>NETWORKDAYS(Christus_Emp_Table[[#This Row],[From Date:]],Christus_Emp_Table[[#This Row],[To Date:]])</f>
        <v>2</v>
      </c>
      <c r="L36" s="22" t="str">
        <f>_xlfn.XLOOKUP(Christus_Emp_Table[[#This Row],[Analyst Name:]],Table1[Analyst Name],Table1[Lead])</f>
        <v>Ankita Roy</v>
      </c>
    </row>
    <row r="37" spans="1:12" x14ac:dyDescent="0.35">
      <c r="A37" s="21" t="s">
        <v>52</v>
      </c>
      <c r="B37" s="22" t="str">
        <f>_xlfn.XLOOKUP(Christus_Emp_Table[[#This Row],[Analyst Name:]],Table1[Analyst Name],Table1[Deloitte Email ID])</f>
        <v>Drajitha@deloitte.com</v>
      </c>
      <c r="C37" s="22" t="str">
        <f>_xlfn.XLOOKUP(Christus_Emp_Table[[#This Row],[Analyst Name:]],Table1[Analyst Name],Table1[Module])</f>
        <v>SER</v>
      </c>
      <c r="D37" s="22" t="str">
        <f>_xlfn.XLOOKUP(Christus_Emp_Table[[#This Row],[Analyst Name:]],Table1[Analyst Name],Table1[Location])</f>
        <v>BLR</v>
      </c>
      <c r="E37" s="22" t="s">
        <v>127</v>
      </c>
      <c r="F37" s="17">
        <v>45715</v>
      </c>
      <c r="G37" s="17">
        <v>45716</v>
      </c>
      <c r="H37" s="22" t="s">
        <v>127</v>
      </c>
      <c r="I37" s="22" t="s">
        <v>128</v>
      </c>
      <c r="J37" s="22">
        <f>NETWORKDAYS(Christus_Emp_Table[[#This Row],[From Date:]],Christus_Emp_Table[[#This Row],[To Date:]])</f>
        <v>2</v>
      </c>
      <c r="L37" s="22" t="str">
        <f>_xlfn.XLOOKUP(Christus_Emp_Table[[#This Row],[Analyst Name:]],Table1[Analyst Name],Table1[Lead])</f>
        <v>Ankita Roy</v>
      </c>
    </row>
    <row r="38" spans="1:12" x14ac:dyDescent="0.35">
      <c r="A38" s="21" t="s">
        <v>79</v>
      </c>
      <c r="B38" s="22" t="str">
        <f>_xlfn.XLOOKUP(Christus_Emp_Table[[#This Row],[Analyst Name:]],Table1[Analyst Name],Table1[Deloitte Email ID])</f>
        <v>pragrawat@deloitte.com</v>
      </c>
      <c r="C38" s="22" t="str">
        <f>_xlfn.XLOOKUP(Christus_Emp_Table[[#This Row],[Analyst Name:]],Table1[Analyst Name],Table1[Module])</f>
        <v>EC/DC</v>
      </c>
      <c r="D38" s="22" t="str">
        <f>_xlfn.XLOOKUP(Christus_Emp_Table[[#This Row],[Analyst Name:]],Table1[Analyst Name],Table1[Location])</f>
        <v>GUR</v>
      </c>
      <c r="E38" s="22" t="s">
        <v>127</v>
      </c>
      <c r="F38" s="17">
        <v>45705</v>
      </c>
      <c r="G38" s="17">
        <v>45706</v>
      </c>
      <c r="H38" s="22" t="s">
        <v>127</v>
      </c>
      <c r="I38" s="22" t="s">
        <v>128</v>
      </c>
      <c r="J38" s="22">
        <f>NETWORKDAYS(Christus_Emp_Table[[#This Row],[From Date:]],Christus_Emp_Table[[#This Row],[To Date:]])</f>
        <v>2</v>
      </c>
      <c r="L38" s="22" t="str">
        <f>_xlfn.XLOOKUP(Christus_Emp_Table[[#This Row],[Analyst Name:]],Table1[Analyst Name],Table1[Lead])</f>
        <v>Ankita Roy</v>
      </c>
    </row>
    <row r="39" spans="1:12" x14ac:dyDescent="0.35">
      <c r="A39" s="21" t="s">
        <v>51</v>
      </c>
      <c r="B39" s="22" t="str">
        <f>_xlfn.XLOOKUP(Christus_Emp_Table[[#This Row],[Analyst Name:]],Table1[Analyst Name],Table1[Deloitte Email ID])</f>
        <v>ankitaroy2@deloitte.com</v>
      </c>
      <c r="C39" s="22" t="str">
        <f>_xlfn.XLOOKUP(Christus_Emp_Table[[#This Row],[Analyst Name:]],Table1[Analyst Name],Table1[Module])</f>
        <v>EC/DC</v>
      </c>
      <c r="D39" s="22" t="str">
        <f>_xlfn.XLOOKUP(Christus_Emp_Table[[#This Row],[Analyst Name:]],Table1[Analyst Name],Table1[Location])</f>
        <v>BLR</v>
      </c>
      <c r="E39" s="22" t="s">
        <v>127</v>
      </c>
      <c r="F39" s="17">
        <v>45701</v>
      </c>
      <c r="G39" s="17">
        <v>45702</v>
      </c>
      <c r="H39" s="22" t="s">
        <v>127</v>
      </c>
      <c r="I39" s="22" t="s">
        <v>128</v>
      </c>
      <c r="J39" s="22">
        <f>NETWORKDAYS(Christus_Emp_Table[[#This Row],[From Date:]],Christus_Emp_Table[[#This Row],[To Date:]])</f>
        <v>2</v>
      </c>
      <c r="L39" s="22">
        <f>_xlfn.XLOOKUP(Christus_Emp_Table[[#This Row],[Analyst Name:]],Table1[Analyst Name],Table1[Lead])</f>
        <v>0</v>
      </c>
    </row>
    <row r="40" spans="1:12" x14ac:dyDescent="0.35">
      <c r="A40" s="21" t="s">
        <v>51</v>
      </c>
      <c r="B40" s="22" t="str">
        <f>_xlfn.XLOOKUP(Christus_Emp_Table[[#This Row],[Analyst Name:]],Table1[Analyst Name],Table1[Deloitte Email ID])</f>
        <v>ankitaroy2@deloitte.com</v>
      </c>
      <c r="C40" s="22" t="str">
        <f>_xlfn.XLOOKUP(Christus_Emp_Table[[#This Row],[Analyst Name:]],Table1[Analyst Name],Table1[Module])</f>
        <v>EC/DC</v>
      </c>
      <c r="D40" s="22" t="str">
        <f>_xlfn.XLOOKUP(Christus_Emp_Table[[#This Row],[Analyst Name:]],Table1[Analyst Name],Table1[Location])</f>
        <v>BLR</v>
      </c>
      <c r="E40" s="22" t="s">
        <v>127</v>
      </c>
      <c r="F40" s="17">
        <v>45715</v>
      </c>
      <c r="G40" s="17">
        <v>45716</v>
      </c>
      <c r="H40" s="22" t="s">
        <v>127</v>
      </c>
      <c r="I40" s="22" t="s">
        <v>128</v>
      </c>
      <c r="J40" s="22">
        <f>NETWORKDAYS(Christus_Emp_Table[[#This Row],[From Date:]],Christus_Emp_Table[[#This Row],[To Date:]])</f>
        <v>2</v>
      </c>
      <c r="L40" s="22">
        <f>_xlfn.XLOOKUP(Christus_Emp_Table[[#This Row],[Analyst Name:]],Table1[Analyst Name],Table1[Lead])</f>
        <v>0</v>
      </c>
    </row>
    <row r="41" spans="1:12" x14ac:dyDescent="0.35">
      <c r="A41" s="21" t="s">
        <v>72</v>
      </c>
      <c r="B41" s="22" t="str">
        <f>_xlfn.XLOOKUP(Christus_Emp_Table[[#This Row],[Analyst Name:]],Table1[Analyst Name],Table1[Deloitte Email ID])</f>
        <v>susujitha@deloitte.com</v>
      </c>
      <c r="C41" s="22" t="str">
        <f>_xlfn.XLOOKUP(Christus_Emp_Table[[#This Row],[Analyst Name:]],Table1[Analyst Name],Table1[Module])</f>
        <v>QA</v>
      </c>
      <c r="D41" s="22" t="str">
        <f>_xlfn.XLOOKUP(Christus_Emp_Table[[#This Row],[Analyst Name:]],Table1[Analyst Name],Table1[Location])</f>
        <v>HYD</v>
      </c>
      <c r="E41" s="19" t="s">
        <v>112</v>
      </c>
      <c r="F41" s="17">
        <v>45716</v>
      </c>
      <c r="G41" s="17">
        <v>45716</v>
      </c>
      <c r="H41" s="22" t="s">
        <v>129</v>
      </c>
      <c r="I41" s="22" t="s">
        <v>128</v>
      </c>
      <c r="J41" s="22">
        <f>NETWORKDAYS(Christus_Emp_Table[[#This Row],[From Date:]],Christus_Emp_Table[[#This Row],[To Date:]])</f>
        <v>1</v>
      </c>
      <c r="L41" s="22" t="str">
        <f>_xlfn.XLOOKUP(Christus_Emp_Table[[#This Row],[Analyst Name:]],Table1[Analyst Name],Table1[Lead])</f>
        <v>Ankita Roy</v>
      </c>
    </row>
    <row r="42" spans="1:12" x14ac:dyDescent="0.35">
      <c r="A42" s="21" t="s">
        <v>25</v>
      </c>
      <c r="B42" s="22" t="str">
        <f>_xlfn.XLOOKUP(Christus_Emp_Table[[#This Row],[Analyst Name:]],Table1[Analyst Name],Table1[Deloitte Email ID])</f>
        <v>apriyankapravalli@deloitte.com</v>
      </c>
      <c r="C42" s="22" t="str">
        <f>_xlfn.XLOOKUP(Christus_Emp_Table[[#This Row],[Analyst Name:]],Table1[Analyst Name],Table1[Module])</f>
        <v>Reporting</v>
      </c>
      <c r="D42" s="22" t="str">
        <f>_xlfn.XLOOKUP(Christus_Emp_Table[[#This Row],[Analyst Name:]],Table1[Analyst Name],Table1[Location])</f>
        <v>HYD</v>
      </c>
      <c r="E42" s="22" t="s">
        <v>127</v>
      </c>
      <c r="F42" s="17">
        <v>45716</v>
      </c>
      <c r="G42" s="17">
        <v>45716</v>
      </c>
      <c r="H42" s="22" t="s">
        <v>127</v>
      </c>
      <c r="I42" s="22" t="s">
        <v>128</v>
      </c>
      <c r="J42" s="22">
        <f>NETWORKDAYS(Christus_Emp_Table[[#This Row],[From Date:]],Christus_Emp_Table[[#This Row],[To Date:]])</f>
        <v>1</v>
      </c>
      <c r="L42" s="22">
        <f>_xlfn.XLOOKUP(Christus_Emp_Table[[#This Row],[Analyst Name:]],Table1[Analyst Name],Table1[Lead])</f>
        <v>0</v>
      </c>
    </row>
    <row r="43" spans="1:12" x14ac:dyDescent="0.35">
      <c r="A43" s="21" t="s">
        <v>61</v>
      </c>
      <c r="B43" s="22" t="str">
        <f>_xlfn.XLOOKUP(Christus_Emp_Table[[#This Row],[Analyst Name:]],Table1[Analyst Name],Table1[Deloitte Email ID])</f>
        <v>pbraj@deloitte.com</v>
      </c>
      <c r="C43" s="22" t="str">
        <f>_xlfn.XLOOKUP(Christus_Emp_Table[[#This Row],[Analyst Name:]],Table1[Analyst Name],Table1[Module])</f>
        <v>Automation</v>
      </c>
      <c r="D43" s="22" t="str">
        <f>_xlfn.XLOOKUP(Christus_Emp_Table[[#This Row],[Analyst Name:]],Table1[Analyst Name],Table1[Location])</f>
        <v>BLR</v>
      </c>
      <c r="E43" s="22" t="s">
        <v>127</v>
      </c>
      <c r="F43" s="17">
        <v>45701</v>
      </c>
      <c r="G43" s="17">
        <v>45702</v>
      </c>
      <c r="H43" s="22" t="s">
        <v>127</v>
      </c>
      <c r="I43" s="22" t="s">
        <v>128</v>
      </c>
      <c r="J43" s="22">
        <f>NETWORKDAYS(Christus_Emp_Table[[#This Row],[From Date:]],Christus_Emp_Table[[#This Row],[To Date:]])</f>
        <v>2</v>
      </c>
      <c r="L43" s="22" t="str">
        <f>_xlfn.XLOOKUP(Christus_Emp_Table[[#This Row],[Analyst Name:]],Table1[Analyst Name],Table1[Lead])</f>
        <v>Nitish Kumar</v>
      </c>
    </row>
    <row r="44" spans="1:12" x14ac:dyDescent="0.35">
      <c r="A44" s="21" t="s">
        <v>64</v>
      </c>
      <c r="B44" s="22" t="str">
        <f>_xlfn.XLOOKUP(Christus_Emp_Table[[#This Row],[Analyst Name:]],Table1[Analyst Name],Table1[Deloitte Email ID])</f>
        <v>tgupta10@deloitte.com</v>
      </c>
      <c r="C44" s="22" t="str">
        <f>_xlfn.XLOOKUP(Christus_Emp_Table[[#This Row],[Analyst Name:]],Table1[Analyst Name],Table1[Module])</f>
        <v>Automation</v>
      </c>
      <c r="D44" s="22" t="str">
        <f>_xlfn.XLOOKUP(Christus_Emp_Table[[#This Row],[Analyst Name:]],Table1[Analyst Name],Table1[Location])</f>
        <v>HYD</v>
      </c>
      <c r="E44" s="19" t="s">
        <v>112</v>
      </c>
      <c r="F44" s="17">
        <v>45694</v>
      </c>
      <c r="G44" s="17">
        <v>45694</v>
      </c>
      <c r="H44" s="22" t="s">
        <v>129</v>
      </c>
      <c r="I44" s="22" t="s">
        <v>128</v>
      </c>
      <c r="J44" s="22">
        <f>NETWORKDAYS(Christus_Emp_Table[[#This Row],[From Date:]],Christus_Emp_Table[[#This Row],[To Date:]])</f>
        <v>1</v>
      </c>
      <c r="L44" s="22" t="str">
        <f>_xlfn.XLOOKUP(Christus_Emp_Table[[#This Row],[Analyst Name:]],Table1[Analyst Name],Table1[Lead])</f>
        <v>Parth Zalavadia</v>
      </c>
    </row>
    <row r="45" spans="1:12" x14ac:dyDescent="0.35">
      <c r="A45" s="21" t="s">
        <v>54</v>
      </c>
      <c r="B45" s="22" t="str">
        <f>_xlfn.XLOOKUP(Christus_Emp_Table[[#This Row],[Analyst Name:]],Table1[Analyst Name],Table1[Deloitte Email ID])</f>
        <v>lakaur@deloitte.com</v>
      </c>
      <c r="C45" s="22" t="str">
        <f>_xlfn.XLOOKUP(Christus_Emp_Table[[#This Row],[Analyst Name:]],Table1[Analyst Name],Table1[Module])</f>
        <v>SER</v>
      </c>
      <c r="D45" s="22" t="str">
        <f>_xlfn.XLOOKUP(Christus_Emp_Table[[#This Row],[Analyst Name:]],Table1[Analyst Name],Table1[Location])</f>
        <v>GUR</v>
      </c>
      <c r="E45" s="22" t="s">
        <v>127</v>
      </c>
      <c r="F45" s="17">
        <v>45695</v>
      </c>
      <c r="G45" s="17">
        <v>45695</v>
      </c>
      <c r="H45" s="22" t="s">
        <v>127</v>
      </c>
      <c r="I45" s="22" t="s">
        <v>128</v>
      </c>
      <c r="J45" s="22">
        <f>NETWORKDAYS(Christus_Emp_Table[[#This Row],[From Date:]],Christus_Emp_Table[[#This Row],[To Date:]])</f>
        <v>1</v>
      </c>
      <c r="L45" s="22" t="str">
        <f>_xlfn.XLOOKUP(Christus_Emp_Table[[#This Row],[Analyst Name:]],Table1[Analyst Name],Table1[Lead])</f>
        <v>Ankita Roy</v>
      </c>
    </row>
    <row r="46" spans="1:12" x14ac:dyDescent="0.35">
      <c r="A46" s="21" t="s">
        <v>45</v>
      </c>
      <c r="B46" s="22" t="str">
        <f>_xlfn.XLOOKUP(Christus_Emp_Table[[#This Row],[Analyst Name:]],Table1[Analyst Name],Table1[Deloitte Email ID])</f>
        <v>divmaheshwari@deloitte.com</v>
      </c>
      <c r="C46" s="22" t="str">
        <f>_xlfn.XLOOKUP(Christus_Emp_Table[[#This Row],[Analyst Name:]],Table1[Analyst Name],Table1[Module])</f>
        <v>MyChart</v>
      </c>
      <c r="D46" s="22" t="str">
        <f>_xlfn.XLOOKUP(Christus_Emp_Table[[#This Row],[Analyst Name:]],Table1[Analyst Name],Table1[Location])</f>
        <v>GUR</v>
      </c>
      <c r="E46" s="22" t="s">
        <v>127</v>
      </c>
      <c r="F46" s="17">
        <v>45705</v>
      </c>
      <c r="G46" s="17">
        <v>45706</v>
      </c>
      <c r="H46" s="22" t="s">
        <v>127</v>
      </c>
      <c r="I46" s="22" t="s">
        <v>128</v>
      </c>
      <c r="J46" s="22">
        <f>NETWORKDAYS(Christus_Emp_Table[[#This Row],[From Date:]],Christus_Emp_Table[[#This Row],[To Date:]])</f>
        <v>2</v>
      </c>
      <c r="L46" s="22" t="str">
        <f>_xlfn.XLOOKUP(Christus_Emp_Table[[#This Row],[Analyst Name:]],Table1[Analyst Name],Table1[Lead])</f>
        <v>Nitish Kumar</v>
      </c>
    </row>
    <row r="47" spans="1:12" x14ac:dyDescent="0.35">
      <c r="A47" s="21" t="s">
        <v>58</v>
      </c>
      <c r="B47" s="22" t="str">
        <f>_xlfn.XLOOKUP(Christus_Emp_Table[[#This Row],[Analyst Name:]],Table1[Analyst Name],Table1[Deloitte Email ID])</f>
        <v>rmbabu@deloitte.com</v>
      </c>
      <c r="C47" s="22" t="str">
        <f>_xlfn.XLOOKUP(Christus_Emp_Table[[#This Row],[Analyst Name:]],Table1[Analyst Name],Table1[Module])</f>
        <v>ECLink</v>
      </c>
      <c r="D47" s="22" t="str">
        <f>_xlfn.XLOOKUP(Christus_Emp_Table[[#This Row],[Analyst Name:]],Table1[Analyst Name],Table1[Location])</f>
        <v>HYD</v>
      </c>
      <c r="E47" s="22" t="s">
        <v>130</v>
      </c>
      <c r="F47" s="17">
        <v>45698</v>
      </c>
      <c r="G47" s="17">
        <v>45698</v>
      </c>
      <c r="H47" s="22" t="s">
        <v>130</v>
      </c>
      <c r="I47" s="22" t="s">
        <v>128</v>
      </c>
      <c r="J47" s="22">
        <f>NETWORKDAYS(Christus_Emp_Table[[#This Row],[From Date:]],Christus_Emp_Table[[#This Row],[To Date:]])</f>
        <v>1</v>
      </c>
      <c r="L47" s="22" t="str">
        <f>_xlfn.XLOOKUP(Christus_Emp_Table[[#This Row],[Analyst Name:]],Table1[Analyst Name],Table1[Lead])</f>
        <v>Nitish Kumar</v>
      </c>
    </row>
    <row r="48" spans="1:12" x14ac:dyDescent="0.35">
      <c r="A48" s="21" t="s">
        <v>48</v>
      </c>
      <c r="B48" s="22" t="str">
        <f>_xlfn.XLOOKUP(Christus_Emp_Table[[#This Row],[Analyst Name:]],Table1[Analyst Name],Table1[Deloitte Email ID])</f>
        <v>dwaikar@deloitte.com</v>
      </c>
      <c r="C48" s="22" t="str">
        <f>_xlfn.XLOOKUP(Christus_Emp_Table[[#This Row],[Analyst Name:]],Table1[Analyst Name],Table1[Module])</f>
        <v>SER</v>
      </c>
      <c r="D48" s="22" t="str">
        <f>_xlfn.XLOOKUP(Christus_Emp_Table[[#This Row],[Analyst Name:]],Table1[Analyst Name],Table1[Location])</f>
        <v>BLR</v>
      </c>
      <c r="E48" s="22" t="s">
        <v>127</v>
      </c>
      <c r="F48" s="17">
        <v>45712</v>
      </c>
      <c r="G48" s="17">
        <v>45712</v>
      </c>
      <c r="H48" s="22" t="s">
        <v>127</v>
      </c>
      <c r="I48" s="22" t="s">
        <v>128</v>
      </c>
      <c r="J48" s="22">
        <f>NETWORKDAYS(Christus_Emp_Table[[#This Row],[From Date:]],Christus_Emp_Table[[#This Row],[To Date:]])</f>
        <v>1</v>
      </c>
      <c r="L48" s="22" t="str">
        <f>_xlfn.XLOOKUP(Christus_Emp_Table[[#This Row],[Analyst Name:]],Table1[Analyst Name],Table1[Lead])</f>
        <v>Ankita Roy</v>
      </c>
    </row>
    <row r="49" spans="1:12" x14ac:dyDescent="0.35">
      <c r="A49" s="21" t="s">
        <v>33</v>
      </c>
      <c r="B49" s="22" t="str">
        <f>_xlfn.XLOOKUP(Christus_Emp_Table[[#This Row],[Analyst Name:]],Table1[Analyst Name],Table1[Deloitte Email ID])</f>
        <v>pjagdishzalavadia@deloitte.com</v>
      </c>
      <c r="C49" s="22" t="str">
        <f>_xlfn.XLOOKUP(Christus_Emp_Table[[#This Row],[Analyst Name:]],Table1[Analyst Name],Table1[Module])</f>
        <v>Bridges</v>
      </c>
      <c r="D49" s="22" t="str">
        <f>_xlfn.XLOOKUP(Christus_Emp_Table[[#This Row],[Analyst Name:]],Table1[Analyst Name],Table1[Location])</f>
        <v>BLR</v>
      </c>
      <c r="E49" s="22" t="s">
        <v>130</v>
      </c>
      <c r="F49" s="17">
        <v>45692</v>
      </c>
      <c r="G49" s="17">
        <v>45692</v>
      </c>
      <c r="H49" s="22" t="s">
        <v>130</v>
      </c>
      <c r="I49" s="22" t="s">
        <v>128</v>
      </c>
      <c r="J49" s="22">
        <f>NETWORKDAYS(Christus_Emp_Table[[#This Row],[From Date:]],Christus_Emp_Table[[#This Row],[To Date:]])</f>
        <v>1</v>
      </c>
      <c r="L49" s="22" t="str">
        <f>_xlfn.XLOOKUP(Christus_Emp_Table[[#This Row],[Analyst Name:]],Table1[Analyst Name],Table1[Lead])</f>
        <v>Tanima Debmallik/Nitish Kumar</v>
      </c>
    </row>
    <row r="50" spans="1:12" x14ac:dyDescent="0.35">
      <c r="A50" s="21" t="s">
        <v>33</v>
      </c>
      <c r="B50" s="22" t="str">
        <f>_xlfn.XLOOKUP(Christus_Emp_Table[[#This Row],[Analyst Name:]],Table1[Analyst Name],Table1[Deloitte Email ID])</f>
        <v>pjagdishzalavadia@deloitte.com</v>
      </c>
      <c r="C50" s="22" t="str">
        <f>_xlfn.XLOOKUP(Christus_Emp_Table[[#This Row],[Analyst Name:]],Table1[Analyst Name],Table1[Module])</f>
        <v>Bridges</v>
      </c>
      <c r="D50" s="22" t="str">
        <f>_xlfn.XLOOKUP(Christus_Emp_Table[[#This Row],[Analyst Name:]],Table1[Analyst Name],Table1[Location])</f>
        <v>BLR</v>
      </c>
      <c r="E50" s="19" t="s">
        <v>112</v>
      </c>
      <c r="F50" s="17">
        <v>45716</v>
      </c>
      <c r="G50" s="17">
        <v>45716</v>
      </c>
      <c r="H50" s="22" t="s">
        <v>129</v>
      </c>
      <c r="I50" s="22" t="s">
        <v>128</v>
      </c>
      <c r="J50" s="22">
        <f>NETWORKDAYS(Christus_Emp_Table[[#This Row],[From Date:]],Christus_Emp_Table[[#This Row],[To Date:]])</f>
        <v>1</v>
      </c>
      <c r="L50" s="22" t="str">
        <f>_xlfn.XLOOKUP(Christus_Emp_Table[[#This Row],[Analyst Name:]],Table1[Analyst Name],Table1[Lead])</f>
        <v>Tanima Debmallik/Nitish Kumar</v>
      </c>
    </row>
    <row r="51" spans="1:12" x14ac:dyDescent="0.35">
      <c r="A51" s="21" t="s">
        <v>43</v>
      </c>
      <c r="B51" s="22" t="str">
        <f>_xlfn.XLOOKUP(Christus_Emp_Table[[#This Row],[Analyst Name:]],Table1[Analyst Name],Table1[Deloitte Email ID])</f>
        <v>frai@deloitte.com</v>
      </c>
      <c r="C51" s="22" t="str">
        <f>_xlfn.XLOOKUP(Christus_Emp_Table[[#This Row],[Analyst Name:]],Table1[Analyst Name],Table1[Module])</f>
        <v>MyChart</v>
      </c>
      <c r="D51" s="22" t="str">
        <f>_xlfn.XLOOKUP(Christus_Emp_Table[[#This Row],[Analyst Name:]],Table1[Analyst Name],Table1[Location])</f>
        <v>HYD</v>
      </c>
      <c r="E51" s="22" t="s">
        <v>127</v>
      </c>
      <c r="F51" s="17">
        <v>45705</v>
      </c>
      <c r="G51" s="17">
        <v>45709</v>
      </c>
      <c r="H51" s="22" t="s">
        <v>127</v>
      </c>
      <c r="I51" s="22" t="s">
        <v>128</v>
      </c>
      <c r="J51" s="22">
        <f>NETWORKDAYS(Christus_Emp_Table[[#This Row],[From Date:]],Christus_Emp_Table[[#This Row],[To Date:]])</f>
        <v>5</v>
      </c>
      <c r="L51" s="22" t="str">
        <f>_xlfn.XLOOKUP(Christus_Emp_Table[[#This Row],[Analyst Name:]],Table1[Analyst Name],Table1[Lead])</f>
        <v>Nitish Kumar</v>
      </c>
    </row>
    <row r="52" spans="1:12" x14ac:dyDescent="0.35">
      <c r="A52" s="21" t="s">
        <v>21</v>
      </c>
      <c r="B52" s="22" t="str">
        <f>_xlfn.XLOOKUP(Christus_Emp_Table[[#This Row],[Analyst Name:]],Table1[Analyst Name],Table1[Deloitte Email ID])</f>
        <v>vbalasodongale@deloitte.com</v>
      </c>
      <c r="C52" s="22" t="str">
        <f>_xlfn.XLOOKUP(Christus_Emp_Table[[#This Row],[Analyst Name:]],Table1[Analyst Name],Table1[Module])</f>
        <v>Reporting</v>
      </c>
      <c r="D52" s="22" t="str">
        <f>_xlfn.XLOOKUP(Christus_Emp_Table[[#This Row],[Analyst Name:]],Table1[Analyst Name],Table1[Location])</f>
        <v>HYD</v>
      </c>
      <c r="E52" s="19" t="s">
        <v>112</v>
      </c>
      <c r="F52" s="17">
        <v>45701</v>
      </c>
      <c r="G52" s="17">
        <v>45701</v>
      </c>
      <c r="H52" s="22" t="s">
        <v>129</v>
      </c>
      <c r="I52" s="22" t="s">
        <v>128</v>
      </c>
      <c r="J52" s="22">
        <f>NETWORKDAYS(Christus_Emp_Table[[#This Row],[From Date:]],Christus_Emp_Table[[#This Row],[To Date:]])</f>
        <v>1</v>
      </c>
      <c r="L52" s="22">
        <f>_xlfn.XLOOKUP(Christus_Emp_Table[[#This Row],[Analyst Name:]],Table1[Analyst Name],Table1[Lead])</f>
        <v>0</v>
      </c>
    </row>
    <row r="53" spans="1:12" x14ac:dyDescent="0.35">
      <c r="A53" s="21" t="s">
        <v>15</v>
      </c>
      <c r="B53" s="22" t="str">
        <f>_xlfn.XLOOKUP(Christus_Emp_Table[[#This Row],[Analyst Name:]],Table1[Analyst Name],Table1[Deloitte Email ID])</f>
        <v>jbelel@deloitte.com</v>
      </c>
      <c r="C53" s="22" t="str">
        <f>_xlfn.XLOOKUP(Christus_Emp_Table[[#This Row],[Analyst Name:]],Table1[Analyst Name],Table1[Module])</f>
        <v>Reporting</v>
      </c>
      <c r="D53" s="22" t="str">
        <f>_xlfn.XLOOKUP(Christus_Emp_Table[[#This Row],[Analyst Name:]],Table1[Analyst Name],Table1[Location])</f>
        <v>MUM</v>
      </c>
      <c r="E53" s="22" t="s">
        <v>127</v>
      </c>
      <c r="F53" s="17">
        <v>45699</v>
      </c>
      <c r="G53" s="17">
        <v>45702</v>
      </c>
      <c r="H53" s="22" t="s">
        <v>127</v>
      </c>
      <c r="I53" s="22" t="s">
        <v>128</v>
      </c>
      <c r="J53" s="22">
        <f>NETWORKDAYS(Christus_Emp_Table[[#This Row],[From Date:]],Christus_Emp_Table[[#This Row],[To Date:]])</f>
        <v>4</v>
      </c>
      <c r="L53" s="22" t="str">
        <f>_xlfn.XLOOKUP(Christus_Emp_Table[[#This Row],[Analyst Name:]],Table1[Analyst Name],Table1[Lead])</f>
        <v>Tanima Debmallik/Nitish Kumar</v>
      </c>
    </row>
    <row r="54" spans="1:12" x14ac:dyDescent="0.35">
      <c r="A54" s="21" t="s">
        <v>11</v>
      </c>
      <c r="B54" s="22" t="str">
        <f>_xlfn.XLOOKUP(Christus_Emp_Table[[#This Row],[Analyst Name:]],Table1[Analyst Name],Table1[Deloitte Email ID])</f>
        <v>bharkumari@deloitte.com</v>
      </c>
      <c r="C54" s="22" t="str">
        <f>_xlfn.XLOOKUP(Christus_Emp_Table[[#This Row],[Analyst Name:]],Table1[Analyst Name],Table1[Module])</f>
        <v>Reporting</v>
      </c>
      <c r="D54" s="22" t="str">
        <f>_xlfn.XLOOKUP(Christus_Emp_Table[[#This Row],[Analyst Name:]],Table1[Analyst Name],Table1[Location])</f>
        <v>BLR</v>
      </c>
      <c r="E54" s="19" t="s">
        <v>112</v>
      </c>
      <c r="F54" s="17">
        <v>45707</v>
      </c>
      <c r="G54" s="17">
        <v>45707</v>
      </c>
      <c r="H54" s="22" t="s">
        <v>129</v>
      </c>
      <c r="I54" s="22" t="s">
        <v>128</v>
      </c>
      <c r="J54" s="22">
        <f>NETWORKDAYS(Christus_Emp_Table[[#This Row],[From Date:]],Christus_Emp_Table[[#This Row],[To Date:]])</f>
        <v>1</v>
      </c>
      <c r="L54" s="22" t="str">
        <f>_xlfn.XLOOKUP(Christus_Emp_Table[[#This Row],[Analyst Name:]],Table1[Analyst Name],Table1[Lead])</f>
        <v>Nitish Kumar</v>
      </c>
    </row>
    <row r="55" spans="1:12" x14ac:dyDescent="0.35">
      <c r="A55" s="21" t="s">
        <v>13</v>
      </c>
      <c r="B55" s="22" t="str">
        <f>_xlfn.XLOOKUP(Christus_Emp_Table[[#This Row],[Analyst Name:]],Table1[Analyst Name],Table1[Deloitte Email ID])</f>
        <v>srug@deloitte.com</v>
      </c>
      <c r="C55" s="22" t="str">
        <f>_xlfn.XLOOKUP(Christus_Emp_Table[[#This Row],[Analyst Name:]],Table1[Analyst Name],Table1[Module])</f>
        <v>Reporting</v>
      </c>
      <c r="D55" s="22" t="str">
        <f>_xlfn.XLOOKUP(Christus_Emp_Table[[#This Row],[Analyst Name:]],Table1[Analyst Name],Table1[Location])</f>
        <v>BLR</v>
      </c>
      <c r="E55" s="19" t="s">
        <v>112</v>
      </c>
      <c r="F55" s="17">
        <v>45741</v>
      </c>
      <c r="G55" s="17">
        <v>45741</v>
      </c>
      <c r="H55" s="22" t="s">
        <v>129</v>
      </c>
      <c r="I55" s="22" t="s">
        <v>128</v>
      </c>
      <c r="J55" s="22">
        <f>NETWORKDAYS(Christus_Emp_Table[[#This Row],[From Date:]],Christus_Emp_Table[[#This Row],[To Date:]])</f>
        <v>1</v>
      </c>
      <c r="L55" s="22" t="str">
        <f>_xlfn.XLOOKUP(Christus_Emp_Table[[#This Row],[Analyst Name:]],Table1[Analyst Name],Table1[Lead])</f>
        <v>Jagannath Belel</v>
      </c>
    </row>
    <row r="56" spans="1:12" x14ac:dyDescent="0.35">
      <c r="A56" s="21" t="s">
        <v>66</v>
      </c>
      <c r="B56" s="22" t="str">
        <f>_xlfn.XLOOKUP(Christus_Emp_Table[[#This Row],[Analyst Name:]],Table1[Analyst Name],Table1[Deloitte Email ID])</f>
        <v>akshayakumar@deloitte.com</v>
      </c>
      <c r="C56" s="22" t="str">
        <f>_xlfn.XLOOKUP(Christus_Emp_Table[[#This Row],[Analyst Name:]],Table1[Analyst Name],Table1[Module])</f>
        <v>Automation</v>
      </c>
      <c r="D56" s="22" t="str">
        <f>_xlfn.XLOOKUP(Christus_Emp_Table[[#This Row],[Analyst Name:]],Table1[Analyst Name],Table1[Location])</f>
        <v>BLR</v>
      </c>
      <c r="E56" s="19" t="s">
        <v>112</v>
      </c>
      <c r="F56" s="17">
        <v>45744</v>
      </c>
      <c r="G56" s="17">
        <v>45744</v>
      </c>
      <c r="H56" s="22" t="s">
        <v>129</v>
      </c>
      <c r="I56" s="22" t="s">
        <v>128</v>
      </c>
      <c r="J56" s="22">
        <f>NETWORKDAYS(Christus_Emp_Table[[#This Row],[From Date:]],Christus_Emp_Table[[#This Row],[To Date:]])</f>
        <v>1</v>
      </c>
      <c r="L56" s="22" t="str">
        <f>_xlfn.XLOOKUP(Christus_Emp_Table[[#This Row],[Analyst Name:]],Table1[Analyst Name],Table1[Lead])</f>
        <v>Parth Zalavadia</v>
      </c>
    </row>
    <row r="57" spans="1:12" x14ac:dyDescent="0.35">
      <c r="A57" s="21" t="s">
        <v>52</v>
      </c>
      <c r="B57" s="22" t="str">
        <f>_xlfn.XLOOKUP(Christus_Emp_Table[[#This Row],[Analyst Name:]],Table1[Analyst Name],Table1[Deloitte Email ID])</f>
        <v>Drajitha@deloitte.com</v>
      </c>
      <c r="C57" s="22" t="str">
        <f>_xlfn.XLOOKUP(Christus_Emp_Table[[#This Row],[Analyst Name:]],Table1[Analyst Name],Table1[Module])</f>
        <v>SER</v>
      </c>
      <c r="D57" s="22" t="str">
        <f>_xlfn.XLOOKUP(Christus_Emp_Table[[#This Row],[Analyst Name:]],Table1[Analyst Name],Table1[Location])</f>
        <v>BLR</v>
      </c>
      <c r="E57" s="19" t="s">
        <v>112</v>
      </c>
      <c r="F57" s="17">
        <v>45719</v>
      </c>
      <c r="G57" s="17">
        <v>45719</v>
      </c>
      <c r="H57" s="22" t="s">
        <v>129</v>
      </c>
      <c r="I57" s="22" t="s">
        <v>128</v>
      </c>
      <c r="J57" s="22">
        <f>NETWORKDAYS(Christus_Emp_Table[[#This Row],[From Date:]],Christus_Emp_Table[[#This Row],[To Date:]])</f>
        <v>1</v>
      </c>
      <c r="L57" s="22" t="str">
        <f>_xlfn.XLOOKUP(Christus_Emp_Table[[#This Row],[Analyst Name:]],Table1[Analyst Name],Table1[Lead])</f>
        <v>Ankita Roy</v>
      </c>
    </row>
    <row r="58" spans="1:12" x14ac:dyDescent="0.35">
      <c r="A58" s="21" t="s">
        <v>79</v>
      </c>
      <c r="B58" s="22" t="str">
        <f>_xlfn.XLOOKUP(Christus_Emp_Table[[#This Row],[Analyst Name:]],Table1[Analyst Name],Table1[Deloitte Email ID])</f>
        <v>pragrawat@deloitte.com</v>
      </c>
      <c r="C58" s="22" t="str">
        <f>_xlfn.XLOOKUP(Christus_Emp_Table[[#This Row],[Analyst Name:]],Table1[Analyst Name],Table1[Module])</f>
        <v>EC/DC</v>
      </c>
      <c r="D58" s="22" t="str">
        <f>_xlfn.XLOOKUP(Christus_Emp_Table[[#This Row],[Analyst Name:]],Table1[Analyst Name],Table1[Location])</f>
        <v>GUR</v>
      </c>
      <c r="E58" s="19" t="s">
        <v>112</v>
      </c>
      <c r="F58" s="17">
        <v>45740</v>
      </c>
      <c r="G58" s="17">
        <v>45744</v>
      </c>
      <c r="H58" s="22" t="s">
        <v>129</v>
      </c>
      <c r="I58" s="22" t="s">
        <v>128</v>
      </c>
      <c r="J58" s="22">
        <f>NETWORKDAYS(Christus_Emp_Table[[#This Row],[From Date:]],Christus_Emp_Table[[#This Row],[To Date:]])</f>
        <v>5</v>
      </c>
      <c r="L58" s="22" t="str">
        <f>_xlfn.XLOOKUP(Christus_Emp_Table[[#This Row],[Analyst Name:]],Table1[Analyst Name],Table1[Lead])</f>
        <v>Ankita Roy</v>
      </c>
    </row>
    <row r="59" spans="1:12" x14ac:dyDescent="0.35">
      <c r="A59" s="21" t="s">
        <v>25</v>
      </c>
      <c r="B59" s="22" t="str">
        <f>_xlfn.XLOOKUP(Christus_Emp_Table[[#This Row],[Analyst Name:]],Table1[Analyst Name],Table1[Deloitte Email ID])</f>
        <v>apriyankapravalli@deloitte.com</v>
      </c>
      <c r="C59" s="22" t="str">
        <f>_xlfn.XLOOKUP(Christus_Emp_Table[[#This Row],[Analyst Name:]],Table1[Analyst Name],Table1[Module])</f>
        <v>Reporting</v>
      </c>
      <c r="D59" s="22" t="str">
        <f>_xlfn.XLOOKUP(Christus_Emp_Table[[#This Row],[Analyst Name:]],Table1[Analyst Name],Table1[Location])</f>
        <v>HYD</v>
      </c>
      <c r="E59" s="22" t="s">
        <v>127</v>
      </c>
      <c r="F59" s="17">
        <v>45719</v>
      </c>
      <c r="G59" s="17">
        <v>45720</v>
      </c>
      <c r="H59" s="22" t="s">
        <v>127</v>
      </c>
      <c r="I59" s="22" t="s">
        <v>128</v>
      </c>
      <c r="J59" s="22">
        <f>NETWORKDAYS(Christus_Emp_Table[[#This Row],[From Date:]],Christus_Emp_Table[[#This Row],[To Date:]])</f>
        <v>2</v>
      </c>
      <c r="L59" s="22">
        <f>_xlfn.XLOOKUP(Christus_Emp_Table[[#This Row],[Analyst Name:]],Table1[Analyst Name],Table1[Lead])</f>
        <v>0</v>
      </c>
    </row>
    <row r="60" spans="1:12" x14ac:dyDescent="0.35">
      <c r="A60" s="21" t="s">
        <v>25</v>
      </c>
      <c r="B60" s="22" t="str">
        <f>_xlfn.XLOOKUP(Christus_Emp_Table[[#This Row],[Analyst Name:]],Table1[Analyst Name],Table1[Deloitte Email ID])</f>
        <v>apriyankapravalli@deloitte.com</v>
      </c>
      <c r="C60" s="22" t="str">
        <f>_xlfn.XLOOKUP(Christus_Emp_Table[[#This Row],[Analyst Name:]],Table1[Analyst Name],Table1[Module])</f>
        <v>Reporting</v>
      </c>
      <c r="D60" s="22" t="str">
        <f>_xlfn.XLOOKUP(Christus_Emp_Table[[#This Row],[Analyst Name:]],Table1[Analyst Name],Table1[Location])</f>
        <v>HYD</v>
      </c>
      <c r="E60" s="22" t="s">
        <v>127</v>
      </c>
      <c r="F60" s="17">
        <v>45722</v>
      </c>
      <c r="G60" s="17">
        <v>45723</v>
      </c>
      <c r="H60" s="22" t="s">
        <v>127</v>
      </c>
      <c r="I60" s="22" t="s">
        <v>128</v>
      </c>
      <c r="J60" s="22">
        <f>NETWORKDAYS(Christus_Emp_Table[[#This Row],[From Date:]],Christus_Emp_Table[[#This Row],[To Date:]])</f>
        <v>2</v>
      </c>
      <c r="L60" s="22">
        <f>_xlfn.XLOOKUP(Christus_Emp_Table[[#This Row],[Analyst Name:]],Table1[Analyst Name],Table1[Lead])</f>
        <v>0</v>
      </c>
    </row>
    <row r="61" spans="1:12" x14ac:dyDescent="0.35">
      <c r="A61" s="21" t="s">
        <v>25</v>
      </c>
      <c r="B61" s="22" t="str">
        <f>_xlfn.XLOOKUP(Christus_Emp_Table[[#This Row],[Analyst Name:]],Table1[Analyst Name],Table1[Deloitte Email ID])</f>
        <v>apriyankapravalli@deloitte.com</v>
      </c>
      <c r="C61" s="22" t="str">
        <f>_xlfn.XLOOKUP(Christus_Emp_Table[[#This Row],[Analyst Name:]],Table1[Analyst Name],Table1[Module])</f>
        <v>Reporting</v>
      </c>
      <c r="D61" s="22" t="str">
        <f>_xlfn.XLOOKUP(Christus_Emp_Table[[#This Row],[Analyst Name:]],Table1[Analyst Name],Table1[Location])</f>
        <v>HYD</v>
      </c>
      <c r="E61" s="22" t="s">
        <v>127</v>
      </c>
      <c r="F61" s="17">
        <v>45733</v>
      </c>
      <c r="G61" s="17">
        <v>45733</v>
      </c>
      <c r="H61" s="22" t="s">
        <v>127</v>
      </c>
      <c r="I61" s="22" t="s">
        <v>128</v>
      </c>
      <c r="J61" s="22">
        <f>NETWORKDAYS(Christus_Emp_Table[[#This Row],[From Date:]],Christus_Emp_Table[[#This Row],[To Date:]])</f>
        <v>1</v>
      </c>
      <c r="L61" s="22">
        <f>_xlfn.XLOOKUP(Christus_Emp_Table[[#This Row],[Analyst Name:]],Table1[Analyst Name],Table1[Lead])</f>
        <v>0</v>
      </c>
    </row>
    <row r="62" spans="1:12" x14ac:dyDescent="0.35">
      <c r="A62" s="21" t="s">
        <v>61</v>
      </c>
      <c r="B62" s="22" t="str">
        <f>_xlfn.XLOOKUP(Christus_Emp_Table[[#This Row],[Analyst Name:]],Table1[Analyst Name],Table1[Deloitte Email ID])</f>
        <v>pbraj@deloitte.com</v>
      </c>
      <c r="C62" s="22" t="str">
        <f>_xlfn.XLOOKUP(Christus_Emp_Table[[#This Row],[Analyst Name:]],Table1[Analyst Name],Table1[Module])</f>
        <v>Automation</v>
      </c>
      <c r="D62" s="22" t="str">
        <f>_xlfn.XLOOKUP(Christus_Emp_Table[[#This Row],[Analyst Name:]],Table1[Analyst Name],Table1[Location])</f>
        <v>BLR</v>
      </c>
      <c r="E62" s="19" t="s">
        <v>112</v>
      </c>
      <c r="F62" s="17">
        <v>45723</v>
      </c>
      <c r="G62" s="17">
        <v>45723</v>
      </c>
      <c r="H62" s="22" t="s">
        <v>129</v>
      </c>
      <c r="I62" s="22" t="s">
        <v>128</v>
      </c>
      <c r="J62" s="22">
        <f>NETWORKDAYS(Christus_Emp_Table[[#This Row],[From Date:]],Christus_Emp_Table[[#This Row],[To Date:]])</f>
        <v>1</v>
      </c>
      <c r="L62" s="22" t="str">
        <f>_xlfn.XLOOKUP(Christus_Emp_Table[[#This Row],[Analyst Name:]],Table1[Analyst Name],Table1[Lead])</f>
        <v>Nitish Kumar</v>
      </c>
    </row>
    <row r="63" spans="1:12" x14ac:dyDescent="0.35">
      <c r="A63" s="21" t="s">
        <v>64</v>
      </c>
      <c r="B63" s="22" t="str">
        <f>_xlfn.XLOOKUP(Christus_Emp_Table[[#This Row],[Analyst Name:]],Table1[Analyst Name],Table1[Deloitte Email ID])</f>
        <v>tgupta10@deloitte.com</v>
      </c>
      <c r="C63" s="22" t="str">
        <f>_xlfn.XLOOKUP(Christus_Emp_Table[[#This Row],[Analyst Name:]],Table1[Analyst Name],Table1[Module])</f>
        <v>Automation</v>
      </c>
      <c r="D63" s="22" t="str">
        <f>_xlfn.XLOOKUP(Christus_Emp_Table[[#This Row],[Analyst Name:]],Table1[Analyst Name],Table1[Location])</f>
        <v>HYD</v>
      </c>
      <c r="E63" s="19" t="s">
        <v>112</v>
      </c>
      <c r="F63" s="17">
        <v>45726</v>
      </c>
      <c r="G63" s="17">
        <v>45726</v>
      </c>
      <c r="H63" s="22" t="s">
        <v>129</v>
      </c>
      <c r="I63" s="22" t="s">
        <v>128</v>
      </c>
      <c r="J63" s="22">
        <f>NETWORKDAYS(Christus_Emp_Table[[#This Row],[From Date:]],Christus_Emp_Table[[#This Row],[To Date:]])</f>
        <v>1</v>
      </c>
      <c r="L63" s="22" t="str">
        <f>_xlfn.XLOOKUP(Christus_Emp_Table[[#This Row],[Analyst Name:]],Table1[Analyst Name],Table1[Lead])</f>
        <v>Parth Zalavadia</v>
      </c>
    </row>
    <row r="64" spans="1:12" x14ac:dyDescent="0.35">
      <c r="A64" s="21" t="s">
        <v>54</v>
      </c>
      <c r="B64" s="22" t="str">
        <f>_xlfn.XLOOKUP(Christus_Emp_Table[[#This Row],[Analyst Name:]],Table1[Analyst Name],Table1[Deloitte Email ID])</f>
        <v>lakaur@deloitte.com</v>
      </c>
      <c r="C64" s="22" t="str">
        <f>_xlfn.XLOOKUP(Christus_Emp_Table[[#This Row],[Analyst Name:]],Table1[Analyst Name],Table1[Module])</f>
        <v>SER</v>
      </c>
      <c r="D64" s="22" t="str">
        <f>_xlfn.XLOOKUP(Christus_Emp_Table[[#This Row],[Analyst Name:]],Table1[Analyst Name],Table1[Location])</f>
        <v>GUR</v>
      </c>
      <c r="E64" s="22" t="s">
        <v>127</v>
      </c>
      <c r="F64" s="17">
        <v>45726</v>
      </c>
      <c r="G64" s="17">
        <v>45730</v>
      </c>
      <c r="H64" s="22" t="s">
        <v>127</v>
      </c>
      <c r="I64" s="22" t="s">
        <v>128</v>
      </c>
      <c r="J64" s="22">
        <f>NETWORKDAYS(Christus_Emp_Table[[#This Row],[From Date:]],Christus_Emp_Table[[#This Row],[To Date:]])</f>
        <v>5</v>
      </c>
      <c r="L64" s="22" t="str">
        <f>_xlfn.XLOOKUP(Christus_Emp_Table[[#This Row],[Analyst Name:]],Table1[Analyst Name],Table1[Lead])</f>
        <v>Ankita Roy</v>
      </c>
    </row>
    <row r="65" spans="1:12" x14ac:dyDescent="0.35">
      <c r="A65" s="21" t="s">
        <v>45</v>
      </c>
      <c r="B65" s="22" t="str">
        <f>_xlfn.XLOOKUP(Christus_Emp_Table[[#This Row],[Analyst Name:]],Table1[Analyst Name],Table1[Deloitte Email ID])</f>
        <v>divmaheshwari@deloitte.com</v>
      </c>
      <c r="C65" s="22" t="str">
        <f>_xlfn.XLOOKUP(Christus_Emp_Table[[#This Row],[Analyst Name:]],Table1[Analyst Name],Table1[Module])</f>
        <v>MyChart</v>
      </c>
      <c r="D65" s="22" t="str">
        <f>_xlfn.XLOOKUP(Christus_Emp_Table[[#This Row],[Analyst Name:]],Table1[Analyst Name],Table1[Location])</f>
        <v>GUR</v>
      </c>
      <c r="E65" s="22" t="s">
        <v>127</v>
      </c>
      <c r="F65" s="17">
        <v>45730</v>
      </c>
      <c r="G65" s="17">
        <v>45730</v>
      </c>
      <c r="H65" s="22" t="s">
        <v>127</v>
      </c>
      <c r="I65" s="22" t="s">
        <v>128</v>
      </c>
      <c r="J65" s="22">
        <f>NETWORKDAYS(Christus_Emp_Table[[#This Row],[From Date:]],Christus_Emp_Table[[#This Row],[To Date:]])</f>
        <v>1</v>
      </c>
      <c r="L65" s="22" t="str">
        <f>_xlfn.XLOOKUP(Christus_Emp_Table[[#This Row],[Analyst Name:]],Table1[Analyst Name],Table1[Lead])</f>
        <v>Nitish Kumar</v>
      </c>
    </row>
    <row r="66" spans="1:12" x14ac:dyDescent="0.35">
      <c r="A66" s="21" t="s">
        <v>38</v>
      </c>
      <c r="B66" s="22" t="str">
        <f>_xlfn.XLOOKUP(Christus_Emp_Table[[#This Row],[Analyst Name:]],Table1[Analyst Name],Table1[Deloitte Email ID])</f>
        <v>hamalpani@deloitte.com</v>
      </c>
      <c r="C66" s="22" t="str">
        <f>_xlfn.XLOOKUP(Christus_Emp_Table[[#This Row],[Analyst Name:]],Table1[Analyst Name],Table1[Module])</f>
        <v>MyChart</v>
      </c>
      <c r="D66" s="22" t="str">
        <f>_xlfn.XLOOKUP(Christus_Emp_Table[[#This Row],[Analyst Name:]],Table1[Analyst Name],Table1[Location])</f>
        <v>HYD</v>
      </c>
      <c r="E66" s="22" t="s">
        <v>127</v>
      </c>
      <c r="F66" s="17">
        <v>45740</v>
      </c>
      <c r="G66" s="17">
        <v>45742</v>
      </c>
      <c r="H66" s="22" t="s">
        <v>127</v>
      </c>
      <c r="I66" s="22" t="s">
        <v>128</v>
      </c>
      <c r="J66" s="22">
        <f>NETWORKDAYS(Christus_Emp_Table[[#This Row],[From Date:]],Christus_Emp_Table[[#This Row],[To Date:]])</f>
        <v>3</v>
      </c>
      <c r="L66" s="22" t="str">
        <f>_xlfn.XLOOKUP(Christus_Emp_Table[[#This Row],[Analyst Name:]],Table1[Analyst Name],Table1[Lead])</f>
        <v>Nitish Kumar</v>
      </c>
    </row>
    <row r="67" spans="1:12" x14ac:dyDescent="0.35">
      <c r="A67" s="21" t="s">
        <v>41</v>
      </c>
      <c r="B67" s="22" t="str">
        <f>_xlfn.XLOOKUP(Christus_Emp_Table[[#This Row],[Analyst Name:]],Table1[Analyst Name],Table1[Deloitte Email ID])</f>
        <v>mpavkumar@deloitte.com</v>
      </c>
      <c r="C67" s="22" t="str">
        <f>_xlfn.XLOOKUP(Christus_Emp_Table[[#This Row],[Analyst Name:]],Table1[Analyst Name],Table1[Module])</f>
        <v>MyChart</v>
      </c>
      <c r="D67" s="22" t="str">
        <f>_xlfn.XLOOKUP(Christus_Emp_Table[[#This Row],[Analyst Name:]],Table1[Analyst Name],Table1[Location])</f>
        <v>HYD</v>
      </c>
      <c r="E67" s="22" t="s">
        <v>127</v>
      </c>
      <c r="F67" s="17">
        <v>45744</v>
      </c>
      <c r="G67" s="17">
        <v>45744</v>
      </c>
      <c r="H67" s="22" t="s">
        <v>127</v>
      </c>
      <c r="I67" s="22" t="s">
        <v>128</v>
      </c>
      <c r="J67" s="22">
        <f>NETWORKDAYS(Christus_Emp_Table[[#This Row],[From Date:]],Christus_Emp_Table[[#This Row],[To Date:]])</f>
        <v>1</v>
      </c>
      <c r="L67" s="22" t="str">
        <f>_xlfn.XLOOKUP(Christus_Emp_Table[[#This Row],[Analyst Name:]],Table1[Analyst Name],Table1[Lead])</f>
        <v>Nitish Kumar</v>
      </c>
    </row>
    <row r="68" spans="1:12" x14ac:dyDescent="0.35">
      <c r="A68" s="21" t="s">
        <v>21</v>
      </c>
      <c r="B68" s="22" t="str">
        <f>_xlfn.XLOOKUP(Christus_Emp_Table[[#This Row],[Analyst Name:]],Table1[Analyst Name],Table1[Deloitte Email ID])</f>
        <v>vbalasodongale@deloitte.com</v>
      </c>
      <c r="C68" s="22" t="str">
        <f>_xlfn.XLOOKUP(Christus_Emp_Table[[#This Row],[Analyst Name:]],Table1[Analyst Name],Table1[Module])</f>
        <v>Reporting</v>
      </c>
      <c r="D68" s="22" t="str">
        <f>_xlfn.XLOOKUP(Christus_Emp_Table[[#This Row],[Analyst Name:]],Table1[Analyst Name],Table1[Location])</f>
        <v>HYD</v>
      </c>
      <c r="E68" s="19" t="s">
        <v>112</v>
      </c>
      <c r="F68" s="17">
        <v>45740</v>
      </c>
      <c r="G68" s="17">
        <v>45740</v>
      </c>
      <c r="H68" s="22" t="s">
        <v>129</v>
      </c>
      <c r="I68" s="22" t="s">
        <v>128</v>
      </c>
      <c r="J68" s="22">
        <f>NETWORKDAYS(Christus_Emp_Table[[#This Row],[From Date:]],Christus_Emp_Table[[#This Row],[To Date:]])</f>
        <v>1</v>
      </c>
      <c r="L68" s="22">
        <f>_xlfn.XLOOKUP(Christus_Emp_Table[[#This Row],[Analyst Name:]],Table1[Analyst Name],Table1[Lead])</f>
        <v>0</v>
      </c>
    </row>
    <row r="69" spans="1:12" x14ac:dyDescent="0.35">
      <c r="A69" s="21" t="s">
        <v>15</v>
      </c>
      <c r="B69" s="22" t="str">
        <f>_xlfn.XLOOKUP(Christus_Emp_Table[[#This Row],[Analyst Name:]],Table1[Analyst Name],Table1[Deloitte Email ID])</f>
        <v>jbelel@deloitte.com</v>
      </c>
      <c r="C69" s="22" t="str">
        <f>_xlfn.XLOOKUP(Christus_Emp_Table[[#This Row],[Analyst Name:]],Table1[Analyst Name],Table1[Module])</f>
        <v>Reporting</v>
      </c>
      <c r="D69" s="22" t="str">
        <f>_xlfn.XLOOKUP(Christus_Emp_Table[[#This Row],[Analyst Name:]],Table1[Analyst Name],Table1[Location])</f>
        <v>MUM</v>
      </c>
      <c r="E69" s="19" t="s">
        <v>112</v>
      </c>
      <c r="F69" s="17">
        <v>45735</v>
      </c>
      <c r="G69" s="17">
        <v>45735</v>
      </c>
      <c r="H69" s="22" t="s">
        <v>129</v>
      </c>
      <c r="I69" s="22" t="s">
        <v>128</v>
      </c>
      <c r="J69" s="22">
        <f>NETWORKDAYS(Christus_Emp_Table[[#This Row],[From Date:]],Christus_Emp_Table[[#This Row],[To Date:]])</f>
        <v>1</v>
      </c>
      <c r="L69" s="22" t="str">
        <f>_xlfn.XLOOKUP(Christus_Emp_Table[[#This Row],[Analyst Name:]],Table1[Analyst Name],Table1[Lead])</f>
        <v>Tanima Debmallik/Nitish Kumar</v>
      </c>
    </row>
    <row r="70" spans="1:12" x14ac:dyDescent="0.35">
      <c r="A70" s="21" t="s">
        <v>15</v>
      </c>
      <c r="B70" s="22" t="str">
        <f>_xlfn.XLOOKUP(Christus_Emp_Table[[#This Row],[Analyst Name:]],Table1[Analyst Name],Table1[Deloitte Email ID])</f>
        <v>jbelel@deloitte.com</v>
      </c>
      <c r="C70" s="22" t="str">
        <f>_xlfn.XLOOKUP(Christus_Emp_Table[[#This Row],[Analyst Name:]],Table1[Analyst Name],Table1[Module])</f>
        <v>Reporting</v>
      </c>
      <c r="D70" s="22" t="str">
        <f>_xlfn.XLOOKUP(Christus_Emp_Table[[#This Row],[Analyst Name:]],Table1[Analyst Name],Table1[Location])</f>
        <v>MUM</v>
      </c>
      <c r="E70" s="22" t="s">
        <v>127</v>
      </c>
      <c r="F70" s="17">
        <v>45744</v>
      </c>
      <c r="G70" s="17">
        <v>45744</v>
      </c>
      <c r="H70" s="22" t="s">
        <v>127</v>
      </c>
      <c r="I70" s="22" t="s">
        <v>128</v>
      </c>
      <c r="J70" s="22">
        <f>NETWORKDAYS(Christus_Emp_Table[[#This Row],[From Date:]],Christus_Emp_Table[[#This Row],[To Date:]])</f>
        <v>1</v>
      </c>
      <c r="L70" s="22" t="str">
        <f>_xlfn.XLOOKUP(Christus_Emp_Table[[#This Row],[Analyst Name:]],Table1[Analyst Name],Table1[Lead])</f>
        <v>Tanima Debmallik/Nitish Kumar</v>
      </c>
    </row>
    <row r="71" spans="1:12" x14ac:dyDescent="0.35">
      <c r="A71" s="21" t="s">
        <v>11</v>
      </c>
      <c r="B71" s="22" t="str">
        <f>_xlfn.XLOOKUP(Christus_Emp_Table[[#This Row],[Analyst Name:]],Table1[Analyst Name],Table1[Deloitte Email ID])</f>
        <v>bharkumari@deloitte.com</v>
      </c>
      <c r="C71" s="22" t="str">
        <f>_xlfn.XLOOKUP(Christus_Emp_Table[[#This Row],[Analyst Name:]],Table1[Analyst Name],Table1[Module])</f>
        <v>Reporting</v>
      </c>
      <c r="D71" s="22" t="str">
        <f>_xlfn.XLOOKUP(Christus_Emp_Table[[#This Row],[Analyst Name:]],Table1[Analyst Name],Table1[Location])</f>
        <v>BLR</v>
      </c>
      <c r="E71" s="22" t="s">
        <v>127</v>
      </c>
      <c r="F71" s="17">
        <v>45737</v>
      </c>
      <c r="G71" s="17">
        <v>45744</v>
      </c>
      <c r="H71" s="22" t="s">
        <v>127</v>
      </c>
      <c r="I71" s="22" t="s">
        <v>128</v>
      </c>
      <c r="J71" s="22">
        <f>NETWORKDAYS(Christus_Emp_Table[[#This Row],[From Date:]],Christus_Emp_Table[[#This Row],[To Date:]])</f>
        <v>6</v>
      </c>
      <c r="L71" s="22" t="str">
        <f>_xlfn.XLOOKUP(Christus_Emp_Table[[#This Row],[Analyst Name:]],Table1[Analyst Name],Table1[Lead])</f>
        <v>Nitish Kumar</v>
      </c>
    </row>
    <row r="72" spans="1:12" x14ac:dyDescent="0.35">
      <c r="A72" s="21" t="s">
        <v>6</v>
      </c>
      <c r="B72" s="22" t="str">
        <f>_xlfn.XLOOKUP(Christus_Emp_Table[[#This Row],[Analyst Name:]],Table1[Analyst Name],Table1[Deloitte Email ID])</f>
        <v>nitishkumar44@deloitte.com</v>
      </c>
      <c r="C72" s="22" t="str">
        <f>_xlfn.XLOOKUP(Christus_Emp_Table[[#This Row],[Analyst Name:]],Table1[Analyst Name],Table1[Module])</f>
        <v>Reporting</v>
      </c>
      <c r="D72" s="22" t="str">
        <f>_xlfn.XLOOKUP(Christus_Emp_Table[[#This Row],[Analyst Name:]],Table1[Analyst Name],Table1[Location])</f>
        <v>BLR</v>
      </c>
      <c r="E72" s="22" t="s">
        <v>127</v>
      </c>
      <c r="F72" s="17">
        <v>45733</v>
      </c>
      <c r="G72" s="17">
        <v>45733</v>
      </c>
      <c r="H72" s="22" t="s">
        <v>127</v>
      </c>
      <c r="I72" s="22" t="s">
        <v>128</v>
      </c>
      <c r="J72" s="22">
        <f>NETWORKDAYS(Christus_Emp_Table[[#This Row],[From Date:]],Christus_Emp_Table[[#This Row],[To Date:]])</f>
        <v>1</v>
      </c>
      <c r="L72" s="22">
        <f>_xlfn.XLOOKUP(Christus_Emp_Table[[#This Row],[Analyst Name:]],Table1[Analyst Name],Table1[Lead])</f>
        <v>0</v>
      </c>
    </row>
    <row r="73" spans="1:12" x14ac:dyDescent="0.35">
      <c r="A73" s="21" t="s">
        <v>13</v>
      </c>
      <c r="B73" s="22" t="str">
        <f>_xlfn.XLOOKUP(Christus_Emp_Table[[#This Row],[Analyst Name:]],Table1[Analyst Name],Table1[Deloitte Email ID])</f>
        <v>srug@deloitte.com</v>
      </c>
      <c r="C73" s="22" t="str">
        <f>_xlfn.XLOOKUP(Christus_Emp_Table[[#This Row],[Analyst Name:]],Table1[Analyst Name],Table1[Module])</f>
        <v>Reporting</v>
      </c>
      <c r="D73" s="22" t="str">
        <f>_xlfn.XLOOKUP(Christus_Emp_Table[[#This Row],[Analyst Name:]],Table1[Analyst Name],Table1[Location])</f>
        <v>BLR</v>
      </c>
      <c r="E73" s="22" t="s">
        <v>127</v>
      </c>
      <c r="F73" s="17">
        <v>45754</v>
      </c>
      <c r="G73" s="17">
        <v>45756</v>
      </c>
      <c r="H73" s="22" t="s">
        <v>127</v>
      </c>
      <c r="I73" s="22" t="s">
        <v>128</v>
      </c>
      <c r="J73" s="22">
        <f>NETWORKDAYS(Christus_Emp_Table[[#This Row],[From Date:]],Christus_Emp_Table[[#This Row],[To Date:]])</f>
        <v>3</v>
      </c>
      <c r="L73" s="22" t="str">
        <f>_xlfn.XLOOKUP(Christus_Emp_Table[[#This Row],[Analyst Name:]],Table1[Analyst Name],Table1[Lead])</f>
        <v>Jagannath Belel</v>
      </c>
    </row>
    <row r="74" spans="1:12" x14ac:dyDescent="0.35">
      <c r="A74" s="21" t="s">
        <v>68</v>
      </c>
      <c r="B74" s="22" t="str">
        <f>_xlfn.XLOOKUP(Christus_Emp_Table[[#This Row],[Analyst Name:]],Table1[Analyst Name],Table1[Deloitte Email ID])</f>
        <v>anussaha@deloitte.com</v>
      </c>
      <c r="C74" s="22" t="str">
        <f>_xlfn.XLOOKUP(Christus_Emp_Table[[#This Row],[Analyst Name:]],Table1[Analyst Name],Table1[Module])</f>
        <v>Automation</v>
      </c>
      <c r="D74" s="22" t="str">
        <f>_xlfn.XLOOKUP(Christus_Emp_Table[[#This Row],[Analyst Name:]],Table1[Analyst Name],Table1[Location])</f>
        <v>HYD</v>
      </c>
      <c r="E74" s="19" t="s">
        <v>112</v>
      </c>
      <c r="F74" s="17">
        <v>45761</v>
      </c>
      <c r="G74" s="17">
        <v>45761</v>
      </c>
      <c r="H74" s="22" t="s">
        <v>129</v>
      </c>
      <c r="I74" s="22" t="s">
        <v>128</v>
      </c>
      <c r="J74" s="22">
        <f>NETWORKDAYS(Christus_Emp_Table[[#This Row],[From Date:]],Christus_Emp_Table[[#This Row],[To Date:]])</f>
        <v>1</v>
      </c>
      <c r="L74" s="22" t="str">
        <f>_xlfn.XLOOKUP(Christus_Emp_Table[[#This Row],[Analyst Name:]],Table1[Analyst Name],Table1[Lead])</f>
        <v>Nitish Kumar</v>
      </c>
    </row>
    <row r="75" spans="1:12" x14ac:dyDescent="0.35">
      <c r="A75" s="21" t="s">
        <v>66</v>
      </c>
      <c r="B75" s="22" t="str">
        <f>_xlfn.XLOOKUP(Christus_Emp_Table[[#This Row],[Analyst Name:]],Table1[Analyst Name],Table1[Deloitte Email ID])</f>
        <v>akshayakumar@deloitte.com</v>
      </c>
      <c r="C75" s="22" t="str">
        <f>_xlfn.XLOOKUP(Christus_Emp_Table[[#This Row],[Analyst Name:]],Table1[Analyst Name],Table1[Module])</f>
        <v>Automation</v>
      </c>
      <c r="D75" s="22" t="str">
        <f>_xlfn.XLOOKUP(Christus_Emp_Table[[#This Row],[Analyst Name:]],Table1[Analyst Name],Table1[Location])</f>
        <v>BLR</v>
      </c>
      <c r="E75" s="22" t="s">
        <v>127</v>
      </c>
      <c r="F75" s="17">
        <v>45761</v>
      </c>
      <c r="G75" s="17">
        <v>45764</v>
      </c>
      <c r="H75" s="22" t="s">
        <v>127</v>
      </c>
      <c r="I75" s="22" t="s">
        <v>128</v>
      </c>
      <c r="J75" s="22">
        <f>NETWORKDAYS(Christus_Emp_Table[[#This Row],[From Date:]],Christus_Emp_Table[[#This Row],[To Date:]])</f>
        <v>4</v>
      </c>
      <c r="L75" s="22" t="str">
        <f>_xlfn.XLOOKUP(Christus_Emp_Table[[#This Row],[Analyst Name:]],Table1[Analyst Name],Table1[Lead])</f>
        <v>Parth Zalavadia</v>
      </c>
    </row>
    <row r="76" spans="1:12" x14ac:dyDescent="0.35">
      <c r="A76" s="21" t="s">
        <v>51</v>
      </c>
      <c r="B76" s="22" t="str">
        <f>_xlfn.XLOOKUP(Christus_Emp_Table[[#This Row],[Analyst Name:]],Table1[Analyst Name],Table1[Deloitte Email ID])</f>
        <v>ankitaroy2@deloitte.com</v>
      </c>
      <c r="C76" s="22" t="str">
        <f>_xlfn.XLOOKUP(Christus_Emp_Table[[#This Row],[Analyst Name:]],Table1[Analyst Name],Table1[Module])</f>
        <v>EC/DC</v>
      </c>
      <c r="D76" s="22" t="str">
        <f>_xlfn.XLOOKUP(Christus_Emp_Table[[#This Row],[Analyst Name:]],Table1[Analyst Name],Table1[Location])</f>
        <v>BLR</v>
      </c>
      <c r="E76" s="22" t="s">
        <v>127</v>
      </c>
      <c r="F76" s="17">
        <v>45765</v>
      </c>
      <c r="G76" s="17">
        <v>45765</v>
      </c>
      <c r="H76" s="22" t="s">
        <v>127</v>
      </c>
      <c r="I76" s="22" t="s">
        <v>128</v>
      </c>
      <c r="J76" s="22">
        <f>NETWORKDAYS(Christus_Emp_Table[[#This Row],[From Date:]],Christus_Emp_Table[[#This Row],[To Date:]])</f>
        <v>1</v>
      </c>
      <c r="L76" s="22">
        <f>_xlfn.XLOOKUP(Christus_Emp_Table[[#This Row],[Analyst Name:]],Table1[Analyst Name],Table1[Lead])</f>
        <v>0</v>
      </c>
    </row>
    <row r="77" spans="1:12" x14ac:dyDescent="0.35">
      <c r="A77" s="21" t="s">
        <v>25</v>
      </c>
      <c r="B77" s="22" t="str">
        <f>_xlfn.XLOOKUP(Christus_Emp_Table[[#This Row],[Analyst Name:]],Table1[Analyst Name],Table1[Deloitte Email ID])</f>
        <v>apriyankapravalli@deloitte.com</v>
      </c>
      <c r="C77" s="22" t="str">
        <f>_xlfn.XLOOKUP(Christus_Emp_Table[[#This Row],[Analyst Name:]],Table1[Analyst Name],Table1[Module])</f>
        <v>Reporting</v>
      </c>
      <c r="D77" s="22" t="str">
        <f>_xlfn.XLOOKUP(Christus_Emp_Table[[#This Row],[Analyst Name:]],Table1[Analyst Name],Table1[Location])</f>
        <v>HYD</v>
      </c>
      <c r="E77" s="22" t="s">
        <v>127</v>
      </c>
      <c r="F77" s="17">
        <v>45763</v>
      </c>
      <c r="G77" s="17">
        <v>45763</v>
      </c>
      <c r="H77" s="22" t="s">
        <v>127</v>
      </c>
      <c r="I77" s="22" t="s">
        <v>128</v>
      </c>
      <c r="J77" s="22">
        <f>NETWORKDAYS(Christus_Emp_Table[[#This Row],[From Date:]],Christus_Emp_Table[[#This Row],[To Date:]])</f>
        <v>1</v>
      </c>
      <c r="L77" s="22">
        <f>_xlfn.XLOOKUP(Christus_Emp_Table[[#This Row],[Analyst Name:]],Table1[Analyst Name],Table1[Lead])</f>
        <v>0</v>
      </c>
    </row>
    <row r="78" spans="1:12" x14ac:dyDescent="0.35">
      <c r="A78" s="21" t="s">
        <v>61</v>
      </c>
      <c r="B78" s="22" t="str">
        <f>_xlfn.XLOOKUP(Christus_Emp_Table[[#This Row],[Analyst Name:]],Table1[Analyst Name],Table1[Deloitte Email ID])</f>
        <v>pbraj@deloitte.com</v>
      </c>
      <c r="C78" s="22" t="str">
        <f>_xlfn.XLOOKUP(Christus_Emp_Table[[#This Row],[Analyst Name:]],Table1[Analyst Name],Table1[Module])</f>
        <v>Automation</v>
      </c>
      <c r="D78" s="22" t="str">
        <f>_xlfn.XLOOKUP(Christus_Emp_Table[[#This Row],[Analyst Name:]],Table1[Analyst Name],Table1[Location])</f>
        <v>BLR</v>
      </c>
      <c r="E78" s="22" t="s">
        <v>127</v>
      </c>
      <c r="F78" s="17">
        <v>45751</v>
      </c>
      <c r="G78" s="17">
        <v>45751</v>
      </c>
      <c r="H78" s="22" t="s">
        <v>127</v>
      </c>
      <c r="I78" s="22" t="s">
        <v>128</v>
      </c>
      <c r="J78" s="22">
        <f>NETWORKDAYS(Christus_Emp_Table[[#This Row],[From Date:]],Christus_Emp_Table[[#This Row],[To Date:]])</f>
        <v>1</v>
      </c>
      <c r="L78" s="22" t="str">
        <f>_xlfn.XLOOKUP(Christus_Emp_Table[[#This Row],[Analyst Name:]],Table1[Analyst Name],Table1[Lead])</f>
        <v>Nitish Kumar</v>
      </c>
    </row>
    <row r="79" spans="1:12" x14ac:dyDescent="0.35">
      <c r="A79" s="21" t="s">
        <v>61</v>
      </c>
      <c r="B79" s="22" t="str">
        <f>_xlfn.XLOOKUP(Christus_Emp_Table[[#This Row],[Analyst Name:]],Table1[Analyst Name],Table1[Deloitte Email ID])</f>
        <v>pbraj@deloitte.com</v>
      </c>
      <c r="C79" s="22" t="str">
        <f>_xlfn.XLOOKUP(Christus_Emp_Table[[#This Row],[Analyst Name:]],Table1[Analyst Name],Table1[Module])</f>
        <v>Automation</v>
      </c>
      <c r="D79" s="22" t="str">
        <f>_xlfn.XLOOKUP(Christus_Emp_Table[[#This Row],[Analyst Name:]],Table1[Analyst Name],Table1[Location])</f>
        <v>BLR</v>
      </c>
      <c r="E79" s="19" t="s">
        <v>112</v>
      </c>
      <c r="F79" s="17">
        <v>45754</v>
      </c>
      <c r="G79" s="17">
        <v>45754</v>
      </c>
      <c r="H79" s="22" t="s">
        <v>129</v>
      </c>
      <c r="I79" s="22" t="s">
        <v>128</v>
      </c>
      <c r="J79" s="22">
        <f>NETWORKDAYS(Christus_Emp_Table[[#This Row],[From Date:]],Christus_Emp_Table[[#This Row],[To Date:]])</f>
        <v>1</v>
      </c>
      <c r="L79" s="22" t="str">
        <f>_xlfn.XLOOKUP(Christus_Emp_Table[[#This Row],[Analyst Name:]],Table1[Analyst Name],Table1[Lead])</f>
        <v>Nitish Kumar</v>
      </c>
    </row>
    <row r="80" spans="1:12" x14ac:dyDescent="0.35">
      <c r="A80" s="21" t="s">
        <v>61</v>
      </c>
      <c r="B80" s="22" t="str">
        <f>_xlfn.XLOOKUP(Christus_Emp_Table[[#This Row],[Analyst Name:]],Table1[Analyst Name],Table1[Deloitte Email ID])</f>
        <v>pbraj@deloitte.com</v>
      </c>
      <c r="C80" s="22" t="str">
        <f>_xlfn.XLOOKUP(Christus_Emp_Table[[#This Row],[Analyst Name:]],Table1[Analyst Name],Table1[Module])</f>
        <v>Automation</v>
      </c>
      <c r="D80" s="22" t="str">
        <f>_xlfn.XLOOKUP(Christus_Emp_Table[[#This Row],[Analyst Name:]],Table1[Analyst Name],Table1[Location])</f>
        <v>BLR</v>
      </c>
      <c r="E80" s="22" t="s">
        <v>127</v>
      </c>
      <c r="F80" s="17">
        <v>45755</v>
      </c>
      <c r="G80" s="17">
        <v>45756</v>
      </c>
      <c r="H80" s="22" t="s">
        <v>127</v>
      </c>
      <c r="I80" s="22" t="s">
        <v>128</v>
      </c>
      <c r="J80" s="22">
        <f>NETWORKDAYS(Christus_Emp_Table[[#This Row],[From Date:]],Christus_Emp_Table[[#This Row],[To Date:]])</f>
        <v>2</v>
      </c>
      <c r="L80" s="22" t="str">
        <f>_xlfn.XLOOKUP(Christus_Emp_Table[[#This Row],[Analyst Name:]],Table1[Analyst Name],Table1[Lead])</f>
        <v>Nitish Kumar</v>
      </c>
    </row>
    <row r="81" spans="1:12" x14ac:dyDescent="0.35">
      <c r="A81" s="21" t="s">
        <v>54</v>
      </c>
      <c r="B81" s="22" t="str">
        <f>_xlfn.XLOOKUP(Christus_Emp_Table[[#This Row],[Analyst Name:]],Table1[Analyst Name],Table1[Deloitte Email ID])</f>
        <v>lakaur@deloitte.com</v>
      </c>
      <c r="C81" s="22" t="str">
        <f>_xlfn.XLOOKUP(Christus_Emp_Table[[#This Row],[Analyst Name:]],Table1[Analyst Name],Table1[Module])</f>
        <v>SER</v>
      </c>
      <c r="D81" s="22" t="str">
        <f>_xlfn.XLOOKUP(Christus_Emp_Table[[#This Row],[Analyst Name:]],Table1[Analyst Name],Table1[Location])</f>
        <v>GUR</v>
      </c>
      <c r="E81" s="19" t="s">
        <v>112</v>
      </c>
      <c r="F81" s="17">
        <v>45775</v>
      </c>
      <c r="G81" s="17">
        <v>45775</v>
      </c>
      <c r="H81" s="22" t="s">
        <v>129</v>
      </c>
      <c r="I81" s="22" t="s">
        <v>128</v>
      </c>
      <c r="J81" s="22">
        <f>NETWORKDAYS(Christus_Emp_Table[[#This Row],[From Date:]],Christus_Emp_Table[[#This Row],[To Date:]])</f>
        <v>1</v>
      </c>
      <c r="L81" s="22" t="str">
        <f>_xlfn.XLOOKUP(Christus_Emp_Table[[#This Row],[Analyst Name:]],Table1[Analyst Name],Table1[Lead])</f>
        <v>Ankita Roy</v>
      </c>
    </row>
    <row r="82" spans="1:12" x14ac:dyDescent="0.35">
      <c r="A82" s="21" t="s">
        <v>45</v>
      </c>
      <c r="B82" s="22" t="str">
        <f>_xlfn.XLOOKUP(Christus_Emp_Table[[#This Row],[Analyst Name:]],Table1[Analyst Name],Table1[Deloitte Email ID])</f>
        <v>divmaheshwari@deloitte.com</v>
      </c>
      <c r="C82" s="22" t="str">
        <f>_xlfn.XLOOKUP(Christus_Emp_Table[[#This Row],[Analyst Name:]],Table1[Analyst Name],Table1[Module])</f>
        <v>MyChart</v>
      </c>
      <c r="D82" s="22" t="str">
        <f>_xlfn.XLOOKUP(Christus_Emp_Table[[#This Row],[Analyst Name:]],Table1[Analyst Name],Table1[Location])</f>
        <v>GUR</v>
      </c>
      <c r="E82" s="22" t="s">
        <v>127</v>
      </c>
      <c r="F82" s="17">
        <v>45748</v>
      </c>
      <c r="G82" s="17">
        <v>45751</v>
      </c>
      <c r="H82" s="22" t="s">
        <v>127</v>
      </c>
      <c r="I82" s="22" t="s">
        <v>128</v>
      </c>
      <c r="J82" s="22">
        <f>NETWORKDAYS(Christus_Emp_Table[[#This Row],[From Date:]],Christus_Emp_Table[[#This Row],[To Date:]])</f>
        <v>4</v>
      </c>
      <c r="L82" s="22" t="str">
        <f>_xlfn.XLOOKUP(Christus_Emp_Table[[#This Row],[Analyst Name:]],Table1[Analyst Name],Table1[Lead])</f>
        <v>Nitish Kumar</v>
      </c>
    </row>
    <row r="83" spans="1:12" x14ac:dyDescent="0.35">
      <c r="A83" s="21" t="s">
        <v>58</v>
      </c>
      <c r="B83" s="22" t="str">
        <f>_xlfn.XLOOKUP(Christus_Emp_Table[[#This Row],[Analyst Name:]],Table1[Analyst Name],Table1[Deloitte Email ID])</f>
        <v>rmbabu@deloitte.com</v>
      </c>
      <c r="C83" s="22" t="str">
        <f>_xlfn.XLOOKUP(Christus_Emp_Table[[#This Row],[Analyst Name:]],Table1[Analyst Name],Table1[Module])</f>
        <v>ECLink</v>
      </c>
      <c r="D83" s="22" t="str">
        <f>_xlfn.XLOOKUP(Christus_Emp_Table[[#This Row],[Analyst Name:]],Table1[Analyst Name],Table1[Location])</f>
        <v>HYD</v>
      </c>
      <c r="E83" s="19" t="s">
        <v>112</v>
      </c>
      <c r="F83" s="17">
        <v>45748</v>
      </c>
      <c r="G83" s="17">
        <v>45750</v>
      </c>
      <c r="H83" s="22" t="s">
        <v>129</v>
      </c>
      <c r="I83" s="22" t="s">
        <v>128</v>
      </c>
      <c r="J83" s="22">
        <f>NETWORKDAYS(Christus_Emp_Table[[#This Row],[From Date:]],Christus_Emp_Table[[#This Row],[To Date:]])</f>
        <v>3</v>
      </c>
      <c r="L83" s="22" t="str">
        <f>_xlfn.XLOOKUP(Christus_Emp_Table[[#This Row],[Analyst Name:]],Table1[Analyst Name],Table1[Lead])</f>
        <v>Nitish Kumar</v>
      </c>
    </row>
    <row r="84" spans="1:12" x14ac:dyDescent="0.35">
      <c r="A84" s="21" t="s">
        <v>58</v>
      </c>
      <c r="B84" s="22" t="str">
        <f>_xlfn.XLOOKUP(Christus_Emp_Table[[#This Row],[Analyst Name:]],Table1[Analyst Name],Table1[Deloitte Email ID])</f>
        <v>rmbabu@deloitte.com</v>
      </c>
      <c r="C84" s="22" t="str">
        <f>_xlfn.XLOOKUP(Christus_Emp_Table[[#This Row],[Analyst Name:]],Table1[Analyst Name],Table1[Module])</f>
        <v>ECLink</v>
      </c>
      <c r="D84" s="22" t="str">
        <f>_xlfn.XLOOKUP(Christus_Emp_Table[[#This Row],[Analyst Name:]],Table1[Analyst Name],Table1[Location])</f>
        <v>HYD</v>
      </c>
      <c r="E84" s="19" t="s">
        <v>112</v>
      </c>
      <c r="F84" s="17">
        <v>45755</v>
      </c>
      <c r="G84" s="17">
        <v>45757</v>
      </c>
      <c r="H84" s="22" t="s">
        <v>129</v>
      </c>
      <c r="I84" s="22" t="s">
        <v>128</v>
      </c>
      <c r="J84" s="22">
        <f>NETWORKDAYS(Christus_Emp_Table[[#This Row],[From Date:]],Christus_Emp_Table[[#This Row],[To Date:]])</f>
        <v>3</v>
      </c>
      <c r="L84" s="22" t="str">
        <f>_xlfn.XLOOKUP(Christus_Emp_Table[[#This Row],[Analyst Name:]],Table1[Analyst Name],Table1[Lead])</f>
        <v>Nitish Kumar</v>
      </c>
    </row>
    <row r="85" spans="1:12" x14ac:dyDescent="0.35">
      <c r="A85" s="21" t="s">
        <v>48</v>
      </c>
      <c r="B85" s="22" t="str">
        <f>_xlfn.XLOOKUP(Christus_Emp_Table[[#This Row],[Analyst Name:]],Table1[Analyst Name],Table1[Deloitte Email ID])</f>
        <v>dwaikar@deloitte.com</v>
      </c>
      <c r="C85" s="22" t="str">
        <f>_xlfn.XLOOKUP(Christus_Emp_Table[[#This Row],[Analyst Name:]],Table1[Analyst Name],Table1[Module])</f>
        <v>SER</v>
      </c>
      <c r="D85" s="22" t="str">
        <f>_xlfn.XLOOKUP(Christus_Emp_Table[[#This Row],[Analyst Name:]],Table1[Analyst Name],Table1[Location])</f>
        <v>BLR</v>
      </c>
      <c r="E85" s="22" t="s">
        <v>127</v>
      </c>
      <c r="F85" s="17">
        <v>45751</v>
      </c>
      <c r="G85" s="17">
        <v>45754</v>
      </c>
      <c r="H85" s="22" t="s">
        <v>127</v>
      </c>
      <c r="I85" s="22" t="s">
        <v>128</v>
      </c>
      <c r="J85" s="22">
        <f>NETWORKDAYS(Christus_Emp_Table[[#This Row],[From Date:]],Christus_Emp_Table[[#This Row],[To Date:]])</f>
        <v>2</v>
      </c>
      <c r="L85" s="22" t="str">
        <f>_xlfn.XLOOKUP(Christus_Emp_Table[[#This Row],[Analyst Name:]],Table1[Analyst Name],Table1[Lead])</f>
        <v>Ankita Roy</v>
      </c>
    </row>
    <row r="86" spans="1:12" x14ac:dyDescent="0.35">
      <c r="A86" s="21" t="s">
        <v>48</v>
      </c>
      <c r="B86" s="22" t="str">
        <f>_xlfn.XLOOKUP(Christus_Emp_Table[[#This Row],[Analyst Name:]],Table1[Analyst Name],Table1[Deloitte Email ID])</f>
        <v>dwaikar@deloitte.com</v>
      </c>
      <c r="C86" s="22" t="str">
        <f>_xlfn.XLOOKUP(Christus_Emp_Table[[#This Row],[Analyst Name:]],Table1[Analyst Name],Table1[Module])</f>
        <v>SER</v>
      </c>
      <c r="D86" s="22" t="str">
        <f>_xlfn.XLOOKUP(Christus_Emp_Table[[#This Row],[Analyst Name:]],Table1[Analyst Name],Table1[Location])</f>
        <v>BLR</v>
      </c>
      <c r="E86" s="19" t="s">
        <v>112</v>
      </c>
      <c r="F86" s="17">
        <v>45755</v>
      </c>
      <c r="G86" s="17">
        <v>45756</v>
      </c>
      <c r="H86" s="22" t="s">
        <v>129</v>
      </c>
      <c r="I86" s="22" t="s">
        <v>128</v>
      </c>
      <c r="J86" s="22">
        <f>NETWORKDAYS(Christus_Emp_Table[[#This Row],[From Date:]],Christus_Emp_Table[[#This Row],[To Date:]])</f>
        <v>2</v>
      </c>
      <c r="L86" s="22" t="str">
        <f>_xlfn.XLOOKUP(Christus_Emp_Table[[#This Row],[Analyst Name:]],Table1[Analyst Name],Table1[Lead])</f>
        <v>Ankita Roy</v>
      </c>
    </row>
    <row r="87" spans="1:12" x14ac:dyDescent="0.35">
      <c r="A87" s="21" t="s">
        <v>48</v>
      </c>
      <c r="B87" s="22" t="str">
        <f>_xlfn.XLOOKUP(Christus_Emp_Table[[#This Row],[Analyst Name:]],Table1[Analyst Name],Table1[Deloitte Email ID])</f>
        <v>dwaikar@deloitte.com</v>
      </c>
      <c r="C87" s="22" t="str">
        <f>_xlfn.XLOOKUP(Christus_Emp_Table[[#This Row],[Analyst Name:]],Table1[Analyst Name],Table1[Module])</f>
        <v>SER</v>
      </c>
      <c r="D87" s="22" t="str">
        <f>_xlfn.XLOOKUP(Christus_Emp_Table[[#This Row],[Analyst Name:]],Table1[Analyst Name],Table1[Location])</f>
        <v>BLR</v>
      </c>
      <c r="E87" s="22" t="s">
        <v>127</v>
      </c>
      <c r="F87" s="17">
        <v>45768</v>
      </c>
      <c r="G87" s="17">
        <v>45768</v>
      </c>
      <c r="H87" s="22" t="s">
        <v>127</v>
      </c>
      <c r="I87" s="22" t="s">
        <v>128</v>
      </c>
      <c r="J87" s="22">
        <f>NETWORKDAYS(Christus_Emp_Table[[#This Row],[From Date:]],Christus_Emp_Table[[#This Row],[To Date:]])</f>
        <v>1</v>
      </c>
      <c r="L87" s="22" t="str">
        <f>_xlfn.XLOOKUP(Christus_Emp_Table[[#This Row],[Analyst Name:]],Table1[Analyst Name],Table1[Lead])</f>
        <v>Ankita Roy</v>
      </c>
    </row>
    <row r="88" spans="1:12" x14ac:dyDescent="0.35">
      <c r="A88" s="21" t="s">
        <v>33</v>
      </c>
      <c r="B88" s="22" t="str">
        <f>_xlfn.XLOOKUP(Christus_Emp_Table[[#This Row],[Analyst Name:]],Table1[Analyst Name],Table1[Deloitte Email ID])</f>
        <v>pjagdishzalavadia@deloitte.com</v>
      </c>
      <c r="C88" s="22" t="str">
        <f>_xlfn.XLOOKUP(Christus_Emp_Table[[#This Row],[Analyst Name:]],Table1[Analyst Name],Table1[Module])</f>
        <v>Bridges</v>
      </c>
      <c r="D88" s="22" t="str">
        <f>_xlfn.XLOOKUP(Christus_Emp_Table[[#This Row],[Analyst Name:]],Table1[Analyst Name],Table1[Location])</f>
        <v>BLR</v>
      </c>
      <c r="E88" s="22" t="s">
        <v>127</v>
      </c>
      <c r="F88" s="17">
        <v>45768</v>
      </c>
      <c r="G88" s="17">
        <v>45768</v>
      </c>
      <c r="H88" s="22" t="s">
        <v>127</v>
      </c>
      <c r="I88" s="22" t="s">
        <v>128</v>
      </c>
      <c r="J88" s="22">
        <f>NETWORKDAYS(Christus_Emp_Table[[#This Row],[From Date:]],Christus_Emp_Table[[#This Row],[To Date:]])</f>
        <v>1</v>
      </c>
      <c r="L88" s="22" t="str">
        <f>_xlfn.XLOOKUP(Christus_Emp_Table[[#This Row],[Analyst Name:]],Table1[Analyst Name],Table1[Lead])</f>
        <v>Tanima Debmallik/Nitish Kumar</v>
      </c>
    </row>
    <row r="89" spans="1:12" x14ac:dyDescent="0.35">
      <c r="A89" s="21" t="s">
        <v>41</v>
      </c>
      <c r="B89" s="22" t="str">
        <f>_xlfn.XLOOKUP(Christus_Emp_Table[[#This Row],[Analyst Name:]],Table1[Analyst Name],Table1[Deloitte Email ID])</f>
        <v>mpavkumar@deloitte.com</v>
      </c>
      <c r="C89" s="22" t="str">
        <f>_xlfn.XLOOKUP(Christus_Emp_Table[[#This Row],[Analyst Name:]],Table1[Analyst Name],Table1[Module])</f>
        <v>MyChart</v>
      </c>
      <c r="D89" s="22" t="str">
        <f>_xlfn.XLOOKUP(Christus_Emp_Table[[#This Row],[Analyst Name:]],Table1[Analyst Name],Table1[Location])</f>
        <v>HYD</v>
      </c>
      <c r="E89" s="22" t="s">
        <v>127</v>
      </c>
      <c r="F89" s="17">
        <v>45748</v>
      </c>
      <c r="G89" s="17">
        <v>45751</v>
      </c>
      <c r="H89" s="22" t="s">
        <v>127</v>
      </c>
      <c r="I89" s="22" t="s">
        <v>128</v>
      </c>
      <c r="J89" s="22">
        <f>NETWORKDAYS(Christus_Emp_Table[[#This Row],[From Date:]],Christus_Emp_Table[[#This Row],[To Date:]])</f>
        <v>4</v>
      </c>
      <c r="L89" s="22" t="str">
        <f>_xlfn.XLOOKUP(Christus_Emp_Table[[#This Row],[Analyst Name:]],Table1[Analyst Name],Table1[Lead])</f>
        <v>Nitish Kumar</v>
      </c>
    </row>
    <row r="90" spans="1:12" x14ac:dyDescent="0.35">
      <c r="A90" s="21" t="s">
        <v>43</v>
      </c>
      <c r="B90" s="22" t="str">
        <f>_xlfn.XLOOKUP(Christus_Emp_Table[[#This Row],[Analyst Name:]],Table1[Analyst Name],Table1[Deloitte Email ID])</f>
        <v>frai@deloitte.com</v>
      </c>
      <c r="C90" s="22" t="str">
        <f>_xlfn.XLOOKUP(Christus_Emp_Table[[#This Row],[Analyst Name:]],Table1[Analyst Name],Table1[Module])</f>
        <v>MyChart</v>
      </c>
      <c r="D90" s="22" t="str">
        <f>_xlfn.XLOOKUP(Christus_Emp_Table[[#This Row],[Analyst Name:]],Table1[Analyst Name],Table1[Location])</f>
        <v>HYD</v>
      </c>
      <c r="E90" s="19" t="s">
        <v>112</v>
      </c>
      <c r="F90" s="17">
        <v>45757</v>
      </c>
      <c r="G90" s="17">
        <v>45758</v>
      </c>
      <c r="H90" s="22" t="s">
        <v>129</v>
      </c>
      <c r="I90" s="22" t="s">
        <v>128</v>
      </c>
      <c r="J90" s="22">
        <f>NETWORKDAYS(Christus_Emp_Table[[#This Row],[From Date:]],Christus_Emp_Table[[#This Row],[To Date:]])</f>
        <v>2</v>
      </c>
      <c r="L90" s="22" t="str">
        <f>_xlfn.XLOOKUP(Christus_Emp_Table[[#This Row],[Analyst Name:]],Table1[Analyst Name],Table1[Lead])</f>
        <v>Nitish Kumar</v>
      </c>
    </row>
    <row r="91" spans="1:12" x14ac:dyDescent="0.35">
      <c r="A91" s="21" t="s">
        <v>43</v>
      </c>
      <c r="B91" s="22" t="str">
        <f>_xlfn.XLOOKUP(Christus_Emp_Table[[#This Row],[Analyst Name:]],Table1[Analyst Name],Table1[Deloitte Email ID])</f>
        <v>frai@deloitte.com</v>
      </c>
      <c r="C91" s="22" t="str">
        <f>_xlfn.XLOOKUP(Christus_Emp_Table[[#This Row],[Analyst Name:]],Table1[Analyst Name],Table1[Module])</f>
        <v>MyChart</v>
      </c>
      <c r="D91" s="22" t="str">
        <f>_xlfn.XLOOKUP(Christus_Emp_Table[[#This Row],[Analyst Name:]],Table1[Analyst Name],Table1[Location])</f>
        <v>HYD</v>
      </c>
      <c r="E91" s="22" t="s">
        <v>127</v>
      </c>
      <c r="F91" s="17">
        <v>45775</v>
      </c>
      <c r="G91" s="17">
        <v>45777</v>
      </c>
      <c r="H91" s="22" t="s">
        <v>127</v>
      </c>
      <c r="I91" s="22" t="s">
        <v>128</v>
      </c>
      <c r="J91" s="22">
        <f>NETWORKDAYS(Christus_Emp_Table[[#This Row],[From Date:]],Christus_Emp_Table[[#This Row],[To Date:]])</f>
        <v>3</v>
      </c>
      <c r="L91" s="22" t="str">
        <f>_xlfn.XLOOKUP(Christus_Emp_Table[[#This Row],[Analyst Name:]],Table1[Analyst Name],Table1[Lead])</f>
        <v>Nitish Kumar</v>
      </c>
    </row>
    <row r="92" spans="1:12" x14ac:dyDescent="0.35">
      <c r="A92" s="21" t="s">
        <v>21</v>
      </c>
      <c r="B92" s="22" t="str">
        <f>_xlfn.XLOOKUP(Christus_Emp_Table[[#This Row],[Analyst Name:]],Table1[Analyst Name],Table1[Deloitte Email ID])</f>
        <v>vbalasodongale@deloitte.com</v>
      </c>
      <c r="C92" s="22" t="str">
        <f>_xlfn.XLOOKUP(Christus_Emp_Table[[#This Row],[Analyst Name:]],Table1[Analyst Name],Table1[Module])</f>
        <v>Reporting</v>
      </c>
      <c r="D92" s="22" t="str">
        <f>_xlfn.XLOOKUP(Christus_Emp_Table[[#This Row],[Analyst Name:]],Table1[Analyst Name],Table1[Location])</f>
        <v>HYD</v>
      </c>
      <c r="E92" s="22" t="s">
        <v>127</v>
      </c>
      <c r="F92" s="17">
        <v>45748</v>
      </c>
      <c r="G92" s="17">
        <v>45748</v>
      </c>
      <c r="H92" s="22" t="s">
        <v>127</v>
      </c>
      <c r="I92" s="22" t="s">
        <v>128</v>
      </c>
      <c r="J92" s="22">
        <f>NETWORKDAYS(Christus_Emp_Table[[#This Row],[From Date:]],Christus_Emp_Table[[#This Row],[To Date:]])</f>
        <v>1</v>
      </c>
      <c r="L92" s="22">
        <f>_xlfn.XLOOKUP(Christus_Emp_Table[[#This Row],[Analyst Name:]],Table1[Analyst Name],Table1[Lead])</f>
        <v>0</v>
      </c>
    </row>
    <row r="93" spans="1:12" x14ac:dyDescent="0.35">
      <c r="A93" s="21" t="s">
        <v>21</v>
      </c>
      <c r="B93" s="22" t="str">
        <f>_xlfn.XLOOKUP(Christus_Emp_Table[[#This Row],[Analyst Name:]],Table1[Analyst Name],Table1[Deloitte Email ID])</f>
        <v>vbalasodongale@deloitte.com</v>
      </c>
      <c r="C93" s="22" t="str">
        <f>_xlfn.XLOOKUP(Christus_Emp_Table[[#This Row],[Analyst Name:]],Table1[Analyst Name],Table1[Module])</f>
        <v>Reporting</v>
      </c>
      <c r="D93" s="22" t="str">
        <f>_xlfn.XLOOKUP(Christus_Emp_Table[[#This Row],[Analyst Name:]],Table1[Analyst Name],Table1[Location])</f>
        <v>HYD</v>
      </c>
      <c r="E93" s="19" t="s">
        <v>112</v>
      </c>
      <c r="F93" s="17">
        <v>45765</v>
      </c>
      <c r="G93" s="17">
        <v>45765</v>
      </c>
      <c r="H93" s="22" t="s">
        <v>129</v>
      </c>
      <c r="I93" s="22" t="s">
        <v>128</v>
      </c>
      <c r="J93" s="22">
        <f>NETWORKDAYS(Christus_Emp_Table[[#This Row],[From Date:]],Christus_Emp_Table[[#This Row],[To Date:]])</f>
        <v>1</v>
      </c>
      <c r="L93" s="22">
        <f>_xlfn.XLOOKUP(Christus_Emp_Table[[#This Row],[Analyst Name:]],Table1[Analyst Name],Table1[Lead])</f>
        <v>0</v>
      </c>
    </row>
    <row r="94" spans="1:12" x14ac:dyDescent="0.35">
      <c r="A94" s="21" t="s">
        <v>15</v>
      </c>
      <c r="B94" s="22" t="str">
        <f>_xlfn.XLOOKUP(Christus_Emp_Table[[#This Row],[Analyst Name:]],Table1[Analyst Name],Table1[Deloitte Email ID])</f>
        <v>jbelel@deloitte.com</v>
      </c>
      <c r="C94" s="22" t="str">
        <f>_xlfn.XLOOKUP(Christus_Emp_Table[[#This Row],[Analyst Name:]],Table1[Analyst Name],Table1[Module])</f>
        <v>Reporting</v>
      </c>
      <c r="D94" s="22" t="str">
        <f>_xlfn.XLOOKUP(Christus_Emp_Table[[#This Row],[Analyst Name:]],Table1[Analyst Name],Table1[Location])</f>
        <v>MUM</v>
      </c>
      <c r="E94" s="22" t="s">
        <v>127</v>
      </c>
      <c r="F94" s="17">
        <v>45763</v>
      </c>
      <c r="G94" s="17">
        <v>45765</v>
      </c>
      <c r="H94" s="22" t="s">
        <v>127</v>
      </c>
      <c r="I94" s="22" t="s">
        <v>128</v>
      </c>
      <c r="J94" s="22">
        <f>NETWORKDAYS(Christus_Emp_Table[[#This Row],[From Date:]],Christus_Emp_Table[[#This Row],[To Date:]])</f>
        <v>3</v>
      </c>
      <c r="L94" s="22" t="str">
        <f>_xlfn.XLOOKUP(Christus_Emp_Table[[#This Row],[Analyst Name:]],Table1[Analyst Name],Table1[Lead])</f>
        <v>Tanima Debmallik/Nitish Kumar</v>
      </c>
    </row>
    <row r="95" spans="1:12" x14ac:dyDescent="0.35">
      <c r="A95" s="21" t="s">
        <v>15</v>
      </c>
      <c r="B95" s="22" t="str">
        <f>_xlfn.XLOOKUP(Christus_Emp_Table[[#This Row],[Analyst Name:]],Table1[Analyst Name],Table1[Deloitte Email ID])</f>
        <v>jbelel@deloitte.com</v>
      </c>
      <c r="C95" s="22" t="str">
        <f>_xlfn.XLOOKUP(Christus_Emp_Table[[#This Row],[Analyst Name:]],Table1[Analyst Name],Table1[Module])</f>
        <v>Reporting</v>
      </c>
      <c r="D95" s="22" t="str">
        <f>_xlfn.XLOOKUP(Christus_Emp_Table[[#This Row],[Analyst Name:]],Table1[Analyst Name],Table1[Location])</f>
        <v>MUM</v>
      </c>
      <c r="E95" s="22" t="s">
        <v>127</v>
      </c>
      <c r="F95" s="17">
        <v>45777</v>
      </c>
      <c r="G95" s="17">
        <v>45777</v>
      </c>
      <c r="H95" s="22" t="s">
        <v>127</v>
      </c>
      <c r="I95" s="22" t="s">
        <v>128</v>
      </c>
      <c r="J95" s="22">
        <f>NETWORKDAYS(Christus_Emp_Table[[#This Row],[From Date:]],Christus_Emp_Table[[#This Row],[To Date:]])</f>
        <v>1</v>
      </c>
      <c r="L95" s="22" t="str">
        <f>_xlfn.XLOOKUP(Christus_Emp_Table[[#This Row],[Analyst Name:]],Table1[Analyst Name],Table1[Lead])</f>
        <v>Tanima Debmallik/Nitish Kumar</v>
      </c>
    </row>
    <row r="96" spans="1:12" x14ac:dyDescent="0.35">
      <c r="A96" s="21" t="s">
        <v>11</v>
      </c>
      <c r="B96" s="22" t="str">
        <f>_xlfn.XLOOKUP(Christus_Emp_Table[[#This Row],[Analyst Name:]],Table1[Analyst Name],Table1[Deloitte Email ID])</f>
        <v>bharkumari@deloitte.com</v>
      </c>
      <c r="C96" s="22" t="str">
        <f>_xlfn.XLOOKUP(Christus_Emp_Table[[#This Row],[Analyst Name:]],Table1[Analyst Name],Table1[Module])</f>
        <v>Reporting</v>
      </c>
      <c r="D96" s="22" t="str">
        <f>_xlfn.XLOOKUP(Christus_Emp_Table[[#This Row],[Analyst Name:]],Table1[Analyst Name],Table1[Location])</f>
        <v>BLR</v>
      </c>
      <c r="E96" s="19" t="s">
        <v>112</v>
      </c>
      <c r="F96" s="17">
        <v>45763</v>
      </c>
      <c r="G96" s="17">
        <v>45763</v>
      </c>
      <c r="H96" s="22" t="s">
        <v>129</v>
      </c>
      <c r="I96" s="22" t="s">
        <v>128</v>
      </c>
      <c r="J96" s="22">
        <f>NETWORKDAYS(Christus_Emp_Table[[#This Row],[From Date:]],Christus_Emp_Table[[#This Row],[To Date:]])</f>
        <v>1</v>
      </c>
      <c r="L96" s="22" t="str">
        <f>_xlfn.XLOOKUP(Christus_Emp_Table[[#This Row],[Analyst Name:]],Table1[Analyst Name],Table1[Lead])</f>
        <v>Nitish Kumar</v>
      </c>
    </row>
    <row r="97" spans="1:12" x14ac:dyDescent="0.35">
      <c r="A97" s="21" t="s">
        <v>6</v>
      </c>
      <c r="B97" s="22" t="str">
        <f>_xlfn.XLOOKUP(Christus_Emp_Table[[#This Row],[Analyst Name:]],Table1[Analyst Name],Table1[Deloitte Email ID])</f>
        <v>nitishkumar44@deloitte.com</v>
      </c>
      <c r="C97" s="22" t="str">
        <f>_xlfn.XLOOKUP(Christus_Emp_Table[[#This Row],[Analyst Name:]],Table1[Analyst Name],Table1[Module])</f>
        <v>Reporting</v>
      </c>
      <c r="D97" s="22" t="str">
        <f>_xlfn.XLOOKUP(Christus_Emp_Table[[#This Row],[Analyst Name:]],Table1[Analyst Name],Table1[Location])</f>
        <v>BLR</v>
      </c>
      <c r="E97" s="19" t="s">
        <v>112</v>
      </c>
      <c r="F97" s="17">
        <v>45754</v>
      </c>
      <c r="G97" s="17">
        <v>45754</v>
      </c>
      <c r="H97" s="22" t="s">
        <v>129</v>
      </c>
      <c r="I97" s="22" t="s">
        <v>128</v>
      </c>
      <c r="J97" s="22">
        <f>NETWORKDAYS(Christus_Emp_Table[[#This Row],[From Date:]],Christus_Emp_Table[[#This Row],[To Date:]])</f>
        <v>1</v>
      </c>
      <c r="L97" s="22">
        <f>_xlfn.XLOOKUP(Christus_Emp_Table[[#This Row],[Analyst Name:]],Table1[Analyst Name],Table1[Lead])</f>
        <v>0</v>
      </c>
    </row>
    <row r="98" spans="1:12" x14ac:dyDescent="0.35">
      <c r="A98" s="21" t="s">
        <v>6</v>
      </c>
      <c r="B98" s="22" t="str">
        <f>_xlfn.XLOOKUP(Christus_Emp_Table[[#This Row],[Analyst Name:]],Table1[Analyst Name],Table1[Deloitte Email ID])</f>
        <v>nitishkumar44@deloitte.com</v>
      </c>
      <c r="C98" s="22" t="str">
        <f>_xlfn.XLOOKUP(Christus_Emp_Table[[#This Row],[Analyst Name:]],Table1[Analyst Name],Table1[Module])</f>
        <v>Reporting</v>
      </c>
      <c r="D98" s="22" t="str">
        <f>_xlfn.XLOOKUP(Christus_Emp_Table[[#This Row],[Analyst Name:]],Table1[Analyst Name],Table1[Location])</f>
        <v>BLR</v>
      </c>
      <c r="E98" s="22" t="s">
        <v>127</v>
      </c>
      <c r="F98" s="17">
        <v>45765</v>
      </c>
      <c r="G98" s="17">
        <v>45765</v>
      </c>
      <c r="H98" s="22" t="s">
        <v>127</v>
      </c>
      <c r="I98" s="22" t="s">
        <v>128</v>
      </c>
      <c r="J98" s="22">
        <f>NETWORKDAYS(Christus_Emp_Table[[#This Row],[From Date:]],Christus_Emp_Table[[#This Row],[To Date:]])</f>
        <v>1</v>
      </c>
      <c r="L98" s="22">
        <f>_xlfn.XLOOKUP(Christus_Emp_Table[[#This Row],[Analyst Name:]],Table1[Analyst Name],Table1[Lead])</f>
        <v>0</v>
      </c>
    </row>
    <row r="99" spans="1:12" x14ac:dyDescent="0.35">
      <c r="A99" s="21" t="s">
        <v>6</v>
      </c>
      <c r="B99" s="22" t="str">
        <f>_xlfn.XLOOKUP(Christus_Emp_Table[[#This Row],[Analyst Name:]],Table1[Analyst Name],Table1[Deloitte Email ID])</f>
        <v>nitishkumar44@deloitte.com</v>
      </c>
      <c r="C99" s="22" t="str">
        <f>_xlfn.XLOOKUP(Christus_Emp_Table[[#This Row],[Analyst Name:]],Table1[Analyst Name],Table1[Module])</f>
        <v>Reporting</v>
      </c>
      <c r="D99" s="22" t="str">
        <f>_xlfn.XLOOKUP(Christus_Emp_Table[[#This Row],[Analyst Name:]],Table1[Analyst Name],Table1[Location])</f>
        <v>BLR</v>
      </c>
      <c r="E99" s="22" t="s">
        <v>127</v>
      </c>
      <c r="F99" s="17">
        <v>45770</v>
      </c>
      <c r="G99" s="17">
        <v>45772</v>
      </c>
      <c r="H99" s="22" t="s">
        <v>127</v>
      </c>
      <c r="I99" s="22" t="s">
        <v>128</v>
      </c>
      <c r="J99" s="22">
        <f>NETWORKDAYS(Christus_Emp_Table[[#This Row],[From Date:]],Christus_Emp_Table[[#This Row],[To Date:]])</f>
        <v>3</v>
      </c>
      <c r="L99" s="22">
        <f>_xlfn.XLOOKUP(Christus_Emp_Table[[#This Row],[Analyst Name:]],Table1[Analyst Name],Table1[Lead])</f>
        <v>0</v>
      </c>
    </row>
    <row r="100" spans="1:12" x14ac:dyDescent="0.35">
      <c r="A100" s="21" t="s">
        <v>16</v>
      </c>
      <c r="B100" s="22" t="str">
        <f>_xlfn.XLOOKUP(Christus_Emp_Table[[#This Row],[Analyst Name:]],Table1[Analyst Name],Table1[Deloitte Email ID])</f>
        <v>abalagopalan@deloitte.com</v>
      </c>
      <c r="C100" s="22" t="str">
        <f>_xlfn.XLOOKUP(Christus_Emp_Table[[#This Row],[Analyst Name:]],Table1[Analyst Name],Table1[Module])</f>
        <v>Reporting</v>
      </c>
      <c r="D100" s="22" t="str">
        <f>_xlfn.XLOOKUP(Christus_Emp_Table[[#This Row],[Analyst Name:]],Table1[Analyst Name],Table1[Location])</f>
        <v>BLR</v>
      </c>
      <c r="E100" s="22" t="s">
        <v>127</v>
      </c>
      <c r="F100" s="17">
        <v>45779</v>
      </c>
      <c r="G100" s="17">
        <v>45783</v>
      </c>
      <c r="H100" s="22" t="s">
        <v>127</v>
      </c>
      <c r="I100" s="22" t="s">
        <v>128</v>
      </c>
      <c r="J100" s="22">
        <f>NETWORKDAYS(Christus_Emp_Table[[#This Row],[From Date:]],Christus_Emp_Table[[#This Row],[To Date:]])</f>
        <v>3</v>
      </c>
      <c r="L100" s="22" t="str">
        <f>_xlfn.XLOOKUP(Christus_Emp_Table[[#This Row],[Analyst Name:]],Table1[Analyst Name],Table1[Lead])</f>
        <v>Jagannath Belel</v>
      </c>
    </row>
    <row r="101" spans="1:12" x14ac:dyDescent="0.35">
      <c r="A101" s="21" t="s">
        <v>13</v>
      </c>
      <c r="B101" s="22" t="str">
        <f>_xlfn.XLOOKUP(Christus_Emp_Table[[#This Row],[Analyst Name:]],Table1[Analyst Name],Table1[Deloitte Email ID])</f>
        <v>srug@deloitte.com</v>
      </c>
      <c r="C101" s="22" t="str">
        <f>_xlfn.XLOOKUP(Christus_Emp_Table[[#This Row],[Analyst Name:]],Table1[Analyst Name],Table1[Module])</f>
        <v>Reporting</v>
      </c>
      <c r="D101" s="22" t="str">
        <f>_xlfn.XLOOKUP(Christus_Emp_Table[[#This Row],[Analyst Name:]],Table1[Analyst Name],Table1[Location])</f>
        <v>BLR</v>
      </c>
      <c r="E101" s="22" t="s">
        <v>130</v>
      </c>
      <c r="F101" s="17">
        <v>45786</v>
      </c>
      <c r="G101" s="17">
        <v>45786</v>
      </c>
      <c r="H101" s="22" t="s">
        <v>130</v>
      </c>
      <c r="I101" s="22" t="s">
        <v>128</v>
      </c>
      <c r="J101" s="22">
        <f>NETWORKDAYS(Christus_Emp_Table[[#This Row],[From Date:]],Christus_Emp_Table[[#This Row],[To Date:]])</f>
        <v>1</v>
      </c>
      <c r="L101" s="22" t="str">
        <f>_xlfn.XLOOKUP(Christus_Emp_Table[[#This Row],[Analyst Name:]],Table1[Analyst Name],Table1[Lead])</f>
        <v>Jagannath Belel</v>
      </c>
    </row>
    <row r="102" spans="1:12" x14ac:dyDescent="0.35">
      <c r="A102" s="21" t="s">
        <v>13</v>
      </c>
      <c r="B102" s="22" t="str">
        <f>_xlfn.XLOOKUP(Christus_Emp_Table[[#This Row],[Analyst Name:]],Table1[Analyst Name],Table1[Deloitte Email ID])</f>
        <v>srug@deloitte.com</v>
      </c>
      <c r="C102" s="22" t="str">
        <f>_xlfn.XLOOKUP(Christus_Emp_Table[[#This Row],[Analyst Name:]],Table1[Analyst Name],Table1[Module])</f>
        <v>Reporting</v>
      </c>
      <c r="D102" s="22" t="str">
        <f>_xlfn.XLOOKUP(Christus_Emp_Table[[#This Row],[Analyst Name:]],Table1[Analyst Name],Table1[Location])</f>
        <v>BLR</v>
      </c>
      <c r="E102" s="19" t="s">
        <v>112</v>
      </c>
      <c r="F102" s="17">
        <v>45789</v>
      </c>
      <c r="G102" s="17">
        <v>45789</v>
      </c>
      <c r="H102" s="22" t="s">
        <v>129</v>
      </c>
      <c r="I102" s="22" t="s">
        <v>128</v>
      </c>
      <c r="J102" s="22">
        <f>NETWORKDAYS(Christus_Emp_Table[[#This Row],[From Date:]],Christus_Emp_Table[[#This Row],[To Date:]])</f>
        <v>1</v>
      </c>
      <c r="L102" s="22" t="str">
        <f>_xlfn.XLOOKUP(Christus_Emp_Table[[#This Row],[Analyst Name:]],Table1[Analyst Name],Table1[Lead])</f>
        <v>Jagannath Belel</v>
      </c>
    </row>
    <row r="103" spans="1:12" x14ac:dyDescent="0.35">
      <c r="A103" s="21" t="s">
        <v>68</v>
      </c>
      <c r="B103" s="22" t="str">
        <f>_xlfn.XLOOKUP(Christus_Emp_Table[[#This Row],[Analyst Name:]],Table1[Analyst Name],Table1[Deloitte Email ID])</f>
        <v>anussaha@deloitte.com</v>
      </c>
      <c r="C103" s="22" t="str">
        <f>_xlfn.XLOOKUP(Christus_Emp_Table[[#This Row],[Analyst Name:]],Table1[Analyst Name],Table1[Module])</f>
        <v>Automation</v>
      </c>
      <c r="D103" s="22" t="str">
        <f>_xlfn.XLOOKUP(Christus_Emp_Table[[#This Row],[Analyst Name:]],Table1[Analyst Name],Table1[Location])</f>
        <v>HYD</v>
      </c>
      <c r="E103" s="19" t="s">
        <v>112</v>
      </c>
      <c r="F103" s="17">
        <v>45785</v>
      </c>
      <c r="G103" s="17">
        <v>45785</v>
      </c>
      <c r="H103" s="22" t="s">
        <v>129</v>
      </c>
      <c r="I103" s="22" t="s">
        <v>128</v>
      </c>
      <c r="J103" s="22">
        <f>NETWORKDAYS(Christus_Emp_Table[[#This Row],[From Date:]],Christus_Emp_Table[[#This Row],[To Date:]])</f>
        <v>1</v>
      </c>
      <c r="L103" s="22" t="str">
        <f>_xlfn.XLOOKUP(Christus_Emp_Table[[#This Row],[Analyst Name:]],Table1[Analyst Name],Table1[Lead])</f>
        <v>Nitish Kumar</v>
      </c>
    </row>
    <row r="104" spans="1:12" x14ac:dyDescent="0.35">
      <c r="A104" s="21" t="s">
        <v>66</v>
      </c>
      <c r="B104" s="22" t="str">
        <f>_xlfn.XLOOKUP(Christus_Emp_Table[[#This Row],[Analyst Name:]],Table1[Analyst Name],Table1[Deloitte Email ID])</f>
        <v>akshayakumar@deloitte.com</v>
      </c>
      <c r="C104" s="22" t="str">
        <f>_xlfn.XLOOKUP(Christus_Emp_Table[[#This Row],[Analyst Name:]],Table1[Analyst Name],Table1[Module])</f>
        <v>Automation</v>
      </c>
      <c r="D104" s="22" t="str">
        <f>_xlfn.XLOOKUP(Christus_Emp_Table[[#This Row],[Analyst Name:]],Table1[Analyst Name],Table1[Location])</f>
        <v>BLR</v>
      </c>
      <c r="E104" s="19" t="s">
        <v>112</v>
      </c>
      <c r="F104" s="17">
        <v>45782</v>
      </c>
      <c r="G104" s="17">
        <v>45782</v>
      </c>
      <c r="H104" s="22" t="s">
        <v>129</v>
      </c>
      <c r="I104" s="22" t="s">
        <v>128</v>
      </c>
      <c r="J104" s="22">
        <f>NETWORKDAYS(Christus_Emp_Table[[#This Row],[From Date:]],Christus_Emp_Table[[#This Row],[To Date:]])</f>
        <v>1</v>
      </c>
      <c r="L104" s="22" t="str">
        <f>_xlfn.XLOOKUP(Christus_Emp_Table[[#This Row],[Analyst Name:]],Table1[Analyst Name],Table1[Lead])</f>
        <v>Parth Zalavadia</v>
      </c>
    </row>
    <row r="105" spans="1:12" x14ac:dyDescent="0.35">
      <c r="A105" s="21" t="s">
        <v>52</v>
      </c>
      <c r="B105" s="22" t="str">
        <f>_xlfn.XLOOKUP(Christus_Emp_Table[[#This Row],[Analyst Name:]],Table1[Analyst Name],Table1[Deloitte Email ID])</f>
        <v>Drajitha@deloitte.com</v>
      </c>
      <c r="C105" s="22" t="str">
        <f>_xlfn.XLOOKUP(Christus_Emp_Table[[#This Row],[Analyst Name:]],Table1[Analyst Name],Table1[Module])</f>
        <v>SER</v>
      </c>
      <c r="D105" s="22" t="str">
        <f>_xlfn.XLOOKUP(Christus_Emp_Table[[#This Row],[Analyst Name:]],Table1[Analyst Name],Table1[Location])</f>
        <v>BLR</v>
      </c>
      <c r="E105" s="19" t="s">
        <v>112</v>
      </c>
      <c r="F105" s="17">
        <v>45785</v>
      </c>
      <c r="G105" s="17">
        <v>45786</v>
      </c>
      <c r="H105" s="22" t="s">
        <v>129</v>
      </c>
      <c r="I105" s="22" t="s">
        <v>128</v>
      </c>
      <c r="J105" s="22">
        <f>NETWORKDAYS(Christus_Emp_Table[[#This Row],[From Date:]],Christus_Emp_Table[[#This Row],[To Date:]])</f>
        <v>2</v>
      </c>
      <c r="L105" s="22" t="str">
        <f>_xlfn.XLOOKUP(Christus_Emp_Table[[#This Row],[Analyst Name:]],Table1[Analyst Name],Table1[Lead])</f>
        <v>Ankita Roy</v>
      </c>
    </row>
    <row r="106" spans="1:12" x14ac:dyDescent="0.35">
      <c r="A106" s="21" t="s">
        <v>52</v>
      </c>
      <c r="B106" s="22" t="str">
        <f>_xlfn.XLOOKUP(Christus_Emp_Table[[#This Row],[Analyst Name:]],Table1[Analyst Name],Table1[Deloitte Email ID])</f>
        <v>Drajitha@deloitte.com</v>
      </c>
      <c r="C106" s="22" t="str">
        <f>_xlfn.XLOOKUP(Christus_Emp_Table[[#This Row],[Analyst Name:]],Table1[Analyst Name],Table1[Module])</f>
        <v>SER</v>
      </c>
      <c r="D106" s="22" t="str">
        <f>_xlfn.XLOOKUP(Christus_Emp_Table[[#This Row],[Analyst Name:]],Table1[Analyst Name],Table1[Location])</f>
        <v>BLR</v>
      </c>
      <c r="E106" s="19" t="s">
        <v>112</v>
      </c>
      <c r="F106" s="17">
        <v>45796</v>
      </c>
      <c r="G106" s="17">
        <v>45796</v>
      </c>
      <c r="H106" s="22" t="s">
        <v>129</v>
      </c>
      <c r="I106" s="22" t="s">
        <v>128</v>
      </c>
      <c r="J106" s="22">
        <f>NETWORKDAYS(Christus_Emp_Table[[#This Row],[From Date:]],Christus_Emp_Table[[#This Row],[To Date:]])</f>
        <v>1</v>
      </c>
      <c r="L106" s="22" t="str">
        <f>_xlfn.XLOOKUP(Christus_Emp_Table[[#This Row],[Analyst Name:]],Table1[Analyst Name],Table1[Lead])</f>
        <v>Ankita Roy</v>
      </c>
    </row>
    <row r="107" spans="1:12" x14ac:dyDescent="0.35">
      <c r="A107" s="21" t="s">
        <v>79</v>
      </c>
      <c r="B107" s="22" t="str">
        <f>_xlfn.XLOOKUP(Christus_Emp_Table[[#This Row],[Analyst Name:]],Table1[Analyst Name],Table1[Deloitte Email ID])</f>
        <v>pragrawat@deloitte.com</v>
      </c>
      <c r="C107" s="22" t="str">
        <f>_xlfn.XLOOKUP(Christus_Emp_Table[[#This Row],[Analyst Name:]],Table1[Analyst Name],Table1[Module])</f>
        <v>EC/DC</v>
      </c>
      <c r="D107" s="22" t="str">
        <f>_xlfn.XLOOKUP(Christus_Emp_Table[[#This Row],[Analyst Name:]],Table1[Analyst Name],Table1[Location])</f>
        <v>GUR</v>
      </c>
      <c r="E107" s="22" t="s">
        <v>127</v>
      </c>
      <c r="F107" s="17">
        <v>45782</v>
      </c>
      <c r="G107" s="17">
        <v>45782</v>
      </c>
      <c r="H107" s="22" t="s">
        <v>127</v>
      </c>
      <c r="I107" s="22" t="s">
        <v>128</v>
      </c>
      <c r="J107" s="22">
        <f>NETWORKDAYS(Christus_Emp_Table[[#This Row],[From Date:]],Christus_Emp_Table[[#This Row],[To Date:]])</f>
        <v>1</v>
      </c>
      <c r="L107" s="22" t="str">
        <f>_xlfn.XLOOKUP(Christus_Emp_Table[[#This Row],[Analyst Name:]],Table1[Analyst Name],Table1[Lead])</f>
        <v>Ankita Roy</v>
      </c>
    </row>
    <row r="108" spans="1:12" x14ac:dyDescent="0.35">
      <c r="A108" s="21" t="s">
        <v>79</v>
      </c>
      <c r="B108" s="22" t="str">
        <f>_xlfn.XLOOKUP(Christus_Emp_Table[[#This Row],[Analyst Name:]],Table1[Analyst Name],Table1[Deloitte Email ID])</f>
        <v>pragrawat@deloitte.com</v>
      </c>
      <c r="C108" s="22" t="str">
        <f>_xlfn.XLOOKUP(Christus_Emp_Table[[#This Row],[Analyst Name:]],Table1[Analyst Name],Table1[Module])</f>
        <v>EC/DC</v>
      </c>
      <c r="D108" s="22" t="str">
        <f>_xlfn.XLOOKUP(Christus_Emp_Table[[#This Row],[Analyst Name:]],Table1[Analyst Name],Table1[Location])</f>
        <v>GUR</v>
      </c>
      <c r="E108" s="19" t="s">
        <v>112</v>
      </c>
      <c r="F108" s="17">
        <v>45803</v>
      </c>
      <c r="G108" s="17">
        <v>45803</v>
      </c>
      <c r="H108" s="22" t="s">
        <v>129</v>
      </c>
      <c r="I108" s="22" t="s">
        <v>128</v>
      </c>
      <c r="J108" s="22">
        <f>NETWORKDAYS(Christus_Emp_Table[[#This Row],[From Date:]],Christus_Emp_Table[[#This Row],[To Date:]])</f>
        <v>1</v>
      </c>
      <c r="L108" s="22" t="str">
        <f>_xlfn.XLOOKUP(Christus_Emp_Table[[#This Row],[Analyst Name:]],Table1[Analyst Name],Table1[Lead])</f>
        <v>Ankita Roy</v>
      </c>
    </row>
    <row r="109" spans="1:12" x14ac:dyDescent="0.35">
      <c r="A109" s="21" t="s">
        <v>51</v>
      </c>
      <c r="B109" s="22" t="str">
        <f>_xlfn.XLOOKUP(Christus_Emp_Table[[#This Row],[Analyst Name:]],Table1[Analyst Name],Table1[Deloitte Email ID])</f>
        <v>ankitaroy2@deloitte.com</v>
      </c>
      <c r="C109" s="22" t="str">
        <f>_xlfn.XLOOKUP(Christus_Emp_Table[[#This Row],[Analyst Name:]],Table1[Analyst Name],Table1[Module])</f>
        <v>EC/DC</v>
      </c>
      <c r="D109" s="22" t="str">
        <f>_xlfn.XLOOKUP(Christus_Emp_Table[[#This Row],[Analyst Name:]],Table1[Analyst Name],Table1[Location])</f>
        <v>BLR</v>
      </c>
      <c r="E109" s="22" t="s">
        <v>127</v>
      </c>
      <c r="F109" s="17">
        <v>45779</v>
      </c>
      <c r="G109" s="17">
        <v>45779</v>
      </c>
      <c r="H109" s="22" t="s">
        <v>127</v>
      </c>
      <c r="I109" s="22" t="s">
        <v>128</v>
      </c>
      <c r="J109" s="22">
        <f>NETWORKDAYS(Christus_Emp_Table[[#This Row],[From Date:]],Christus_Emp_Table[[#This Row],[To Date:]])</f>
        <v>1</v>
      </c>
      <c r="L109" s="22">
        <f>_xlfn.XLOOKUP(Christus_Emp_Table[[#This Row],[Analyst Name:]],Table1[Analyst Name],Table1[Lead])</f>
        <v>0</v>
      </c>
    </row>
    <row r="110" spans="1:12" x14ac:dyDescent="0.35">
      <c r="A110" s="21" t="s">
        <v>51</v>
      </c>
      <c r="B110" s="22" t="str">
        <f>_xlfn.XLOOKUP(Christus_Emp_Table[[#This Row],[Analyst Name:]],Table1[Analyst Name],Table1[Deloitte Email ID])</f>
        <v>ankitaroy2@deloitte.com</v>
      </c>
      <c r="C110" s="22" t="str">
        <f>_xlfn.XLOOKUP(Christus_Emp_Table[[#This Row],[Analyst Name:]],Table1[Analyst Name],Table1[Module])</f>
        <v>EC/DC</v>
      </c>
      <c r="D110" s="22" t="str">
        <f>_xlfn.XLOOKUP(Christus_Emp_Table[[#This Row],[Analyst Name:]],Table1[Analyst Name],Table1[Location])</f>
        <v>BLR</v>
      </c>
      <c r="E110" s="19" t="s">
        <v>112</v>
      </c>
      <c r="F110" s="17">
        <v>45789</v>
      </c>
      <c r="G110" s="17">
        <v>45789</v>
      </c>
      <c r="H110" s="22" t="s">
        <v>129</v>
      </c>
      <c r="I110" s="22" t="s">
        <v>128</v>
      </c>
      <c r="J110" s="22">
        <f>NETWORKDAYS(Christus_Emp_Table[[#This Row],[From Date:]],Christus_Emp_Table[[#This Row],[To Date:]])</f>
        <v>1</v>
      </c>
      <c r="L110" s="22">
        <f>_xlfn.XLOOKUP(Christus_Emp_Table[[#This Row],[Analyst Name:]],Table1[Analyst Name],Table1[Lead])</f>
        <v>0</v>
      </c>
    </row>
    <row r="111" spans="1:12" x14ac:dyDescent="0.35">
      <c r="A111" s="21" t="s">
        <v>51</v>
      </c>
      <c r="B111" s="22" t="str">
        <f>_xlfn.XLOOKUP(Christus_Emp_Table[[#This Row],[Analyst Name:]],Table1[Analyst Name],Table1[Deloitte Email ID])</f>
        <v>ankitaroy2@deloitte.com</v>
      </c>
      <c r="C111" s="22" t="str">
        <f>_xlfn.XLOOKUP(Christus_Emp_Table[[#This Row],[Analyst Name:]],Table1[Analyst Name],Table1[Module])</f>
        <v>EC/DC</v>
      </c>
      <c r="D111" s="22" t="str">
        <f>_xlfn.XLOOKUP(Christus_Emp_Table[[#This Row],[Analyst Name:]],Table1[Analyst Name],Table1[Location])</f>
        <v>BLR</v>
      </c>
      <c r="E111" s="19" t="s">
        <v>112</v>
      </c>
      <c r="F111" s="17">
        <v>45806</v>
      </c>
      <c r="G111" s="17">
        <v>45806</v>
      </c>
      <c r="H111" s="22" t="s">
        <v>129</v>
      </c>
      <c r="I111" s="22" t="s">
        <v>128</v>
      </c>
      <c r="J111" s="22">
        <f>NETWORKDAYS(Christus_Emp_Table[[#This Row],[From Date:]],Christus_Emp_Table[[#This Row],[To Date:]])</f>
        <v>1</v>
      </c>
      <c r="L111" s="22">
        <f>_xlfn.XLOOKUP(Christus_Emp_Table[[#This Row],[Analyst Name:]],Table1[Analyst Name],Table1[Lead])</f>
        <v>0</v>
      </c>
    </row>
    <row r="112" spans="1:12" x14ac:dyDescent="0.35">
      <c r="A112" s="21" t="s">
        <v>72</v>
      </c>
      <c r="B112" s="22" t="str">
        <f>_xlfn.XLOOKUP(Christus_Emp_Table[[#This Row],[Analyst Name:]],Table1[Analyst Name],Table1[Deloitte Email ID])</f>
        <v>susujitha@deloitte.com</v>
      </c>
      <c r="C112" s="22" t="str">
        <f>_xlfn.XLOOKUP(Christus_Emp_Table[[#This Row],[Analyst Name:]],Table1[Analyst Name],Table1[Module])</f>
        <v>QA</v>
      </c>
      <c r="D112" s="22" t="str">
        <f>_xlfn.XLOOKUP(Christus_Emp_Table[[#This Row],[Analyst Name:]],Table1[Analyst Name],Table1[Location])</f>
        <v>HYD</v>
      </c>
      <c r="E112" s="22" t="s">
        <v>127</v>
      </c>
      <c r="F112" s="17">
        <v>45779</v>
      </c>
      <c r="G112" s="17">
        <v>45779</v>
      </c>
      <c r="H112" s="22" t="s">
        <v>127</v>
      </c>
      <c r="I112" s="22" t="s">
        <v>128</v>
      </c>
      <c r="J112" s="22">
        <f>NETWORKDAYS(Christus_Emp_Table[[#This Row],[From Date:]],Christus_Emp_Table[[#This Row],[To Date:]])</f>
        <v>1</v>
      </c>
      <c r="L112" s="22" t="str">
        <f>_xlfn.XLOOKUP(Christus_Emp_Table[[#This Row],[Analyst Name:]],Table1[Analyst Name],Table1[Lead])</f>
        <v>Ankita Roy</v>
      </c>
    </row>
    <row r="113" spans="1:12" x14ac:dyDescent="0.35">
      <c r="A113" s="21" t="s">
        <v>25</v>
      </c>
      <c r="B113" s="22" t="str">
        <f>_xlfn.XLOOKUP(Christus_Emp_Table[[#This Row],[Analyst Name:]],Table1[Analyst Name],Table1[Deloitte Email ID])</f>
        <v>apriyankapravalli@deloitte.com</v>
      </c>
      <c r="C113" s="22" t="str">
        <f>_xlfn.XLOOKUP(Christus_Emp_Table[[#This Row],[Analyst Name:]],Table1[Analyst Name],Table1[Module])</f>
        <v>Reporting</v>
      </c>
      <c r="D113" s="22" t="str">
        <f>_xlfn.XLOOKUP(Christus_Emp_Table[[#This Row],[Analyst Name:]],Table1[Analyst Name],Table1[Location])</f>
        <v>HYD</v>
      </c>
      <c r="E113" s="22" t="s">
        <v>127</v>
      </c>
      <c r="F113" s="17">
        <v>45779</v>
      </c>
      <c r="G113" s="17">
        <v>45779</v>
      </c>
      <c r="H113" s="22" t="s">
        <v>127</v>
      </c>
      <c r="I113" s="22" t="s">
        <v>128</v>
      </c>
      <c r="J113" s="22">
        <f>NETWORKDAYS(Christus_Emp_Table[[#This Row],[From Date:]],Christus_Emp_Table[[#This Row],[To Date:]])</f>
        <v>1</v>
      </c>
      <c r="L113" s="22">
        <f>_xlfn.XLOOKUP(Christus_Emp_Table[[#This Row],[Analyst Name:]],Table1[Analyst Name],Table1[Lead])</f>
        <v>0</v>
      </c>
    </row>
    <row r="114" spans="1:12" x14ac:dyDescent="0.35">
      <c r="A114" s="21" t="s">
        <v>25</v>
      </c>
      <c r="B114" s="22" t="str">
        <f>_xlfn.XLOOKUP(Christus_Emp_Table[[#This Row],[Analyst Name:]],Table1[Analyst Name],Table1[Deloitte Email ID])</f>
        <v>apriyankapravalli@deloitte.com</v>
      </c>
      <c r="C114" s="22" t="str">
        <f>_xlfn.XLOOKUP(Christus_Emp_Table[[#This Row],[Analyst Name:]],Table1[Analyst Name],Table1[Module])</f>
        <v>Reporting</v>
      </c>
      <c r="D114" s="22" t="str">
        <f>_xlfn.XLOOKUP(Christus_Emp_Table[[#This Row],[Analyst Name:]],Table1[Analyst Name],Table1[Location])</f>
        <v>HYD</v>
      </c>
      <c r="E114" s="22" t="s">
        <v>127</v>
      </c>
      <c r="F114" s="17">
        <v>45798</v>
      </c>
      <c r="G114" s="17">
        <v>45800</v>
      </c>
      <c r="H114" s="22" t="s">
        <v>127</v>
      </c>
      <c r="I114" s="22" t="s">
        <v>128</v>
      </c>
      <c r="J114" s="22">
        <f>NETWORKDAYS(Christus_Emp_Table[[#This Row],[From Date:]],Christus_Emp_Table[[#This Row],[To Date:]])</f>
        <v>3</v>
      </c>
      <c r="L114" s="22">
        <f>_xlfn.XLOOKUP(Christus_Emp_Table[[#This Row],[Analyst Name:]],Table1[Analyst Name],Table1[Lead])</f>
        <v>0</v>
      </c>
    </row>
    <row r="115" spans="1:12" x14ac:dyDescent="0.35">
      <c r="A115" s="21" t="s">
        <v>25</v>
      </c>
      <c r="B115" s="22" t="str">
        <f>_xlfn.XLOOKUP(Christus_Emp_Table[[#This Row],[Analyst Name:]],Table1[Analyst Name],Table1[Deloitte Email ID])</f>
        <v>apriyankapravalli@deloitte.com</v>
      </c>
      <c r="C115" s="22" t="str">
        <f>_xlfn.XLOOKUP(Christus_Emp_Table[[#This Row],[Analyst Name:]],Table1[Analyst Name],Table1[Module])</f>
        <v>Reporting</v>
      </c>
      <c r="D115" s="22" t="str">
        <f>_xlfn.XLOOKUP(Christus_Emp_Table[[#This Row],[Analyst Name:]],Table1[Analyst Name],Table1[Location])</f>
        <v>HYD</v>
      </c>
      <c r="E115" s="19" t="s">
        <v>112</v>
      </c>
      <c r="F115" s="17">
        <v>45803</v>
      </c>
      <c r="G115" s="17">
        <v>45803</v>
      </c>
      <c r="H115" s="22" t="s">
        <v>129</v>
      </c>
      <c r="I115" s="22" t="s">
        <v>128</v>
      </c>
      <c r="J115" s="22">
        <f>NETWORKDAYS(Christus_Emp_Table[[#This Row],[From Date:]],Christus_Emp_Table[[#This Row],[To Date:]])</f>
        <v>1</v>
      </c>
      <c r="L115" s="22">
        <f>_xlfn.XLOOKUP(Christus_Emp_Table[[#This Row],[Analyst Name:]],Table1[Analyst Name],Table1[Lead])</f>
        <v>0</v>
      </c>
    </row>
    <row r="116" spans="1:12" x14ac:dyDescent="0.35">
      <c r="A116" s="21" t="s">
        <v>70</v>
      </c>
      <c r="B116" s="22" t="str">
        <f>_xlfn.XLOOKUP(Christus_Emp_Table[[#This Row],[Analyst Name:]],Table1[Analyst Name],Table1[Deloitte Email ID])</f>
        <v>amisshaw@deloitte.com</v>
      </c>
      <c r="C116" s="22" t="str">
        <f>_xlfn.XLOOKUP(Christus_Emp_Table[[#This Row],[Analyst Name:]],Table1[Analyst Name],Table1[Module])</f>
        <v>Automation</v>
      </c>
      <c r="D116" s="22" t="str">
        <f>_xlfn.XLOOKUP(Christus_Emp_Table[[#This Row],[Analyst Name:]],Table1[Analyst Name],Table1[Location])</f>
        <v>MUM</v>
      </c>
      <c r="E116" s="22" t="s">
        <v>127</v>
      </c>
      <c r="F116" s="17">
        <v>45779</v>
      </c>
      <c r="G116" s="17">
        <v>45783</v>
      </c>
      <c r="H116" s="22" t="s">
        <v>127</v>
      </c>
      <c r="I116" s="22" t="s">
        <v>128</v>
      </c>
      <c r="J116" s="22">
        <f>NETWORKDAYS(Christus_Emp_Table[[#This Row],[From Date:]],Christus_Emp_Table[[#This Row],[To Date:]])</f>
        <v>3</v>
      </c>
      <c r="L116" s="22" t="str">
        <f>_xlfn.XLOOKUP(Christus_Emp_Table[[#This Row],[Analyst Name:]],Table1[Analyst Name],Table1[Lead])</f>
        <v>Nitish Kumar</v>
      </c>
    </row>
    <row r="117" spans="1:12" x14ac:dyDescent="0.35">
      <c r="A117" s="21" t="s">
        <v>61</v>
      </c>
      <c r="B117" s="22" t="str">
        <f>_xlfn.XLOOKUP(Christus_Emp_Table[[#This Row],[Analyst Name:]],Table1[Analyst Name],Table1[Deloitte Email ID])</f>
        <v>pbraj@deloitte.com</v>
      </c>
      <c r="C117" s="22" t="str">
        <f>_xlfn.XLOOKUP(Christus_Emp_Table[[#This Row],[Analyst Name:]],Table1[Analyst Name],Table1[Module])</f>
        <v>Automation</v>
      </c>
      <c r="D117" s="22" t="str">
        <f>_xlfn.XLOOKUP(Christus_Emp_Table[[#This Row],[Analyst Name:]],Table1[Analyst Name],Table1[Location])</f>
        <v>BLR</v>
      </c>
      <c r="E117" s="22" t="s">
        <v>127</v>
      </c>
      <c r="F117" s="17">
        <v>45779</v>
      </c>
      <c r="G117" s="17">
        <v>45782</v>
      </c>
      <c r="H117" s="22" t="s">
        <v>127</v>
      </c>
      <c r="I117" s="22" t="s">
        <v>128</v>
      </c>
      <c r="J117" s="22">
        <f>NETWORKDAYS(Christus_Emp_Table[[#This Row],[From Date:]],Christus_Emp_Table[[#This Row],[To Date:]])</f>
        <v>2</v>
      </c>
      <c r="L117" s="22" t="str">
        <f>_xlfn.XLOOKUP(Christus_Emp_Table[[#This Row],[Analyst Name:]],Table1[Analyst Name],Table1[Lead])</f>
        <v>Nitish Kumar</v>
      </c>
    </row>
    <row r="118" spans="1:12" x14ac:dyDescent="0.35">
      <c r="A118" s="21" t="s">
        <v>61</v>
      </c>
      <c r="B118" s="22" t="str">
        <f>_xlfn.XLOOKUP(Christus_Emp_Table[[#This Row],[Analyst Name:]],Table1[Analyst Name],Table1[Deloitte Email ID])</f>
        <v>pbraj@deloitte.com</v>
      </c>
      <c r="C118" s="22" t="str">
        <f>_xlfn.XLOOKUP(Christus_Emp_Table[[#This Row],[Analyst Name:]],Table1[Analyst Name],Table1[Module])</f>
        <v>Automation</v>
      </c>
      <c r="D118" s="22" t="str">
        <f>_xlfn.XLOOKUP(Christus_Emp_Table[[#This Row],[Analyst Name:]],Table1[Analyst Name],Table1[Location])</f>
        <v>BLR</v>
      </c>
      <c r="E118" s="19" t="s">
        <v>112</v>
      </c>
      <c r="F118" s="17">
        <v>45806</v>
      </c>
      <c r="G118" s="17">
        <v>45806</v>
      </c>
      <c r="H118" s="22" t="s">
        <v>129</v>
      </c>
      <c r="I118" s="22" t="s">
        <v>128</v>
      </c>
      <c r="J118" s="22">
        <f>NETWORKDAYS(Christus_Emp_Table[[#This Row],[From Date:]],Christus_Emp_Table[[#This Row],[To Date:]])</f>
        <v>1</v>
      </c>
      <c r="L118" s="22" t="str">
        <f>_xlfn.XLOOKUP(Christus_Emp_Table[[#This Row],[Analyst Name:]],Table1[Analyst Name],Table1[Lead])</f>
        <v>Nitish Kumar</v>
      </c>
    </row>
    <row r="119" spans="1:12" x14ac:dyDescent="0.35">
      <c r="A119" s="21" t="s">
        <v>64</v>
      </c>
      <c r="B119" s="22" t="str">
        <f>_xlfn.XLOOKUP(Christus_Emp_Table[[#This Row],[Analyst Name:]],Table1[Analyst Name],Table1[Deloitte Email ID])</f>
        <v>tgupta10@deloitte.com</v>
      </c>
      <c r="C119" s="22" t="str">
        <f>_xlfn.XLOOKUP(Christus_Emp_Table[[#This Row],[Analyst Name:]],Table1[Analyst Name],Table1[Module])</f>
        <v>Automation</v>
      </c>
      <c r="D119" s="22" t="str">
        <f>_xlfn.XLOOKUP(Christus_Emp_Table[[#This Row],[Analyst Name:]],Table1[Analyst Name],Table1[Location])</f>
        <v>HYD</v>
      </c>
      <c r="E119" s="22" t="s">
        <v>127</v>
      </c>
      <c r="F119" s="17">
        <v>45789</v>
      </c>
      <c r="G119" s="17">
        <v>45793</v>
      </c>
      <c r="H119" s="22" t="s">
        <v>127</v>
      </c>
      <c r="I119" s="22" t="s">
        <v>128</v>
      </c>
      <c r="J119" s="22">
        <f>NETWORKDAYS(Christus_Emp_Table[[#This Row],[From Date:]],Christus_Emp_Table[[#This Row],[To Date:]])</f>
        <v>5</v>
      </c>
      <c r="L119" s="22" t="str">
        <f>_xlfn.XLOOKUP(Christus_Emp_Table[[#This Row],[Analyst Name:]],Table1[Analyst Name],Table1[Lead])</f>
        <v>Parth Zalavadia</v>
      </c>
    </row>
    <row r="120" spans="1:12" x14ac:dyDescent="0.35">
      <c r="A120" s="21" t="s">
        <v>45</v>
      </c>
      <c r="B120" s="22" t="str">
        <f>_xlfn.XLOOKUP(Christus_Emp_Table[[#This Row],[Analyst Name:]],Table1[Analyst Name],Table1[Deloitte Email ID])</f>
        <v>divmaheshwari@deloitte.com</v>
      </c>
      <c r="C120" s="22" t="str">
        <f>_xlfn.XLOOKUP(Christus_Emp_Table[[#This Row],[Analyst Name:]],Table1[Analyst Name],Table1[Module])</f>
        <v>MyChart</v>
      </c>
      <c r="D120" s="22" t="str">
        <f>_xlfn.XLOOKUP(Christus_Emp_Table[[#This Row],[Analyst Name:]],Table1[Analyst Name],Table1[Location])</f>
        <v>GUR</v>
      </c>
      <c r="E120" s="19" t="s">
        <v>112</v>
      </c>
      <c r="F120" s="17">
        <v>45782</v>
      </c>
      <c r="G120" s="17">
        <v>45782</v>
      </c>
      <c r="H120" s="22" t="s">
        <v>129</v>
      </c>
      <c r="I120" s="22" t="s">
        <v>128</v>
      </c>
      <c r="J120" s="22">
        <f>NETWORKDAYS(Christus_Emp_Table[[#This Row],[From Date:]],Christus_Emp_Table[[#This Row],[To Date:]])</f>
        <v>1</v>
      </c>
      <c r="L120" s="22" t="str">
        <f>_xlfn.XLOOKUP(Christus_Emp_Table[[#This Row],[Analyst Name:]],Table1[Analyst Name],Table1[Lead])</f>
        <v>Nitish Kumar</v>
      </c>
    </row>
    <row r="121" spans="1:12" x14ac:dyDescent="0.35">
      <c r="A121" s="21" t="s">
        <v>45</v>
      </c>
      <c r="B121" s="22" t="str">
        <f>_xlfn.XLOOKUP(Christus_Emp_Table[[#This Row],[Analyst Name:]],Table1[Analyst Name],Table1[Deloitte Email ID])</f>
        <v>divmaheshwari@deloitte.com</v>
      </c>
      <c r="C121" s="22" t="str">
        <f>_xlfn.XLOOKUP(Christus_Emp_Table[[#This Row],[Analyst Name:]],Table1[Analyst Name],Table1[Module])</f>
        <v>MyChart</v>
      </c>
      <c r="D121" s="22" t="str">
        <f>_xlfn.XLOOKUP(Christus_Emp_Table[[#This Row],[Analyst Name:]],Table1[Analyst Name],Table1[Location])</f>
        <v>GUR</v>
      </c>
      <c r="E121" s="22" t="s">
        <v>130</v>
      </c>
      <c r="F121" s="17">
        <v>45804</v>
      </c>
      <c r="G121" s="17">
        <v>45804</v>
      </c>
      <c r="H121" s="22" t="s">
        <v>130</v>
      </c>
      <c r="I121" s="22" t="s">
        <v>128</v>
      </c>
      <c r="J121" s="22">
        <f>NETWORKDAYS(Christus_Emp_Table[[#This Row],[From Date:]],Christus_Emp_Table[[#This Row],[To Date:]])</f>
        <v>1</v>
      </c>
      <c r="L121" s="22" t="str">
        <f>_xlfn.XLOOKUP(Christus_Emp_Table[[#This Row],[Analyst Name:]],Table1[Analyst Name],Table1[Lead])</f>
        <v>Nitish Kumar</v>
      </c>
    </row>
    <row r="122" spans="1:12" x14ac:dyDescent="0.35">
      <c r="A122" s="21" t="s">
        <v>48</v>
      </c>
      <c r="B122" s="22" t="str">
        <f>_xlfn.XLOOKUP(Christus_Emp_Table[[#This Row],[Analyst Name:]],Table1[Analyst Name],Table1[Deloitte Email ID])</f>
        <v>dwaikar@deloitte.com</v>
      </c>
      <c r="C122" s="22" t="str">
        <f>_xlfn.XLOOKUP(Christus_Emp_Table[[#This Row],[Analyst Name:]],Table1[Analyst Name],Table1[Module])</f>
        <v>SER</v>
      </c>
      <c r="D122" s="22" t="str">
        <f>_xlfn.XLOOKUP(Christus_Emp_Table[[#This Row],[Analyst Name:]],Table1[Analyst Name],Table1[Location])</f>
        <v>BLR</v>
      </c>
      <c r="E122" s="22" t="s">
        <v>127</v>
      </c>
      <c r="F122" s="17">
        <v>45779</v>
      </c>
      <c r="G122" s="17">
        <v>45779</v>
      </c>
      <c r="H122" s="22" t="s">
        <v>127</v>
      </c>
      <c r="I122" s="22" t="s">
        <v>128</v>
      </c>
      <c r="J122" s="22">
        <f>NETWORKDAYS(Christus_Emp_Table[[#This Row],[From Date:]],Christus_Emp_Table[[#This Row],[To Date:]])</f>
        <v>1</v>
      </c>
      <c r="L122" s="22" t="str">
        <f>_xlfn.XLOOKUP(Christus_Emp_Table[[#This Row],[Analyst Name:]],Table1[Analyst Name],Table1[Lead])</f>
        <v>Ankita Roy</v>
      </c>
    </row>
    <row r="123" spans="1:12" x14ac:dyDescent="0.35">
      <c r="A123" s="21" t="s">
        <v>38</v>
      </c>
      <c r="B123" s="22" t="str">
        <f>_xlfn.XLOOKUP(Christus_Emp_Table[[#This Row],[Analyst Name:]],Table1[Analyst Name],Table1[Deloitte Email ID])</f>
        <v>hamalpani@deloitte.com</v>
      </c>
      <c r="C123" s="22" t="str">
        <f>_xlfn.XLOOKUP(Christus_Emp_Table[[#This Row],[Analyst Name:]],Table1[Analyst Name],Table1[Module])</f>
        <v>MyChart</v>
      </c>
      <c r="D123" s="22" t="str">
        <f>_xlfn.XLOOKUP(Christus_Emp_Table[[#This Row],[Analyst Name:]],Table1[Analyst Name],Table1[Location])</f>
        <v>HYD</v>
      </c>
      <c r="E123" s="22" t="s">
        <v>127</v>
      </c>
      <c r="F123" s="17">
        <v>45782</v>
      </c>
      <c r="G123" s="17">
        <v>45786</v>
      </c>
      <c r="H123" s="22" t="s">
        <v>127</v>
      </c>
      <c r="I123" s="22" t="s">
        <v>128</v>
      </c>
      <c r="J123" s="22">
        <f>NETWORKDAYS(Christus_Emp_Table[[#This Row],[From Date:]],Christus_Emp_Table[[#This Row],[To Date:]])</f>
        <v>5</v>
      </c>
      <c r="L123" s="22" t="str">
        <f>_xlfn.XLOOKUP(Christus_Emp_Table[[#This Row],[Analyst Name:]],Table1[Analyst Name],Table1[Lead])</f>
        <v>Nitish Kumar</v>
      </c>
    </row>
    <row r="124" spans="1:12" x14ac:dyDescent="0.35">
      <c r="A124" s="21" t="s">
        <v>38</v>
      </c>
      <c r="B124" s="22" t="str">
        <f>_xlfn.XLOOKUP(Christus_Emp_Table[[#This Row],[Analyst Name:]],Table1[Analyst Name],Table1[Deloitte Email ID])</f>
        <v>hamalpani@deloitte.com</v>
      </c>
      <c r="C124" s="22" t="str">
        <f>_xlfn.XLOOKUP(Christus_Emp_Table[[#This Row],[Analyst Name:]],Table1[Analyst Name],Table1[Module])</f>
        <v>MyChart</v>
      </c>
      <c r="D124" s="22" t="str">
        <f>_xlfn.XLOOKUP(Christus_Emp_Table[[#This Row],[Analyst Name:]],Table1[Analyst Name],Table1[Location])</f>
        <v>HYD</v>
      </c>
      <c r="E124" s="22" t="s">
        <v>130</v>
      </c>
      <c r="F124" s="17">
        <v>45806</v>
      </c>
      <c r="G124" s="17">
        <v>45806</v>
      </c>
      <c r="H124" s="22" t="s">
        <v>130</v>
      </c>
      <c r="I124" s="22" t="s">
        <v>128</v>
      </c>
      <c r="J124" s="22">
        <f>NETWORKDAYS(Christus_Emp_Table[[#This Row],[From Date:]],Christus_Emp_Table[[#This Row],[To Date:]])</f>
        <v>1</v>
      </c>
      <c r="L124" s="22" t="str">
        <f>_xlfn.XLOOKUP(Christus_Emp_Table[[#This Row],[Analyst Name:]],Table1[Analyst Name],Table1[Lead])</f>
        <v>Nitish Kumar</v>
      </c>
    </row>
    <row r="125" spans="1:12" x14ac:dyDescent="0.35">
      <c r="A125" s="21" t="s">
        <v>33</v>
      </c>
      <c r="B125" s="22" t="str">
        <f>_xlfn.XLOOKUP(Christus_Emp_Table[[#This Row],[Analyst Name:]],Table1[Analyst Name],Table1[Deloitte Email ID])</f>
        <v>pjagdishzalavadia@deloitte.com</v>
      </c>
      <c r="C125" s="22" t="str">
        <f>_xlfn.XLOOKUP(Christus_Emp_Table[[#This Row],[Analyst Name:]],Table1[Analyst Name],Table1[Module])</f>
        <v>Bridges</v>
      </c>
      <c r="D125" s="22" t="str">
        <f>_xlfn.XLOOKUP(Christus_Emp_Table[[#This Row],[Analyst Name:]],Table1[Analyst Name],Table1[Location])</f>
        <v>BLR</v>
      </c>
      <c r="E125" s="22" t="s">
        <v>127</v>
      </c>
      <c r="F125" s="17">
        <v>45789</v>
      </c>
      <c r="G125" s="17">
        <v>45793</v>
      </c>
      <c r="H125" s="22" t="s">
        <v>127</v>
      </c>
      <c r="I125" s="22" t="s">
        <v>128</v>
      </c>
      <c r="J125" s="22">
        <f>NETWORKDAYS(Christus_Emp_Table[[#This Row],[From Date:]],Christus_Emp_Table[[#This Row],[To Date:]])</f>
        <v>5</v>
      </c>
      <c r="L125" s="22" t="str">
        <f>_xlfn.XLOOKUP(Christus_Emp_Table[[#This Row],[Analyst Name:]],Table1[Analyst Name],Table1[Lead])</f>
        <v>Tanima Debmallik/Nitish Kumar</v>
      </c>
    </row>
    <row r="126" spans="1:12" x14ac:dyDescent="0.35">
      <c r="A126" s="21" t="s">
        <v>33</v>
      </c>
      <c r="B126" s="22" t="str">
        <f>_xlfn.XLOOKUP(Christus_Emp_Table[[#This Row],[Analyst Name:]],Table1[Analyst Name],Table1[Deloitte Email ID])</f>
        <v>pjagdishzalavadia@deloitte.com</v>
      </c>
      <c r="C126" s="22" t="str">
        <f>_xlfn.XLOOKUP(Christus_Emp_Table[[#This Row],[Analyst Name:]],Table1[Analyst Name],Table1[Module])</f>
        <v>Bridges</v>
      </c>
      <c r="D126" s="22" t="str">
        <f>_xlfn.XLOOKUP(Christus_Emp_Table[[#This Row],[Analyst Name:]],Table1[Analyst Name],Table1[Location])</f>
        <v>BLR</v>
      </c>
      <c r="E126" s="22" t="s">
        <v>127</v>
      </c>
      <c r="F126" s="17">
        <v>45803</v>
      </c>
      <c r="G126" s="17">
        <v>45807</v>
      </c>
      <c r="H126" s="22" t="s">
        <v>127</v>
      </c>
      <c r="I126" s="22" t="s">
        <v>128</v>
      </c>
      <c r="J126" s="22">
        <f>NETWORKDAYS(Christus_Emp_Table[[#This Row],[From Date:]],Christus_Emp_Table[[#This Row],[To Date:]])</f>
        <v>5</v>
      </c>
      <c r="L126" s="22" t="str">
        <f>_xlfn.XLOOKUP(Christus_Emp_Table[[#This Row],[Analyst Name:]],Table1[Analyst Name],Table1[Lead])</f>
        <v>Tanima Debmallik/Nitish Kumar</v>
      </c>
    </row>
    <row r="127" spans="1:12" x14ac:dyDescent="0.35">
      <c r="A127" s="21" t="s">
        <v>41</v>
      </c>
      <c r="B127" s="22" t="str">
        <f>_xlfn.XLOOKUP(Christus_Emp_Table[[#This Row],[Analyst Name:]],Table1[Analyst Name],Table1[Deloitte Email ID])</f>
        <v>mpavkumar@deloitte.com</v>
      </c>
      <c r="C127" s="22" t="str">
        <f>_xlfn.XLOOKUP(Christus_Emp_Table[[#This Row],[Analyst Name:]],Table1[Analyst Name],Table1[Module])</f>
        <v>MyChart</v>
      </c>
      <c r="D127" s="22" t="str">
        <f>_xlfn.XLOOKUP(Christus_Emp_Table[[#This Row],[Analyst Name:]],Table1[Analyst Name],Table1[Location])</f>
        <v>HYD</v>
      </c>
      <c r="E127" s="22" t="s">
        <v>127</v>
      </c>
      <c r="F127" s="17">
        <v>45791</v>
      </c>
      <c r="G127" s="17">
        <v>45797</v>
      </c>
      <c r="H127" s="22" t="s">
        <v>127</v>
      </c>
      <c r="I127" s="22" t="s">
        <v>128</v>
      </c>
      <c r="J127" s="22">
        <f>NETWORKDAYS(Christus_Emp_Table[[#This Row],[From Date:]],Christus_Emp_Table[[#This Row],[To Date:]])</f>
        <v>5</v>
      </c>
      <c r="L127" s="22" t="str">
        <f>_xlfn.XLOOKUP(Christus_Emp_Table[[#This Row],[Analyst Name:]],Table1[Analyst Name],Table1[Lead])</f>
        <v>Nitish Kumar</v>
      </c>
    </row>
    <row r="128" spans="1:12" x14ac:dyDescent="0.35">
      <c r="A128" s="21" t="s">
        <v>43</v>
      </c>
      <c r="B128" s="22" t="str">
        <f>_xlfn.XLOOKUP(Christus_Emp_Table[[#This Row],[Analyst Name:]],Table1[Analyst Name],Table1[Deloitte Email ID])</f>
        <v>frai@deloitte.com</v>
      </c>
      <c r="C128" s="22" t="str">
        <f>_xlfn.XLOOKUP(Christus_Emp_Table[[#This Row],[Analyst Name:]],Table1[Analyst Name],Table1[Module])</f>
        <v>MyChart</v>
      </c>
      <c r="D128" s="22" t="str">
        <f>_xlfn.XLOOKUP(Christus_Emp_Table[[#This Row],[Analyst Name:]],Table1[Analyst Name],Table1[Location])</f>
        <v>HYD</v>
      </c>
      <c r="E128" s="22" t="s">
        <v>127</v>
      </c>
      <c r="F128" s="17">
        <v>45779</v>
      </c>
      <c r="G128" s="17">
        <v>45779</v>
      </c>
      <c r="H128" s="22" t="s">
        <v>127</v>
      </c>
      <c r="I128" s="22" t="s">
        <v>128</v>
      </c>
      <c r="J128" s="22">
        <f>NETWORKDAYS(Christus_Emp_Table[[#This Row],[From Date:]],Christus_Emp_Table[[#This Row],[To Date:]])</f>
        <v>1</v>
      </c>
      <c r="L128" s="22" t="str">
        <f>_xlfn.XLOOKUP(Christus_Emp_Table[[#This Row],[Analyst Name:]],Table1[Analyst Name],Table1[Lead])</f>
        <v>Nitish Kumar</v>
      </c>
    </row>
    <row r="129" spans="1:12" x14ac:dyDescent="0.35">
      <c r="A129" s="21" t="s">
        <v>21</v>
      </c>
      <c r="B129" s="22" t="str">
        <f>_xlfn.XLOOKUP(Christus_Emp_Table[[#This Row],[Analyst Name:]],Table1[Analyst Name],Table1[Deloitte Email ID])</f>
        <v>vbalasodongale@deloitte.com</v>
      </c>
      <c r="C129" s="22" t="str">
        <f>_xlfn.XLOOKUP(Christus_Emp_Table[[#This Row],[Analyst Name:]],Table1[Analyst Name],Table1[Module])</f>
        <v>Reporting</v>
      </c>
      <c r="D129" s="22" t="str">
        <f>_xlfn.XLOOKUP(Christus_Emp_Table[[#This Row],[Analyst Name:]],Table1[Analyst Name],Table1[Location])</f>
        <v>HYD</v>
      </c>
      <c r="E129" s="19" t="s">
        <v>112</v>
      </c>
      <c r="F129" s="17">
        <v>45796</v>
      </c>
      <c r="G129" s="17">
        <v>45796</v>
      </c>
      <c r="H129" s="22" t="s">
        <v>129</v>
      </c>
      <c r="I129" s="22" t="s">
        <v>128</v>
      </c>
      <c r="J129" s="22">
        <f>NETWORKDAYS(Christus_Emp_Table[[#This Row],[From Date:]],Christus_Emp_Table[[#This Row],[To Date:]])</f>
        <v>1</v>
      </c>
      <c r="L129" s="22">
        <f>_xlfn.XLOOKUP(Christus_Emp_Table[[#This Row],[Analyst Name:]],Table1[Analyst Name],Table1[Lead])</f>
        <v>0</v>
      </c>
    </row>
    <row r="130" spans="1:12" x14ac:dyDescent="0.35">
      <c r="A130" s="21" t="s">
        <v>15</v>
      </c>
      <c r="B130" s="22" t="str">
        <f>_xlfn.XLOOKUP(Christus_Emp_Table[[#This Row],[Analyst Name:]],Table1[Analyst Name],Table1[Deloitte Email ID])</f>
        <v>jbelel@deloitte.com</v>
      </c>
      <c r="C130" s="22" t="str">
        <f>_xlfn.XLOOKUP(Christus_Emp_Table[[#This Row],[Analyst Name:]],Table1[Analyst Name],Table1[Module])</f>
        <v>Reporting</v>
      </c>
      <c r="D130" s="22" t="str">
        <f>_xlfn.XLOOKUP(Christus_Emp_Table[[#This Row],[Analyst Name:]],Table1[Analyst Name],Table1[Location])</f>
        <v>MUM</v>
      </c>
      <c r="E130" s="19" t="s">
        <v>112</v>
      </c>
      <c r="F130" s="17">
        <v>45784</v>
      </c>
      <c r="G130" s="17">
        <v>45784</v>
      </c>
      <c r="H130" s="22" t="s">
        <v>129</v>
      </c>
      <c r="I130" s="22" t="s">
        <v>128</v>
      </c>
      <c r="J130" s="22">
        <f>NETWORKDAYS(Christus_Emp_Table[[#This Row],[From Date:]],Christus_Emp_Table[[#This Row],[To Date:]])</f>
        <v>1</v>
      </c>
      <c r="L130" s="22" t="str">
        <f>_xlfn.XLOOKUP(Christus_Emp_Table[[#This Row],[Analyst Name:]],Table1[Analyst Name],Table1[Lead])</f>
        <v>Tanima Debmallik/Nitish Kumar</v>
      </c>
    </row>
    <row r="131" spans="1:12" x14ac:dyDescent="0.35">
      <c r="A131" s="21" t="s">
        <v>11</v>
      </c>
      <c r="B131" s="22" t="str">
        <f>_xlfn.XLOOKUP(Christus_Emp_Table[[#This Row],[Analyst Name:]],Table1[Analyst Name],Table1[Deloitte Email ID])</f>
        <v>bharkumari@deloitte.com</v>
      </c>
      <c r="C131" s="22" t="str">
        <f>_xlfn.XLOOKUP(Christus_Emp_Table[[#This Row],[Analyst Name:]],Table1[Analyst Name],Table1[Module])</f>
        <v>Reporting</v>
      </c>
      <c r="D131" s="22" t="str">
        <f>_xlfn.XLOOKUP(Christus_Emp_Table[[#This Row],[Analyst Name:]],Table1[Analyst Name],Table1[Location])</f>
        <v>BLR</v>
      </c>
      <c r="E131" s="19" t="s">
        <v>112</v>
      </c>
      <c r="F131" s="17">
        <v>45779</v>
      </c>
      <c r="G131" s="17">
        <v>45779</v>
      </c>
      <c r="H131" s="22" t="s">
        <v>129</v>
      </c>
      <c r="I131" s="22" t="s">
        <v>128</v>
      </c>
      <c r="J131" s="22">
        <f>NETWORKDAYS(Christus_Emp_Table[[#This Row],[From Date:]],Christus_Emp_Table[[#This Row],[To Date:]])</f>
        <v>1</v>
      </c>
      <c r="L131" s="22" t="str">
        <f>_xlfn.XLOOKUP(Christus_Emp_Table[[#This Row],[Analyst Name:]],Table1[Analyst Name],Table1[Lead])</f>
        <v>Nitish Kumar</v>
      </c>
    </row>
    <row r="132" spans="1:12" x14ac:dyDescent="0.35">
      <c r="A132" s="21" t="s">
        <v>11</v>
      </c>
      <c r="B132" s="22" t="str">
        <f>_xlfn.XLOOKUP(Christus_Emp_Table[[#This Row],[Analyst Name:]],Table1[Analyst Name],Table1[Deloitte Email ID])</f>
        <v>bharkumari@deloitte.com</v>
      </c>
      <c r="C132" s="22" t="str">
        <f>_xlfn.XLOOKUP(Christus_Emp_Table[[#This Row],[Analyst Name:]],Table1[Analyst Name],Table1[Module])</f>
        <v>Reporting</v>
      </c>
      <c r="D132" s="22" t="str">
        <f>_xlfn.XLOOKUP(Christus_Emp_Table[[#This Row],[Analyst Name:]],Table1[Analyst Name],Table1[Location])</f>
        <v>BLR</v>
      </c>
      <c r="E132" s="19" t="s">
        <v>112</v>
      </c>
      <c r="F132" s="17">
        <v>45790</v>
      </c>
      <c r="G132" s="17">
        <v>45790</v>
      </c>
      <c r="H132" s="22" t="s">
        <v>129</v>
      </c>
      <c r="I132" s="22" t="s">
        <v>128</v>
      </c>
      <c r="J132" s="22">
        <f>NETWORKDAYS(Christus_Emp_Table[[#This Row],[From Date:]],Christus_Emp_Table[[#This Row],[To Date:]])</f>
        <v>1</v>
      </c>
      <c r="L132" s="22" t="str">
        <f>_xlfn.XLOOKUP(Christus_Emp_Table[[#This Row],[Analyst Name:]],Table1[Analyst Name],Table1[Lead])</f>
        <v>Nitish Kumar</v>
      </c>
    </row>
    <row r="133" spans="1:12" x14ac:dyDescent="0.35">
      <c r="A133" s="21" t="s">
        <v>6</v>
      </c>
      <c r="B133" s="22" t="str">
        <f>_xlfn.XLOOKUP(Christus_Emp_Table[[#This Row],[Analyst Name:]],Table1[Analyst Name],Table1[Deloitte Email ID])</f>
        <v>nitishkumar44@deloitte.com</v>
      </c>
      <c r="C133" s="22" t="str">
        <f>_xlfn.XLOOKUP(Christus_Emp_Table[[#This Row],[Analyst Name:]],Table1[Analyst Name],Table1[Module])</f>
        <v>Reporting</v>
      </c>
      <c r="D133" s="22" t="str">
        <f>_xlfn.XLOOKUP(Christus_Emp_Table[[#This Row],[Analyst Name:]],Table1[Analyst Name],Table1[Location])</f>
        <v>BLR</v>
      </c>
      <c r="E133" s="22" t="s">
        <v>127</v>
      </c>
      <c r="F133" s="17">
        <v>45792</v>
      </c>
      <c r="G133" s="17">
        <v>45793</v>
      </c>
      <c r="H133" s="22" t="s">
        <v>127</v>
      </c>
      <c r="I133" s="22" t="s">
        <v>128</v>
      </c>
      <c r="J133" s="22">
        <f>NETWORKDAYS(Christus_Emp_Table[[#This Row],[From Date:]],Christus_Emp_Table[[#This Row],[To Date:]])</f>
        <v>2</v>
      </c>
      <c r="L133" s="22">
        <f>_xlfn.XLOOKUP(Christus_Emp_Table[[#This Row],[Analyst Name:]],Table1[Analyst Name],Table1[Lead])</f>
        <v>0</v>
      </c>
    </row>
    <row r="134" spans="1:12" x14ac:dyDescent="0.35">
      <c r="A134" s="21" t="s">
        <v>6</v>
      </c>
      <c r="B134" s="22" t="str">
        <f>_xlfn.XLOOKUP(Christus_Emp_Table[[#This Row],[Analyst Name:]],Table1[Analyst Name],Table1[Deloitte Email ID])</f>
        <v>nitishkumar44@deloitte.com</v>
      </c>
      <c r="C134" s="22" t="str">
        <f>_xlfn.XLOOKUP(Christus_Emp_Table[[#This Row],[Analyst Name:]],Table1[Analyst Name],Table1[Module])</f>
        <v>Reporting</v>
      </c>
      <c r="D134" s="22" t="str">
        <f>_xlfn.XLOOKUP(Christus_Emp_Table[[#This Row],[Analyst Name:]],Table1[Analyst Name],Table1[Location])</f>
        <v>BLR</v>
      </c>
      <c r="E134" s="19" t="s">
        <v>112</v>
      </c>
      <c r="F134" s="17">
        <v>45803</v>
      </c>
      <c r="G134" s="17">
        <v>45803</v>
      </c>
      <c r="H134" s="22" t="s">
        <v>129</v>
      </c>
      <c r="I134" s="22" t="s">
        <v>128</v>
      </c>
      <c r="J134" s="22">
        <f>NETWORKDAYS(Christus_Emp_Table[[#This Row],[From Date:]],Christus_Emp_Table[[#This Row],[To Date:]])</f>
        <v>1</v>
      </c>
      <c r="L134" s="22">
        <f>_xlfn.XLOOKUP(Christus_Emp_Table[[#This Row],[Analyst Name:]],Table1[Analyst Name],Table1[Lead])</f>
        <v>0</v>
      </c>
    </row>
    <row r="135" spans="1:12" x14ac:dyDescent="0.35">
      <c r="A135" s="21" t="s">
        <v>16</v>
      </c>
      <c r="B135" s="22" t="str">
        <f>_xlfn.XLOOKUP(Christus_Emp_Table[[#This Row],[Analyst Name:]],Table1[Analyst Name],Table1[Deloitte Email ID])</f>
        <v>abalagopalan@deloitte.com</v>
      </c>
      <c r="C135" s="22" t="str">
        <f>_xlfn.XLOOKUP(Christus_Emp_Table[[#This Row],[Analyst Name:]],Table1[Analyst Name],Table1[Module])</f>
        <v>Reporting</v>
      </c>
      <c r="D135" s="22" t="str">
        <f>_xlfn.XLOOKUP(Christus_Emp_Table[[#This Row],[Analyst Name:]],Table1[Analyst Name],Table1[Location])</f>
        <v>BLR</v>
      </c>
      <c r="E135" s="19" t="s">
        <v>112</v>
      </c>
      <c r="F135" s="17">
        <v>45828</v>
      </c>
      <c r="G135" s="17">
        <v>45828</v>
      </c>
      <c r="H135" s="22" t="s">
        <v>129</v>
      </c>
      <c r="I135" s="22" t="s">
        <v>128</v>
      </c>
      <c r="J135" s="22">
        <f>NETWORKDAYS(Christus_Emp_Table[[#This Row],[From Date:]],Christus_Emp_Table[[#This Row],[To Date:]])</f>
        <v>1</v>
      </c>
      <c r="L135" s="22" t="str">
        <f>_xlfn.XLOOKUP(Christus_Emp_Table[[#This Row],[Analyst Name:]],Table1[Analyst Name],Table1[Lead])</f>
        <v>Jagannath Belel</v>
      </c>
    </row>
    <row r="136" spans="1:12" x14ac:dyDescent="0.35">
      <c r="A136" s="21" t="s">
        <v>16</v>
      </c>
      <c r="B136" s="22" t="str">
        <f>_xlfn.XLOOKUP(Christus_Emp_Table[[#This Row],[Analyst Name:]],Table1[Analyst Name],Table1[Deloitte Email ID])</f>
        <v>abalagopalan@deloitte.com</v>
      </c>
      <c r="C136" s="22" t="str">
        <f>_xlfn.XLOOKUP(Christus_Emp_Table[[#This Row],[Analyst Name:]],Table1[Analyst Name],Table1[Module])</f>
        <v>Reporting</v>
      </c>
      <c r="D136" s="22" t="str">
        <f>_xlfn.XLOOKUP(Christus_Emp_Table[[#This Row],[Analyst Name:]],Table1[Analyst Name],Table1[Location])</f>
        <v>BLR</v>
      </c>
      <c r="E136" s="22" t="s">
        <v>127</v>
      </c>
      <c r="F136" s="17">
        <v>45838</v>
      </c>
      <c r="G136" s="17">
        <v>45838</v>
      </c>
      <c r="H136" s="22" t="s">
        <v>127</v>
      </c>
      <c r="I136" s="22" t="s">
        <v>128</v>
      </c>
      <c r="J136" s="22">
        <f>NETWORKDAYS(Christus_Emp_Table[[#This Row],[From Date:]],Christus_Emp_Table[[#This Row],[To Date:]])</f>
        <v>1</v>
      </c>
      <c r="L136" s="22" t="str">
        <f>_xlfn.XLOOKUP(Christus_Emp_Table[[#This Row],[Analyst Name:]],Table1[Analyst Name],Table1[Lead])</f>
        <v>Jagannath Belel</v>
      </c>
    </row>
    <row r="137" spans="1:12" x14ac:dyDescent="0.35">
      <c r="A137" s="21" t="s">
        <v>13</v>
      </c>
      <c r="B137" s="22" t="str">
        <f>_xlfn.XLOOKUP(Christus_Emp_Table[[#This Row],[Analyst Name:]],Table1[Analyst Name],Table1[Deloitte Email ID])</f>
        <v>srug@deloitte.com</v>
      </c>
      <c r="C137" s="22" t="str">
        <f>_xlfn.XLOOKUP(Christus_Emp_Table[[#This Row],[Analyst Name:]],Table1[Analyst Name],Table1[Module])</f>
        <v>Reporting</v>
      </c>
      <c r="D137" s="22" t="str">
        <f>_xlfn.XLOOKUP(Christus_Emp_Table[[#This Row],[Analyst Name:]],Table1[Analyst Name],Table1[Location])</f>
        <v>BLR</v>
      </c>
      <c r="E137" s="22" t="s">
        <v>127</v>
      </c>
      <c r="F137" s="17">
        <v>45810</v>
      </c>
      <c r="G137" s="17">
        <v>45812</v>
      </c>
      <c r="H137" s="22" t="s">
        <v>127</v>
      </c>
      <c r="I137" s="22" t="s">
        <v>128</v>
      </c>
      <c r="J137" s="22">
        <f>NETWORKDAYS(Christus_Emp_Table[[#This Row],[From Date:]],Christus_Emp_Table[[#This Row],[To Date:]])</f>
        <v>3</v>
      </c>
      <c r="L137" s="22" t="str">
        <f>_xlfn.XLOOKUP(Christus_Emp_Table[[#This Row],[Analyst Name:]],Table1[Analyst Name],Table1[Lead])</f>
        <v>Jagannath Belel</v>
      </c>
    </row>
    <row r="138" spans="1:12" x14ac:dyDescent="0.35">
      <c r="A138" s="21" t="s">
        <v>13</v>
      </c>
      <c r="B138" s="22" t="str">
        <f>_xlfn.XLOOKUP(Christus_Emp_Table[[#This Row],[Analyst Name:]],Table1[Analyst Name],Table1[Deloitte Email ID])</f>
        <v>srug@deloitte.com</v>
      </c>
      <c r="C138" s="22" t="str">
        <f>_xlfn.XLOOKUP(Christus_Emp_Table[[#This Row],[Analyst Name:]],Table1[Analyst Name],Table1[Module])</f>
        <v>Reporting</v>
      </c>
      <c r="D138" s="22" t="str">
        <f>_xlfn.XLOOKUP(Christus_Emp_Table[[#This Row],[Analyst Name:]],Table1[Analyst Name],Table1[Location])</f>
        <v>BLR</v>
      </c>
      <c r="E138" s="22" t="s">
        <v>127</v>
      </c>
      <c r="F138" s="17">
        <v>45827</v>
      </c>
      <c r="G138" s="17">
        <v>45828</v>
      </c>
      <c r="H138" s="22" t="s">
        <v>127</v>
      </c>
      <c r="I138" s="22" t="s">
        <v>128</v>
      </c>
      <c r="J138" s="22">
        <f>NETWORKDAYS(Christus_Emp_Table[[#This Row],[From Date:]],Christus_Emp_Table[[#This Row],[To Date:]])</f>
        <v>2</v>
      </c>
      <c r="L138" s="22" t="str">
        <f>_xlfn.XLOOKUP(Christus_Emp_Table[[#This Row],[Analyst Name:]],Table1[Analyst Name],Table1[Lead])</f>
        <v>Jagannath Belel</v>
      </c>
    </row>
    <row r="139" spans="1:12" x14ac:dyDescent="0.35">
      <c r="A139" s="21" t="s">
        <v>66</v>
      </c>
      <c r="B139" s="22" t="str">
        <f>_xlfn.XLOOKUP(Christus_Emp_Table[[#This Row],[Analyst Name:]],Table1[Analyst Name],Table1[Deloitte Email ID])</f>
        <v>akshayakumar@deloitte.com</v>
      </c>
      <c r="C139" s="22" t="str">
        <f>_xlfn.XLOOKUP(Christus_Emp_Table[[#This Row],[Analyst Name:]],Table1[Analyst Name],Table1[Module])</f>
        <v>Automation</v>
      </c>
      <c r="D139" s="22" t="str">
        <f>_xlfn.XLOOKUP(Christus_Emp_Table[[#This Row],[Analyst Name:]],Table1[Analyst Name],Table1[Location])</f>
        <v>BLR</v>
      </c>
      <c r="E139" s="19" t="s">
        <v>112</v>
      </c>
      <c r="F139" s="17">
        <v>45825</v>
      </c>
      <c r="G139" s="17">
        <v>45825</v>
      </c>
      <c r="H139" s="22" t="s">
        <v>129</v>
      </c>
      <c r="I139" s="22" t="s">
        <v>128</v>
      </c>
      <c r="J139" s="22">
        <f>NETWORKDAYS(Christus_Emp_Table[[#This Row],[From Date:]],Christus_Emp_Table[[#This Row],[To Date:]])</f>
        <v>1</v>
      </c>
      <c r="L139" s="22" t="str">
        <f>_xlfn.XLOOKUP(Christus_Emp_Table[[#This Row],[Analyst Name:]],Table1[Analyst Name],Table1[Lead])</f>
        <v>Parth Zalavadia</v>
      </c>
    </row>
    <row r="140" spans="1:12" x14ac:dyDescent="0.35">
      <c r="A140" s="21" t="s">
        <v>52</v>
      </c>
      <c r="B140" s="22" t="str">
        <f>_xlfn.XLOOKUP(Christus_Emp_Table[[#This Row],[Analyst Name:]],Table1[Analyst Name],Table1[Deloitte Email ID])</f>
        <v>Drajitha@deloitte.com</v>
      </c>
      <c r="C140" s="22" t="str">
        <f>_xlfn.XLOOKUP(Christus_Emp_Table[[#This Row],[Analyst Name:]],Table1[Analyst Name],Table1[Module])</f>
        <v>SER</v>
      </c>
      <c r="D140" s="22" t="str">
        <f>_xlfn.XLOOKUP(Christus_Emp_Table[[#This Row],[Analyst Name:]],Table1[Analyst Name],Table1[Location])</f>
        <v>BLR</v>
      </c>
      <c r="E140" s="22" t="s">
        <v>127</v>
      </c>
      <c r="F140" s="17">
        <v>45834</v>
      </c>
      <c r="G140" s="17">
        <v>45838</v>
      </c>
      <c r="H140" s="22" t="s">
        <v>127</v>
      </c>
      <c r="I140" s="22" t="s">
        <v>128</v>
      </c>
      <c r="J140" s="22">
        <f>NETWORKDAYS(Christus_Emp_Table[[#This Row],[From Date:]],Christus_Emp_Table[[#This Row],[To Date:]])</f>
        <v>3</v>
      </c>
      <c r="L140" s="22" t="str">
        <f>_xlfn.XLOOKUP(Christus_Emp_Table[[#This Row],[Analyst Name:]],Table1[Analyst Name],Table1[Lead])</f>
        <v>Ankita Roy</v>
      </c>
    </row>
    <row r="141" spans="1:12" x14ac:dyDescent="0.35">
      <c r="A141" s="21" t="s">
        <v>72</v>
      </c>
      <c r="B141" s="22" t="str">
        <f>_xlfn.XLOOKUP(Christus_Emp_Table[[#This Row],[Analyst Name:]],Table1[Analyst Name],Table1[Deloitte Email ID])</f>
        <v>susujitha@deloitte.com</v>
      </c>
      <c r="C141" s="22" t="str">
        <f>_xlfn.XLOOKUP(Christus_Emp_Table[[#This Row],[Analyst Name:]],Table1[Analyst Name],Table1[Module])</f>
        <v>QA</v>
      </c>
      <c r="D141" s="22" t="str">
        <f>_xlfn.XLOOKUP(Christus_Emp_Table[[#This Row],[Analyst Name:]],Table1[Analyst Name],Table1[Location])</f>
        <v>HYD</v>
      </c>
      <c r="E141" s="22" t="s">
        <v>127</v>
      </c>
      <c r="F141" s="17">
        <v>45813</v>
      </c>
      <c r="G141" s="17">
        <v>45813</v>
      </c>
      <c r="H141" s="22" t="s">
        <v>127</v>
      </c>
      <c r="I141" s="22" t="s">
        <v>128</v>
      </c>
      <c r="J141" s="22">
        <f>NETWORKDAYS(Christus_Emp_Table[[#This Row],[From Date:]],Christus_Emp_Table[[#This Row],[To Date:]])</f>
        <v>1</v>
      </c>
      <c r="L141" s="22" t="str">
        <f>_xlfn.XLOOKUP(Christus_Emp_Table[[#This Row],[Analyst Name:]],Table1[Analyst Name],Table1[Lead])</f>
        <v>Ankita Roy</v>
      </c>
    </row>
    <row r="142" spans="1:12" x14ac:dyDescent="0.35">
      <c r="A142" s="21" t="s">
        <v>72</v>
      </c>
      <c r="B142" s="22" t="str">
        <f>_xlfn.XLOOKUP(Christus_Emp_Table[[#This Row],[Analyst Name:]],Table1[Analyst Name],Table1[Deloitte Email ID])</f>
        <v>susujitha@deloitte.com</v>
      </c>
      <c r="C142" s="22" t="str">
        <f>_xlfn.XLOOKUP(Christus_Emp_Table[[#This Row],[Analyst Name:]],Table1[Analyst Name],Table1[Module])</f>
        <v>QA</v>
      </c>
      <c r="D142" s="22" t="str">
        <f>_xlfn.XLOOKUP(Christus_Emp_Table[[#This Row],[Analyst Name:]],Table1[Analyst Name],Table1[Location])</f>
        <v>HYD</v>
      </c>
      <c r="E142" s="19" t="s">
        <v>112</v>
      </c>
      <c r="F142" s="17">
        <v>45831</v>
      </c>
      <c r="G142" s="17">
        <v>45831</v>
      </c>
      <c r="H142" s="22" t="s">
        <v>129</v>
      </c>
      <c r="I142" s="22" t="s">
        <v>128</v>
      </c>
      <c r="J142" s="22">
        <f>NETWORKDAYS(Christus_Emp_Table[[#This Row],[From Date:]],Christus_Emp_Table[[#This Row],[To Date:]])</f>
        <v>1</v>
      </c>
      <c r="L142" s="22" t="str">
        <f>_xlfn.XLOOKUP(Christus_Emp_Table[[#This Row],[Analyst Name:]],Table1[Analyst Name],Table1[Lead])</f>
        <v>Ankita Roy</v>
      </c>
    </row>
    <row r="143" spans="1:12" x14ac:dyDescent="0.35">
      <c r="A143" s="21" t="s">
        <v>25</v>
      </c>
      <c r="B143" s="22" t="str">
        <f>_xlfn.XLOOKUP(Christus_Emp_Table[[#This Row],[Analyst Name:]],Table1[Analyst Name],Table1[Deloitte Email ID])</f>
        <v>apriyankapravalli@deloitte.com</v>
      </c>
      <c r="C143" s="22" t="str">
        <f>_xlfn.XLOOKUP(Christus_Emp_Table[[#This Row],[Analyst Name:]],Table1[Analyst Name],Table1[Module])</f>
        <v>Reporting</v>
      </c>
      <c r="D143" s="22" t="str">
        <f>_xlfn.XLOOKUP(Christus_Emp_Table[[#This Row],[Analyst Name:]],Table1[Analyst Name],Table1[Location])</f>
        <v>HYD</v>
      </c>
      <c r="E143" s="19" t="s">
        <v>112</v>
      </c>
      <c r="F143" s="17">
        <v>45811</v>
      </c>
      <c r="G143" s="17">
        <v>45811</v>
      </c>
      <c r="H143" s="22" t="s">
        <v>129</v>
      </c>
      <c r="I143" s="22" t="s">
        <v>128</v>
      </c>
      <c r="J143" s="22">
        <f>NETWORKDAYS(Christus_Emp_Table[[#This Row],[From Date:]],Christus_Emp_Table[[#This Row],[To Date:]])</f>
        <v>1</v>
      </c>
      <c r="L143" s="22">
        <f>_xlfn.XLOOKUP(Christus_Emp_Table[[#This Row],[Analyst Name:]],Table1[Analyst Name],Table1[Lead])</f>
        <v>0</v>
      </c>
    </row>
    <row r="144" spans="1:12" x14ac:dyDescent="0.35">
      <c r="A144" s="21" t="s">
        <v>70</v>
      </c>
      <c r="B144" s="22" t="str">
        <f>_xlfn.XLOOKUP(Christus_Emp_Table[[#This Row],[Analyst Name:]],Table1[Analyst Name],Table1[Deloitte Email ID])</f>
        <v>amisshaw@deloitte.com</v>
      </c>
      <c r="C144" s="22" t="str">
        <f>_xlfn.XLOOKUP(Christus_Emp_Table[[#This Row],[Analyst Name:]],Table1[Analyst Name],Table1[Module])</f>
        <v>Automation</v>
      </c>
      <c r="D144" s="22" t="str">
        <f>_xlfn.XLOOKUP(Christus_Emp_Table[[#This Row],[Analyst Name:]],Table1[Analyst Name],Table1[Location])</f>
        <v>MUM</v>
      </c>
      <c r="E144" s="19" t="s">
        <v>112</v>
      </c>
      <c r="F144" s="17">
        <v>45838</v>
      </c>
      <c r="G144" s="17">
        <v>45838</v>
      </c>
      <c r="H144" s="22" t="s">
        <v>129</v>
      </c>
      <c r="I144" s="22" t="s">
        <v>128</v>
      </c>
      <c r="J144" s="22">
        <f>NETWORKDAYS(Christus_Emp_Table[[#This Row],[From Date:]],Christus_Emp_Table[[#This Row],[To Date:]])</f>
        <v>1</v>
      </c>
      <c r="L144" s="22" t="str">
        <f>_xlfn.XLOOKUP(Christus_Emp_Table[[#This Row],[Analyst Name:]],Table1[Analyst Name],Table1[Lead])</f>
        <v>Nitish Kumar</v>
      </c>
    </row>
    <row r="145" spans="1:12" x14ac:dyDescent="0.35">
      <c r="A145" s="21" t="s">
        <v>61</v>
      </c>
      <c r="B145" s="22" t="str">
        <f>_xlfn.XLOOKUP(Christus_Emp_Table[[#This Row],[Analyst Name:]],Table1[Analyst Name],Table1[Deloitte Email ID])</f>
        <v>pbraj@deloitte.com</v>
      </c>
      <c r="C145" s="22" t="str">
        <f>_xlfn.XLOOKUP(Christus_Emp_Table[[#This Row],[Analyst Name:]],Table1[Analyst Name],Table1[Module])</f>
        <v>Automation</v>
      </c>
      <c r="D145" s="22" t="str">
        <f>_xlfn.XLOOKUP(Christus_Emp_Table[[#This Row],[Analyst Name:]],Table1[Analyst Name],Table1[Location])</f>
        <v>BLR</v>
      </c>
      <c r="E145" s="19" t="s">
        <v>112</v>
      </c>
      <c r="F145" s="17">
        <v>45812</v>
      </c>
      <c r="G145" s="17">
        <v>45812</v>
      </c>
      <c r="H145" s="22" t="s">
        <v>129</v>
      </c>
      <c r="I145" s="22" t="s">
        <v>128</v>
      </c>
      <c r="J145" s="22">
        <f>NETWORKDAYS(Christus_Emp_Table[[#This Row],[From Date:]],Christus_Emp_Table[[#This Row],[To Date:]])</f>
        <v>1</v>
      </c>
      <c r="L145" s="22" t="str">
        <f>_xlfn.XLOOKUP(Christus_Emp_Table[[#This Row],[Analyst Name:]],Table1[Analyst Name],Table1[Lead])</f>
        <v>Nitish Kumar</v>
      </c>
    </row>
    <row r="146" spans="1:12" x14ac:dyDescent="0.35">
      <c r="A146" s="21" t="s">
        <v>61</v>
      </c>
      <c r="B146" s="22" t="str">
        <f>_xlfn.XLOOKUP(Christus_Emp_Table[[#This Row],[Analyst Name:]],Table1[Analyst Name],Table1[Deloitte Email ID])</f>
        <v>pbraj@deloitte.com</v>
      </c>
      <c r="C146" s="22" t="str">
        <f>_xlfn.XLOOKUP(Christus_Emp_Table[[#This Row],[Analyst Name:]],Table1[Analyst Name],Table1[Module])</f>
        <v>Automation</v>
      </c>
      <c r="D146" s="22" t="str">
        <f>_xlfn.XLOOKUP(Christus_Emp_Table[[#This Row],[Analyst Name:]],Table1[Analyst Name],Table1[Location])</f>
        <v>BLR</v>
      </c>
      <c r="E146" s="22" t="s">
        <v>127</v>
      </c>
      <c r="F146" s="17">
        <v>45835</v>
      </c>
      <c r="G146" s="17">
        <v>45835</v>
      </c>
      <c r="H146" s="22" t="s">
        <v>127</v>
      </c>
      <c r="I146" s="22" t="s">
        <v>128</v>
      </c>
      <c r="J146" s="22">
        <f>NETWORKDAYS(Christus_Emp_Table[[#This Row],[From Date:]],Christus_Emp_Table[[#This Row],[To Date:]])</f>
        <v>1</v>
      </c>
      <c r="L146" s="22" t="str">
        <f>_xlfn.XLOOKUP(Christus_Emp_Table[[#This Row],[Analyst Name:]],Table1[Analyst Name],Table1[Lead])</f>
        <v>Nitish Kumar</v>
      </c>
    </row>
    <row r="147" spans="1:12" x14ac:dyDescent="0.35">
      <c r="A147" s="21" t="s">
        <v>54</v>
      </c>
      <c r="B147" s="22" t="str">
        <f>_xlfn.XLOOKUP(Christus_Emp_Table[[#This Row],[Analyst Name:]],Table1[Analyst Name],Table1[Deloitte Email ID])</f>
        <v>lakaur@deloitte.com</v>
      </c>
      <c r="C147" s="22" t="str">
        <f>_xlfn.XLOOKUP(Christus_Emp_Table[[#This Row],[Analyst Name:]],Table1[Analyst Name],Table1[Module])</f>
        <v>SER</v>
      </c>
      <c r="D147" s="22" t="str">
        <f>_xlfn.XLOOKUP(Christus_Emp_Table[[#This Row],[Analyst Name:]],Table1[Analyst Name],Table1[Location])</f>
        <v>GUR</v>
      </c>
      <c r="E147" s="19" t="s">
        <v>112</v>
      </c>
      <c r="F147" s="17">
        <v>45824</v>
      </c>
      <c r="G147" s="17">
        <v>45824</v>
      </c>
      <c r="H147" s="22" t="s">
        <v>129</v>
      </c>
      <c r="I147" s="22" t="s">
        <v>128</v>
      </c>
      <c r="J147" s="22">
        <f>NETWORKDAYS(Christus_Emp_Table[[#This Row],[From Date:]],Christus_Emp_Table[[#This Row],[To Date:]])</f>
        <v>1</v>
      </c>
      <c r="L147" s="22" t="str">
        <f>_xlfn.XLOOKUP(Christus_Emp_Table[[#This Row],[Analyst Name:]],Table1[Analyst Name],Table1[Lead])</f>
        <v>Ankita Roy</v>
      </c>
    </row>
    <row r="148" spans="1:12" x14ac:dyDescent="0.35">
      <c r="A148" s="21" t="s">
        <v>58</v>
      </c>
      <c r="B148" s="22" t="str">
        <f>_xlfn.XLOOKUP(Christus_Emp_Table[[#This Row],[Analyst Name:]],Table1[Analyst Name],Table1[Deloitte Email ID])</f>
        <v>rmbabu@deloitte.com</v>
      </c>
      <c r="C148" s="22" t="str">
        <f>_xlfn.XLOOKUP(Christus_Emp_Table[[#This Row],[Analyst Name:]],Table1[Analyst Name],Table1[Module])</f>
        <v>ECLink</v>
      </c>
      <c r="D148" s="22" t="str">
        <f>_xlfn.XLOOKUP(Christus_Emp_Table[[#This Row],[Analyst Name:]],Table1[Analyst Name],Table1[Location])</f>
        <v>HYD</v>
      </c>
      <c r="E148" s="22" t="s">
        <v>127</v>
      </c>
      <c r="F148" s="17">
        <v>45811</v>
      </c>
      <c r="G148" s="17">
        <v>45814</v>
      </c>
      <c r="H148" s="22" t="s">
        <v>127</v>
      </c>
      <c r="I148" s="22" t="s">
        <v>128</v>
      </c>
      <c r="J148" s="22">
        <f>NETWORKDAYS(Christus_Emp_Table[[#This Row],[From Date:]],Christus_Emp_Table[[#This Row],[To Date:]])</f>
        <v>4</v>
      </c>
      <c r="L148" s="22" t="str">
        <f>_xlfn.XLOOKUP(Christus_Emp_Table[[#This Row],[Analyst Name:]],Table1[Analyst Name],Table1[Lead])</f>
        <v>Nitish Kumar</v>
      </c>
    </row>
    <row r="149" spans="1:12" x14ac:dyDescent="0.35">
      <c r="A149" s="21" t="s">
        <v>58</v>
      </c>
      <c r="B149" s="22" t="str">
        <f>_xlfn.XLOOKUP(Christus_Emp_Table[[#This Row],[Analyst Name:]],Table1[Analyst Name],Table1[Deloitte Email ID])</f>
        <v>rmbabu@deloitte.com</v>
      </c>
      <c r="C149" s="22" t="str">
        <f>_xlfn.XLOOKUP(Christus_Emp_Table[[#This Row],[Analyst Name:]],Table1[Analyst Name],Table1[Module])</f>
        <v>ECLink</v>
      </c>
      <c r="D149" s="22" t="str">
        <f>_xlfn.XLOOKUP(Christus_Emp_Table[[#This Row],[Analyst Name:]],Table1[Analyst Name],Table1[Location])</f>
        <v>HYD</v>
      </c>
      <c r="E149" s="19" t="s">
        <v>112</v>
      </c>
      <c r="F149" s="17">
        <v>45817</v>
      </c>
      <c r="G149" s="17">
        <v>45818</v>
      </c>
      <c r="H149" s="22" t="s">
        <v>129</v>
      </c>
      <c r="I149" s="22" t="s">
        <v>128</v>
      </c>
      <c r="J149" s="22">
        <f>NETWORKDAYS(Christus_Emp_Table[[#This Row],[From Date:]],Christus_Emp_Table[[#This Row],[To Date:]])</f>
        <v>2</v>
      </c>
      <c r="L149" s="22" t="str">
        <f>_xlfn.XLOOKUP(Christus_Emp_Table[[#This Row],[Analyst Name:]],Table1[Analyst Name],Table1[Lead])</f>
        <v>Nitish Kumar</v>
      </c>
    </row>
    <row r="150" spans="1:12" x14ac:dyDescent="0.35">
      <c r="A150" s="21" t="s">
        <v>58</v>
      </c>
      <c r="B150" s="22" t="str">
        <f>_xlfn.XLOOKUP(Christus_Emp_Table[[#This Row],[Analyst Name:]],Table1[Analyst Name],Table1[Deloitte Email ID])</f>
        <v>rmbabu@deloitte.com</v>
      </c>
      <c r="C150" s="22" t="str">
        <f>_xlfn.XLOOKUP(Christus_Emp_Table[[#This Row],[Analyst Name:]],Table1[Analyst Name],Table1[Module])</f>
        <v>ECLink</v>
      </c>
      <c r="D150" s="22" t="str">
        <f>_xlfn.XLOOKUP(Christus_Emp_Table[[#This Row],[Analyst Name:]],Table1[Analyst Name],Table1[Location])</f>
        <v>HYD</v>
      </c>
      <c r="E150" s="22" t="s">
        <v>130</v>
      </c>
      <c r="F150" s="17">
        <v>45828</v>
      </c>
      <c r="G150" s="17">
        <v>45828</v>
      </c>
      <c r="H150" s="22" t="s">
        <v>130</v>
      </c>
      <c r="I150" s="22" t="s">
        <v>128</v>
      </c>
      <c r="J150" s="22">
        <f>NETWORKDAYS(Christus_Emp_Table[[#This Row],[From Date:]],Christus_Emp_Table[[#This Row],[To Date:]])</f>
        <v>1</v>
      </c>
      <c r="L150" s="22" t="str">
        <f>_xlfn.XLOOKUP(Christus_Emp_Table[[#This Row],[Analyst Name:]],Table1[Analyst Name],Table1[Lead])</f>
        <v>Nitish Kumar</v>
      </c>
    </row>
    <row r="151" spans="1:12" x14ac:dyDescent="0.35">
      <c r="A151" s="21" t="s">
        <v>48</v>
      </c>
      <c r="B151" s="22" t="str">
        <f>_xlfn.XLOOKUP(Christus_Emp_Table[[#This Row],[Analyst Name:]],Table1[Analyst Name],Table1[Deloitte Email ID])</f>
        <v>dwaikar@deloitte.com</v>
      </c>
      <c r="C151" s="22" t="str">
        <f>_xlfn.XLOOKUP(Christus_Emp_Table[[#This Row],[Analyst Name:]],Table1[Analyst Name],Table1[Module])</f>
        <v>SER</v>
      </c>
      <c r="D151" s="22" t="str">
        <f>_xlfn.XLOOKUP(Christus_Emp_Table[[#This Row],[Analyst Name:]],Table1[Analyst Name],Table1[Location])</f>
        <v>BLR</v>
      </c>
      <c r="E151" s="22" t="s">
        <v>127</v>
      </c>
      <c r="F151" s="17">
        <v>45838</v>
      </c>
      <c r="G151" s="17">
        <v>45838</v>
      </c>
      <c r="H151" s="22" t="s">
        <v>127</v>
      </c>
      <c r="I151" s="22" t="s">
        <v>128</v>
      </c>
      <c r="J151" s="22">
        <f>NETWORKDAYS(Christus_Emp_Table[[#This Row],[From Date:]],Christus_Emp_Table[[#This Row],[To Date:]])</f>
        <v>1</v>
      </c>
      <c r="L151" s="22" t="str">
        <f>_xlfn.XLOOKUP(Christus_Emp_Table[[#This Row],[Analyst Name:]],Table1[Analyst Name],Table1[Lead])</f>
        <v>Ankita Roy</v>
      </c>
    </row>
    <row r="152" spans="1:12" x14ac:dyDescent="0.35">
      <c r="A152" s="21" t="s">
        <v>33</v>
      </c>
      <c r="B152" s="22" t="str">
        <f>_xlfn.XLOOKUP(Christus_Emp_Table[[#This Row],[Analyst Name:]],Table1[Analyst Name],Table1[Deloitte Email ID])</f>
        <v>pjagdishzalavadia@deloitte.com</v>
      </c>
      <c r="C152" s="22" t="str">
        <f>_xlfn.XLOOKUP(Christus_Emp_Table[[#This Row],[Analyst Name:]],Table1[Analyst Name],Table1[Module])</f>
        <v>Bridges</v>
      </c>
      <c r="D152" s="22" t="str">
        <f>_xlfn.XLOOKUP(Christus_Emp_Table[[#This Row],[Analyst Name:]],Table1[Analyst Name],Table1[Location])</f>
        <v>BLR</v>
      </c>
      <c r="E152" s="19" t="s">
        <v>112</v>
      </c>
      <c r="F152" s="17">
        <v>45824</v>
      </c>
      <c r="G152" s="17">
        <v>45824</v>
      </c>
      <c r="H152" s="22" t="s">
        <v>129</v>
      </c>
      <c r="I152" s="22" t="s">
        <v>128</v>
      </c>
      <c r="J152" s="22">
        <f>NETWORKDAYS(Christus_Emp_Table[[#This Row],[From Date:]],Christus_Emp_Table[[#This Row],[To Date:]])</f>
        <v>1</v>
      </c>
      <c r="L152" s="22" t="str">
        <f>_xlfn.XLOOKUP(Christus_Emp_Table[[#This Row],[Analyst Name:]],Table1[Analyst Name],Table1[Lead])</f>
        <v>Tanima Debmallik/Nitish Kumar</v>
      </c>
    </row>
    <row r="153" spans="1:12" x14ac:dyDescent="0.35">
      <c r="A153" s="21" t="s">
        <v>43</v>
      </c>
      <c r="B153" s="22" t="str">
        <f>_xlfn.XLOOKUP(Christus_Emp_Table[[#This Row],[Analyst Name:]],Table1[Analyst Name],Table1[Deloitte Email ID])</f>
        <v>frai@deloitte.com</v>
      </c>
      <c r="C153" s="22" t="str">
        <f>_xlfn.XLOOKUP(Christus_Emp_Table[[#This Row],[Analyst Name:]],Table1[Analyst Name],Table1[Module])</f>
        <v>MyChart</v>
      </c>
      <c r="D153" s="22" t="str">
        <f>_xlfn.XLOOKUP(Christus_Emp_Table[[#This Row],[Analyst Name:]],Table1[Analyst Name],Table1[Location])</f>
        <v>HYD</v>
      </c>
      <c r="E153" s="22" t="s">
        <v>130</v>
      </c>
      <c r="F153" s="17">
        <v>45817</v>
      </c>
      <c r="G153" s="17">
        <v>45817</v>
      </c>
      <c r="H153" s="22" t="s">
        <v>130</v>
      </c>
      <c r="I153" s="22" t="s">
        <v>128</v>
      </c>
      <c r="J153" s="22">
        <f>NETWORKDAYS(Christus_Emp_Table[[#This Row],[From Date:]],Christus_Emp_Table[[#This Row],[To Date:]])</f>
        <v>1</v>
      </c>
      <c r="L153" s="22" t="str">
        <f>_xlfn.XLOOKUP(Christus_Emp_Table[[#This Row],[Analyst Name:]],Table1[Analyst Name],Table1[Lead])</f>
        <v>Nitish Kumar</v>
      </c>
    </row>
    <row r="154" spans="1:12" x14ac:dyDescent="0.35">
      <c r="A154" s="21" t="s">
        <v>21</v>
      </c>
      <c r="B154" s="22" t="str">
        <f>_xlfn.XLOOKUP(Christus_Emp_Table[[#This Row],[Analyst Name:]],Table1[Analyst Name],Table1[Deloitte Email ID])</f>
        <v>vbalasodongale@deloitte.com</v>
      </c>
      <c r="C154" s="22" t="str">
        <f>_xlfn.XLOOKUP(Christus_Emp_Table[[#This Row],[Analyst Name:]],Table1[Analyst Name],Table1[Module])</f>
        <v>Reporting</v>
      </c>
      <c r="D154" s="22" t="str">
        <f>_xlfn.XLOOKUP(Christus_Emp_Table[[#This Row],[Analyst Name:]],Table1[Analyst Name],Table1[Location])</f>
        <v>HYD</v>
      </c>
      <c r="E154" s="22" t="s">
        <v>127</v>
      </c>
      <c r="F154" s="17">
        <v>45819</v>
      </c>
      <c r="G154" s="17">
        <v>45826</v>
      </c>
      <c r="H154" s="22" t="s">
        <v>127</v>
      </c>
      <c r="I154" s="22" t="s">
        <v>128</v>
      </c>
      <c r="J154" s="22">
        <f>NETWORKDAYS(Christus_Emp_Table[[#This Row],[From Date:]],Christus_Emp_Table[[#This Row],[To Date:]])</f>
        <v>6</v>
      </c>
      <c r="L154" s="22">
        <f>_xlfn.XLOOKUP(Christus_Emp_Table[[#This Row],[Analyst Name:]],Table1[Analyst Name],Table1[Lead])</f>
        <v>0</v>
      </c>
    </row>
    <row r="155" spans="1:12" x14ac:dyDescent="0.35">
      <c r="A155" s="21" t="s">
        <v>15</v>
      </c>
      <c r="B155" s="22" t="str">
        <f>_xlfn.XLOOKUP(Christus_Emp_Table[[#This Row],[Analyst Name:]],Table1[Analyst Name],Table1[Deloitte Email ID])</f>
        <v>jbelel@deloitte.com</v>
      </c>
      <c r="C155" s="22" t="str">
        <f>_xlfn.XLOOKUP(Christus_Emp_Table[[#This Row],[Analyst Name:]],Table1[Analyst Name],Table1[Module])</f>
        <v>Reporting</v>
      </c>
      <c r="D155" s="22" t="str">
        <f>_xlfn.XLOOKUP(Christus_Emp_Table[[#This Row],[Analyst Name:]],Table1[Analyst Name],Table1[Location])</f>
        <v>MUM</v>
      </c>
      <c r="E155" s="22" t="s">
        <v>127</v>
      </c>
      <c r="F155" s="17">
        <v>45835</v>
      </c>
      <c r="G155" s="17">
        <v>45835</v>
      </c>
      <c r="H155" s="22" t="s">
        <v>127</v>
      </c>
      <c r="I155" s="22" t="s">
        <v>128</v>
      </c>
      <c r="J155" s="22">
        <f>NETWORKDAYS(Christus_Emp_Table[[#This Row],[From Date:]],Christus_Emp_Table[[#This Row],[To Date:]])</f>
        <v>1</v>
      </c>
      <c r="L155" s="22" t="str">
        <f>_xlfn.XLOOKUP(Christus_Emp_Table[[#This Row],[Analyst Name:]],Table1[Analyst Name],Table1[Lead])</f>
        <v>Tanima Debmallik/Nitish Kumar</v>
      </c>
    </row>
    <row r="156" spans="1:12" x14ac:dyDescent="0.35">
      <c r="A156" s="21" t="s">
        <v>11</v>
      </c>
      <c r="B156" s="22" t="str">
        <f>_xlfn.XLOOKUP(Christus_Emp_Table[[#This Row],[Analyst Name:]],Table1[Analyst Name],Table1[Deloitte Email ID])</f>
        <v>bharkumari@deloitte.com</v>
      </c>
      <c r="C156" s="22" t="str">
        <f>_xlfn.XLOOKUP(Christus_Emp_Table[[#This Row],[Analyst Name:]],Table1[Analyst Name],Table1[Module])</f>
        <v>Reporting</v>
      </c>
      <c r="D156" s="22" t="str">
        <f>_xlfn.XLOOKUP(Christus_Emp_Table[[#This Row],[Analyst Name:]],Table1[Analyst Name],Table1[Location])</f>
        <v>BLR</v>
      </c>
      <c r="E156" s="22" t="s">
        <v>127</v>
      </c>
      <c r="F156" s="17">
        <v>45810</v>
      </c>
      <c r="G156" s="17">
        <v>45814</v>
      </c>
      <c r="H156" s="22" t="s">
        <v>127</v>
      </c>
      <c r="I156" s="22" t="s">
        <v>128</v>
      </c>
      <c r="J156" s="22">
        <f>NETWORKDAYS(Christus_Emp_Table[[#This Row],[From Date:]],Christus_Emp_Table[[#This Row],[To Date:]])</f>
        <v>5</v>
      </c>
      <c r="L156" s="22" t="str">
        <f>_xlfn.XLOOKUP(Christus_Emp_Table[[#This Row],[Analyst Name:]],Table1[Analyst Name],Table1[Lead])</f>
        <v>Nitish Kumar</v>
      </c>
    </row>
    <row r="157" spans="1:12" x14ac:dyDescent="0.35">
      <c r="A157" s="21" t="s">
        <v>11</v>
      </c>
      <c r="B157" s="22" t="str">
        <f>_xlfn.XLOOKUP(Christus_Emp_Table[[#This Row],[Analyst Name:]],Table1[Analyst Name],Table1[Deloitte Email ID])</f>
        <v>bharkumari@deloitte.com</v>
      </c>
      <c r="C157" s="22" t="str">
        <f>_xlfn.XLOOKUP(Christus_Emp_Table[[#This Row],[Analyst Name:]],Table1[Analyst Name],Table1[Module])</f>
        <v>Reporting</v>
      </c>
      <c r="D157" s="22" t="str">
        <f>_xlfn.XLOOKUP(Christus_Emp_Table[[#This Row],[Analyst Name:]],Table1[Analyst Name],Table1[Location])</f>
        <v>BLR</v>
      </c>
      <c r="E157" s="19" t="s">
        <v>112</v>
      </c>
      <c r="F157" s="17">
        <v>45817</v>
      </c>
      <c r="G157" s="17">
        <v>45817</v>
      </c>
      <c r="H157" s="22" t="s">
        <v>129</v>
      </c>
      <c r="I157" s="22" t="s">
        <v>128</v>
      </c>
      <c r="J157" s="22">
        <f>NETWORKDAYS(Christus_Emp_Table[[#This Row],[From Date:]],Christus_Emp_Table[[#This Row],[To Date:]])</f>
        <v>1</v>
      </c>
      <c r="L157" s="22" t="str">
        <f>_xlfn.XLOOKUP(Christus_Emp_Table[[#This Row],[Analyst Name:]],Table1[Analyst Name],Table1[Lead])</f>
        <v>Nitish Kumar</v>
      </c>
    </row>
    <row r="158" spans="1:12" x14ac:dyDescent="0.35">
      <c r="A158" s="21" t="s">
        <v>11</v>
      </c>
      <c r="B158" s="22" t="str">
        <f>_xlfn.XLOOKUP(Christus_Emp_Table[[#This Row],[Analyst Name:]],Table1[Analyst Name],Table1[Deloitte Email ID])</f>
        <v>bharkumari@deloitte.com</v>
      </c>
      <c r="C158" s="22" t="str">
        <f>_xlfn.XLOOKUP(Christus_Emp_Table[[#This Row],[Analyst Name:]],Table1[Analyst Name],Table1[Module])</f>
        <v>Reporting</v>
      </c>
      <c r="D158" s="22" t="str">
        <f>_xlfn.XLOOKUP(Christus_Emp_Table[[#This Row],[Analyst Name:]],Table1[Analyst Name],Table1[Location])</f>
        <v>BLR</v>
      </c>
      <c r="E158" s="19" t="s">
        <v>112</v>
      </c>
      <c r="F158" s="17">
        <v>45835</v>
      </c>
      <c r="G158" s="17">
        <v>45835</v>
      </c>
      <c r="H158" s="22" t="s">
        <v>129</v>
      </c>
      <c r="I158" s="22" t="s">
        <v>128</v>
      </c>
      <c r="J158" s="22">
        <f>NETWORKDAYS(Christus_Emp_Table[[#This Row],[From Date:]],Christus_Emp_Table[[#This Row],[To Date:]])</f>
        <v>1</v>
      </c>
      <c r="L158" s="22" t="str">
        <f>_xlfn.XLOOKUP(Christus_Emp_Table[[#This Row],[Analyst Name:]],Table1[Analyst Name],Table1[Lead])</f>
        <v>Nitish Kumar</v>
      </c>
    </row>
    <row r="159" spans="1:12" x14ac:dyDescent="0.35">
      <c r="A159" s="21" t="s">
        <v>6</v>
      </c>
      <c r="B159" s="22" t="str">
        <f>_xlfn.XLOOKUP(Christus_Emp_Table[[#This Row],[Analyst Name:]],Table1[Analyst Name],Table1[Deloitte Email ID])</f>
        <v>nitishkumar44@deloitte.com</v>
      </c>
      <c r="C159" s="22" t="str">
        <f>_xlfn.XLOOKUP(Christus_Emp_Table[[#This Row],[Analyst Name:]],Table1[Analyst Name],Table1[Module])</f>
        <v>Reporting</v>
      </c>
      <c r="D159" s="22" t="str">
        <f>_xlfn.XLOOKUP(Christus_Emp_Table[[#This Row],[Analyst Name:]],Table1[Analyst Name],Table1[Location])</f>
        <v>BLR</v>
      </c>
      <c r="E159" s="22" t="s">
        <v>127</v>
      </c>
      <c r="F159" s="17">
        <v>45835</v>
      </c>
      <c r="G159" s="17">
        <v>45835</v>
      </c>
      <c r="H159" s="22" t="s">
        <v>127</v>
      </c>
      <c r="I159" s="22" t="s">
        <v>128</v>
      </c>
      <c r="J159" s="22">
        <f>NETWORKDAYS(Christus_Emp_Table[[#This Row],[From Date:]],Christus_Emp_Table[[#This Row],[To Date:]])</f>
        <v>1</v>
      </c>
      <c r="L159" s="22">
        <f>_xlfn.XLOOKUP(Christus_Emp_Table[[#This Row],[Analyst Name:]],Table1[Analyst Name],Table1[Lead])</f>
        <v>0</v>
      </c>
    </row>
    <row r="160" spans="1:12" x14ac:dyDescent="0.35">
      <c r="A160" s="21" t="s">
        <v>6</v>
      </c>
      <c r="B160" s="22" t="str">
        <f>_xlfn.XLOOKUP(Christus_Emp_Table[[#This Row],[Analyst Name:]],Table1[Analyst Name],Table1[Deloitte Email ID])</f>
        <v>nitishkumar44@deloitte.com</v>
      </c>
      <c r="C160" s="22" t="str">
        <f>_xlfn.XLOOKUP(Christus_Emp_Table[[#This Row],[Analyst Name:]],Table1[Analyst Name],Table1[Module])</f>
        <v>Reporting</v>
      </c>
      <c r="D160" s="22" t="str">
        <f>_xlfn.XLOOKUP(Christus_Emp_Table[[#This Row],[Analyst Name:]],Table1[Analyst Name],Table1[Location])</f>
        <v>BLR</v>
      </c>
      <c r="E160" s="19" t="s">
        <v>112</v>
      </c>
      <c r="F160" s="17">
        <v>45838</v>
      </c>
      <c r="G160" s="17">
        <v>45838</v>
      </c>
      <c r="H160" s="22" t="s">
        <v>129</v>
      </c>
      <c r="I160" s="22" t="s">
        <v>128</v>
      </c>
      <c r="J160" s="22">
        <f>NETWORKDAYS(Christus_Emp_Table[[#This Row],[From Date:]],Christus_Emp_Table[[#This Row],[To Date:]])</f>
        <v>1</v>
      </c>
      <c r="L160" s="22">
        <f>_xlfn.XLOOKUP(Christus_Emp_Table[[#This Row],[Analyst Name:]],Table1[Analyst Name],Table1[Lead])</f>
        <v>0</v>
      </c>
    </row>
    <row r="161" spans="1:12" x14ac:dyDescent="0.35">
      <c r="A161" s="21" t="s">
        <v>16</v>
      </c>
      <c r="B161" s="22" t="str">
        <f>_xlfn.XLOOKUP(Christus_Emp_Table[[#This Row],[Analyst Name:]],Table1[Analyst Name],Table1[Deloitte Email ID])</f>
        <v>abalagopalan@deloitte.com</v>
      </c>
      <c r="C161" s="22" t="str">
        <f>_xlfn.XLOOKUP(Christus_Emp_Table[[#This Row],[Analyst Name:]],Table1[Analyst Name],Table1[Module])</f>
        <v>Reporting</v>
      </c>
      <c r="D161" s="22" t="str">
        <f>_xlfn.XLOOKUP(Christus_Emp_Table[[#This Row],[Analyst Name:]],Table1[Analyst Name],Table1[Location])</f>
        <v>BLR</v>
      </c>
      <c r="E161" s="19" t="s">
        <v>112</v>
      </c>
      <c r="F161" s="17">
        <v>45840</v>
      </c>
      <c r="G161" s="17">
        <v>45840</v>
      </c>
      <c r="H161" s="22" t="s">
        <v>129</v>
      </c>
      <c r="I161" s="22" t="s">
        <v>128</v>
      </c>
      <c r="J161" s="22">
        <f>NETWORKDAYS(Christus_Emp_Table[[#This Row],[From Date:]],Christus_Emp_Table[[#This Row],[To Date:]])</f>
        <v>1</v>
      </c>
      <c r="L161" s="22" t="str">
        <f>_xlfn.XLOOKUP(Christus_Emp_Table[[#This Row],[Analyst Name:]],Table1[Analyst Name],Table1[Lead])</f>
        <v>Jagannath Belel</v>
      </c>
    </row>
    <row r="162" spans="1:12" x14ac:dyDescent="0.35">
      <c r="A162" s="21" t="s">
        <v>16</v>
      </c>
      <c r="B162" s="22" t="str">
        <f>_xlfn.XLOOKUP(Christus_Emp_Table[[#This Row],[Analyst Name:]],Table1[Analyst Name],Table1[Deloitte Email ID])</f>
        <v>abalagopalan@deloitte.com</v>
      </c>
      <c r="C162" s="22" t="str">
        <f>_xlfn.XLOOKUP(Christus_Emp_Table[[#This Row],[Analyst Name:]],Table1[Analyst Name],Table1[Module])</f>
        <v>Reporting</v>
      </c>
      <c r="D162" s="22" t="str">
        <f>_xlfn.XLOOKUP(Christus_Emp_Table[[#This Row],[Analyst Name:]],Table1[Analyst Name],Table1[Location])</f>
        <v>BLR</v>
      </c>
      <c r="E162" s="19" t="s">
        <v>112</v>
      </c>
      <c r="F162" s="17">
        <v>45867</v>
      </c>
      <c r="G162" s="17">
        <v>45868</v>
      </c>
      <c r="H162" s="22" t="s">
        <v>129</v>
      </c>
      <c r="I162" s="22" t="s">
        <v>128</v>
      </c>
      <c r="J162" s="22">
        <f>NETWORKDAYS(Christus_Emp_Table[[#This Row],[From Date:]],Christus_Emp_Table[[#This Row],[To Date:]])</f>
        <v>2</v>
      </c>
      <c r="L162" s="22" t="str">
        <f>_xlfn.XLOOKUP(Christus_Emp_Table[[#This Row],[Analyst Name:]],Table1[Analyst Name],Table1[Lead])</f>
        <v>Jagannath Belel</v>
      </c>
    </row>
    <row r="163" spans="1:12" x14ac:dyDescent="0.35">
      <c r="A163" s="21" t="s">
        <v>13</v>
      </c>
      <c r="B163" s="22" t="str">
        <f>_xlfn.XLOOKUP(Christus_Emp_Table[[#This Row],[Analyst Name:]],Table1[Analyst Name],Table1[Deloitte Email ID])</f>
        <v>srug@deloitte.com</v>
      </c>
      <c r="C163" s="22" t="str">
        <f>_xlfn.XLOOKUP(Christus_Emp_Table[[#This Row],[Analyst Name:]],Table1[Analyst Name],Table1[Module])</f>
        <v>Reporting</v>
      </c>
      <c r="D163" s="22" t="str">
        <f>_xlfn.XLOOKUP(Christus_Emp_Table[[#This Row],[Analyst Name:]],Table1[Analyst Name],Table1[Location])</f>
        <v>BLR</v>
      </c>
      <c r="E163" s="22" t="s">
        <v>127</v>
      </c>
      <c r="F163" s="17">
        <v>45842</v>
      </c>
      <c r="G163" s="17">
        <v>45842</v>
      </c>
      <c r="H163" s="22" t="s">
        <v>127</v>
      </c>
      <c r="I163" s="22" t="s">
        <v>128</v>
      </c>
      <c r="J163" s="22">
        <f>NETWORKDAYS(Christus_Emp_Table[[#This Row],[From Date:]],Christus_Emp_Table[[#This Row],[To Date:]])</f>
        <v>1</v>
      </c>
      <c r="L163" s="22" t="str">
        <f>_xlfn.XLOOKUP(Christus_Emp_Table[[#This Row],[Analyst Name:]],Table1[Analyst Name],Table1[Lead])</f>
        <v>Jagannath Belel</v>
      </c>
    </row>
    <row r="164" spans="1:12" x14ac:dyDescent="0.35">
      <c r="A164" s="21" t="s">
        <v>13</v>
      </c>
      <c r="B164" s="22" t="str">
        <f>_xlfn.XLOOKUP(Christus_Emp_Table[[#This Row],[Analyst Name:]],Table1[Analyst Name],Table1[Deloitte Email ID])</f>
        <v>srug@deloitte.com</v>
      </c>
      <c r="C164" s="22" t="str">
        <f>_xlfn.XLOOKUP(Christus_Emp_Table[[#This Row],[Analyst Name:]],Table1[Analyst Name],Table1[Module])</f>
        <v>Reporting</v>
      </c>
      <c r="D164" s="22" t="str">
        <f>_xlfn.XLOOKUP(Christus_Emp_Table[[#This Row],[Analyst Name:]],Table1[Analyst Name],Table1[Location])</f>
        <v>BLR</v>
      </c>
      <c r="E164" s="19" t="s">
        <v>112</v>
      </c>
      <c r="F164" s="17">
        <v>45859</v>
      </c>
      <c r="G164" s="17">
        <v>45860</v>
      </c>
      <c r="H164" s="22" t="s">
        <v>129</v>
      </c>
      <c r="I164" s="22" t="s">
        <v>128</v>
      </c>
      <c r="J164" s="22">
        <f>NETWORKDAYS(Christus_Emp_Table[[#This Row],[From Date:]],Christus_Emp_Table[[#This Row],[To Date:]])</f>
        <v>2</v>
      </c>
      <c r="L164" s="22" t="str">
        <f>_xlfn.XLOOKUP(Christus_Emp_Table[[#This Row],[Analyst Name:]],Table1[Analyst Name],Table1[Lead])</f>
        <v>Jagannath Belel</v>
      </c>
    </row>
    <row r="165" spans="1:12" x14ac:dyDescent="0.35">
      <c r="A165" s="21" t="s">
        <v>66</v>
      </c>
      <c r="B165" s="22" t="str">
        <f>_xlfn.XLOOKUP(Christus_Emp_Table[[#This Row],[Analyst Name:]],Table1[Analyst Name],Table1[Deloitte Email ID])</f>
        <v>akshayakumar@deloitte.com</v>
      </c>
      <c r="C165" s="22" t="str">
        <f>_xlfn.XLOOKUP(Christus_Emp_Table[[#This Row],[Analyst Name:]],Table1[Analyst Name],Table1[Module])</f>
        <v>Automation</v>
      </c>
      <c r="D165" s="22" t="str">
        <f>_xlfn.XLOOKUP(Christus_Emp_Table[[#This Row],[Analyst Name:]],Table1[Analyst Name],Table1[Location])</f>
        <v>BLR</v>
      </c>
      <c r="E165" s="19" t="s">
        <v>112</v>
      </c>
      <c r="F165" s="17">
        <v>45866</v>
      </c>
      <c r="G165" s="17">
        <v>45866</v>
      </c>
      <c r="H165" s="22" t="s">
        <v>129</v>
      </c>
      <c r="I165" s="22" t="s">
        <v>128</v>
      </c>
      <c r="J165" s="22">
        <f>NETWORKDAYS(Christus_Emp_Table[[#This Row],[From Date:]],Christus_Emp_Table[[#This Row],[To Date:]])</f>
        <v>1</v>
      </c>
      <c r="L165" s="22" t="str">
        <f>_xlfn.XLOOKUP(Christus_Emp_Table[[#This Row],[Analyst Name:]],Table1[Analyst Name],Table1[Lead])</f>
        <v>Parth Zalavadia</v>
      </c>
    </row>
    <row r="166" spans="1:12" x14ac:dyDescent="0.35">
      <c r="A166" s="21" t="s">
        <v>52</v>
      </c>
      <c r="B166" s="22" t="str">
        <f>_xlfn.XLOOKUP(Christus_Emp_Table[[#This Row],[Analyst Name:]],Table1[Analyst Name],Table1[Deloitte Email ID])</f>
        <v>Drajitha@deloitte.com</v>
      </c>
      <c r="C166" s="22" t="str">
        <f>_xlfn.XLOOKUP(Christus_Emp_Table[[#This Row],[Analyst Name:]],Table1[Analyst Name],Table1[Module])</f>
        <v>SER</v>
      </c>
      <c r="D166" s="22" t="str">
        <f>_xlfn.XLOOKUP(Christus_Emp_Table[[#This Row],[Analyst Name:]],Table1[Analyst Name],Table1[Location])</f>
        <v>BLR</v>
      </c>
      <c r="E166" s="19" t="s">
        <v>112</v>
      </c>
      <c r="F166" s="17">
        <v>45859</v>
      </c>
      <c r="G166" s="17">
        <v>45859</v>
      </c>
      <c r="H166" s="22" t="s">
        <v>129</v>
      </c>
      <c r="I166" s="22" t="s">
        <v>128</v>
      </c>
      <c r="J166" s="22">
        <f>NETWORKDAYS(Christus_Emp_Table[[#This Row],[From Date:]],Christus_Emp_Table[[#This Row],[To Date:]])</f>
        <v>1</v>
      </c>
      <c r="L166" s="22" t="str">
        <f>_xlfn.XLOOKUP(Christus_Emp_Table[[#This Row],[Analyst Name:]],Table1[Analyst Name],Table1[Lead])</f>
        <v>Ankita Roy</v>
      </c>
    </row>
    <row r="167" spans="1:12" x14ac:dyDescent="0.35">
      <c r="A167" s="21" t="s">
        <v>52</v>
      </c>
      <c r="B167" s="22" t="str">
        <f>_xlfn.XLOOKUP(Christus_Emp_Table[[#This Row],[Analyst Name:]],Table1[Analyst Name],Table1[Deloitte Email ID])</f>
        <v>Drajitha@deloitte.com</v>
      </c>
      <c r="C167" s="22" t="str">
        <f>_xlfn.XLOOKUP(Christus_Emp_Table[[#This Row],[Analyst Name:]],Table1[Analyst Name],Table1[Module])</f>
        <v>SER</v>
      </c>
      <c r="D167" s="22" t="str">
        <f>_xlfn.XLOOKUP(Christus_Emp_Table[[#This Row],[Analyst Name:]],Table1[Analyst Name],Table1[Location])</f>
        <v>BLR</v>
      </c>
      <c r="E167" s="22" t="s">
        <v>127</v>
      </c>
      <c r="F167" s="17">
        <v>45863</v>
      </c>
      <c r="G167" s="17">
        <v>45863</v>
      </c>
      <c r="H167" s="22" t="s">
        <v>127</v>
      </c>
      <c r="I167" s="22" t="s">
        <v>128</v>
      </c>
      <c r="J167" s="22">
        <f>NETWORKDAYS(Christus_Emp_Table[[#This Row],[From Date:]],Christus_Emp_Table[[#This Row],[To Date:]])</f>
        <v>1</v>
      </c>
      <c r="L167" s="22" t="str">
        <f>_xlfn.XLOOKUP(Christus_Emp_Table[[#This Row],[Analyst Name:]],Table1[Analyst Name],Table1[Lead])</f>
        <v>Ankita Roy</v>
      </c>
    </row>
    <row r="168" spans="1:12" x14ac:dyDescent="0.35">
      <c r="A168" s="21" t="s">
        <v>79</v>
      </c>
      <c r="B168" s="22" t="str">
        <f>_xlfn.XLOOKUP(Christus_Emp_Table[[#This Row],[Analyst Name:]],Table1[Analyst Name],Table1[Deloitte Email ID])</f>
        <v>pragrawat@deloitte.com</v>
      </c>
      <c r="C168" s="22" t="str">
        <f>_xlfn.XLOOKUP(Christus_Emp_Table[[#This Row],[Analyst Name:]],Table1[Analyst Name],Table1[Module])</f>
        <v>EC/DC</v>
      </c>
      <c r="D168" s="22" t="str">
        <f>_xlfn.XLOOKUP(Christus_Emp_Table[[#This Row],[Analyst Name:]],Table1[Analyst Name],Table1[Location])</f>
        <v>GUR</v>
      </c>
      <c r="E168" s="22" t="s">
        <v>127</v>
      </c>
      <c r="F168" s="17">
        <v>45862</v>
      </c>
      <c r="G168" s="17">
        <v>45863</v>
      </c>
      <c r="H168" s="22" t="s">
        <v>127</v>
      </c>
      <c r="I168" s="22" t="s">
        <v>128</v>
      </c>
      <c r="J168" s="22">
        <f>NETWORKDAYS(Christus_Emp_Table[[#This Row],[From Date:]],Christus_Emp_Table[[#This Row],[To Date:]])</f>
        <v>2</v>
      </c>
      <c r="L168" s="22" t="str">
        <f>_xlfn.XLOOKUP(Christus_Emp_Table[[#This Row],[Analyst Name:]],Table1[Analyst Name],Table1[Lead])</f>
        <v>Ankita Roy</v>
      </c>
    </row>
    <row r="169" spans="1:12" x14ac:dyDescent="0.35">
      <c r="A169" s="21" t="s">
        <v>51</v>
      </c>
      <c r="B169" s="22" t="str">
        <f>_xlfn.XLOOKUP(Christus_Emp_Table[[#This Row],[Analyst Name:]],Table1[Analyst Name],Table1[Deloitte Email ID])</f>
        <v>ankitaroy2@deloitte.com</v>
      </c>
      <c r="C169" s="22" t="str">
        <f>_xlfn.XLOOKUP(Christus_Emp_Table[[#This Row],[Analyst Name:]],Table1[Analyst Name],Table1[Module])</f>
        <v>EC/DC</v>
      </c>
      <c r="D169" s="22" t="str">
        <f>_xlfn.XLOOKUP(Christus_Emp_Table[[#This Row],[Analyst Name:]],Table1[Analyst Name],Table1[Location])</f>
        <v>BLR</v>
      </c>
      <c r="E169" s="22" t="s">
        <v>127</v>
      </c>
      <c r="F169" s="17">
        <v>45842</v>
      </c>
      <c r="G169" s="17">
        <v>45842</v>
      </c>
      <c r="H169" s="22" t="s">
        <v>127</v>
      </c>
      <c r="I169" s="22" t="s">
        <v>128</v>
      </c>
      <c r="J169" s="22">
        <f>NETWORKDAYS(Christus_Emp_Table[[#This Row],[From Date:]],Christus_Emp_Table[[#This Row],[To Date:]])</f>
        <v>1</v>
      </c>
      <c r="L169" s="22">
        <f>_xlfn.XLOOKUP(Christus_Emp_Table[[#This Row],[Analyst Name:]],Table1[Analyst Name],Table1[Lead])</f>
        <v>0</v>
      </c>
    </row>
    <row r="170" spans="1:12" x14ac:dyDescent="0.35">
      <c r="A170" s="21" t="s">
        <v>51</v>
      </c>
      <c r="B170" s="22" t="str">
        <f>_xlfn.XLOOKUP(Christus_Emp_Table[[#This Row],[Analyst Name:]],Table1[Analyst Name],Table1[Deloitte Email ID])</f>
        <v>ankitaroy2@deloitte.com</v>
      </c>
      <c r="C170" s="22" t="str">
        <f>_xlfn.XLOOKUP(Christus_Emp_Table[[#This Row],[Analyst Name:]],Table1[Analyst Name],Table1[Module])</f>
        <v>EC/DC</v>
      </c>
      <c r="D170" s="22" t="str">
        <f>_xlfn.XLOOKUP(Christus_Emp_Table[[#This Row],[Analyst Name:]],Table1[Analyst Name],Table1[Location])</f>
        <v>BLR</v>
      </c>
      <c r="E170" s="22" t="s">
        <v>127</v>
      </c>
      <c r="F170" s="17">
        <v>45849</v>
      </c>
      <c r="G170" s="17">
        <v>45849</v>
      </c>
      <c r="H170" s="22" t="s">
        <v>127</v>
      </c>
      <c r="I170" s="22" t="s">
        <v>128</v>
      </c>
      <c r="J170" s="22">
        <f>NETWORKDAYS(Christus_Emp_Table[[#This Row],[From Date:]],Christus_Emp_Table[[#This Row],[To Date:]])</f>
        <v>1</v>
      </c>
      <c r="L170" s="22">
        <f>_xlfn.XLOOKUP(Christus_Emp_Table[[#This Row],[Analyst Name:]],Table1[Analyst Name],Table1[Lead])</f>
        <v>0</v>
      </c>
    </row>
    <row r="171" spans="1:12" x14ac:dyDescent="0.35">
      <c r="A171" s="21" t="s">
        <v>51</v>
      </c>
      <c r="B171" s="22" t="str">
        <f>_xlfn.XLOOKUP(Christus_Emp_Table[[#This Row],[Analyst Name:]],Table1[Analyst Name],Table1[Deloitte Email ID])</f>
        <v>ankitaroy2@deloitte.com</v>
      </c>
      <c r="C171" s="22" t="str">
        <f>_xlfn.XLOOKUP(Christus_Emp_Table[[#This Row],[Analyst Name:]],Table1[Analyst Name],Table1[Module])</f>
        <v>EC/DC</v>
      </c>
      <c r="D171" s="22" t="str">
        <f>_xlfn.XLOOKUP(Christus_Emp_Table[[#This Row],[Analyst Name:]],Table1[Analyst Name],Table1[Location])</f>
        <v>BLR</v>
      </c>
      <c r="E171" s="22" t="s">
        <v>127</v>
      </c>
      <c r="F171" s="17">
        <v>45868</v>
      </c>
      <c r="G171" s="17">
        <v>45869</v>
      </c>
      <c r="H171" s="22" t="s">
        <v>127</v>
      </c>
      <c r="I171" s="22" t="s">
        <v>128</v>
      </c>
      <c r="J171" s="22">
        <f>NETWORKDAYS(Christus_Emp_Table[[#This Row],[From Date:]],Christus_Emp_Table[[#This Row],[To Date:]])</f>
        <v>2</v>
      </c>
      <c r="L171" s="22">
        <f>_xlfn.XLOOKUP(Christus_Emp_Table[[#This Row],[Analyst Name:]],Table1[Analyst Name],Table1[Lead])</f>
        <v>0</v>
      </c>
    </row>
    <row r="172" spans="1:12" x14ac:dyDescent="0.35">
      <c r="A172" s="21" t="s">
        <v>25</v>
      </c>
      <c r="B172" s="22" t="str">
        <f>_xlfn.XLOOKUP(Christus_Emp_Table[[#This Row],[Analyst Name:]],Table1[Analyst Name],Table1[Deloitte Email ID])</f>
        <v>apriyankapravalli@deloitte.com</v>
      </c>
      <c r="C172" s="22" t="str">
        <f>_xlfn.XLOOKUP(Christus_Emp_Table[[#This Row],[Analyst Name:]],Table1[Analyst Name],Table1[Module])</f>
        <v>Reporting</v>
      </c>
      <c r="D172" s="22" t="str">
        <f>_xlfn.XLOOKUP(Christus_Emp_Table[[#This Row],[Analyst Name:]],Table1[Analyst Name],Table1[Location])</f>
        <v>HYD</v>
      </c>
      <c r="E172" s="22" t="s">
        <v>127</v>
      </c>
      <c r="F172" s="17">
        <v>45868</v>
      </c>
      <c r="G172" s="17">
        <v>45869</v>
      </c>
      <c r="H172" s="22" t="s">
        <v>127</v>
      </c>
      <c r="I172" s="22" t="s">
        <v>128</v>
      </c>
      <c r="J172" s="22">
        <f>NETWORKDAYS(Christus_Emp_Table[[#This Row],[From Date:]],Christus_Emp_Table[[#This Row],[To Date:]])</f>
        <v>2</v>
      </c>
      <c r="L172" s="22">
        <f>_xlfn.XLOOKUP(Christus_Emp_Table[[#This Row],[Analyst Name:]],Table1[Analyst Name],Table1[Lead])</f>
        <v>0</v>
      </c>
    </row>
    <row r="173" spans="1:12" x14ac:dyDescent="0.35">
      <c r="A173" s="21" t="s">
        <v>70</v>
      </c>
      <c r="B173" s="22" t="str">
        <f>_xlfn.XLOOKUP(Christus_Emp_Table[[#This Row],[Analyst Name:]],Table1[Analyst Name],Table1[Deloitte Email ID])</f>
        <v>amisshaw@deloitte.com</v>
      </c>
      <c r="C173" s="22" t="str">
        <f>_xlfn.XLOOKUP(Christus_Emp_Table[[#This Row],[Analyst Name:]],Table1[Analyst Name],Table1[Module])</f>
        <v>Automation</v>
      </c>
      <c r="D173" s="22" t="str">
        <f>_xlfn.XLOOKUP(Christus_Emp_Table[[#This Row],[Analyst Name:]],Table1[Analyst Name],Table1[Location])</f>
        <v>MUM</v>
      </c>
      <c r="E173" s="19" t="s">
        <v>112</v>
      </c>
      <c r="F173" s="17">
        <v>45839</v>
      </c>
      <c r="G173" s="17">
        <v>45839</v>
      </c>
      <c r="H173" s="22" t="s">
        <v>129</v>
      </c>
      <c r="I173" s="22" t="s">
        <v>128</v>
      </c>
      <c r="J173" s="22">
        <f>NETWORKDAYS(Christus_Emp_Table[[#This Row],[From Date:]],Christus_Emp_Table[[#This Row],[To Date:]])</f>
        <v>1</v>
      </c>
      <c r="L173" s="22" t="str">
        <f>_xlfn.XLOOKUP(Christus_Emp_Table[[#This Row],[Analyst Name:]],Table1[Analyst Name],Table1[Lead])</f>
        <v>Nitish Kumar</v>
      </c>
    </row>
    <row r="174" spans="1:12" x14ac:dyDescent="0.35">
      <c r="A174" s="21" t="s">
        <v>61</v>
      </c>
      <c r="B174" s="22" t="str">
        <f>_xlfn.XLOOKUP(Christus_Emp_Table[[#This Row],[Analyst Name:]],Table1[Analyst Name],Table1[Deloitte Email ID])</f>
        <v>pbraj@deloitte.com</v>
      </c>
      <c r="C174" s="22" t="str">
        <f>_xlfn.XLOOKUP(Christus_Emp_Table[[#This Row],[Analyst Name:]],Table1[Analyst Name],Table1[Module])</f>
        <v>Automation</v>
      </c>
      <c r="D174" s="22" t="str">
        <f>_xlfn.XLOOKUP(Christus_Emp_Table[[#This Row],[Analyst Name:]],Table1[Analyst Name],Table1[Location])</f>
        <v>BLR</v>
      </c>
      <c r="E174" s="19" t="s">
        <v>112</v>
      </c>
      <c r="F174" s="17">
        <v>45841</v>
      </c>
      <c r="G174" s="17">
        <v>45841</v>
      </c>
      <c r="H174" s="22" t="s">
        <v>129</v>
      </c>
      <c r="I174" s="22" t="s">
        <v>128</v>
      </c>
      <c r="J174" s="22">
        <f>NETWORKDAYS(Christus_Emp_Table[[#This Row],[From Date:]],Christus_Emp_Table[[#This Row],[To Date:]])</f>
        <v>1</v>
      </c>
      <c r="L174" s="22" t="str">
        <f>_xlfn.XLOOKUP(Christus_Emp_Table[[#This Row],[Analyst Name:]],Table1[Analyst Name],Table1[Lead])</f>
        <v>Nitish Kumar</v>
      </c>
    </row>
    <row r="175" spans="1:12" x14ac:dyDescent="0.35">
      <c r="A175" s="21" t="s">
        <v>61</v>
      </c>
      <c r="B175" s="22" t="str">
        <f>_xlfn.XLOOKUP(Christus_Emp_Table[[#This Row],[Analyst Name:]],Table1[Analyst Name],Table1[Deloitte Email ID])</f>
        <v>pbraj@deloitte.com</v>
      </c>
      <c r="C175" s="22" t="str">
        <f>_xlfn.XLOOKUP(Christus_Emp_Table[[#This Row],[Analyst Name:]],Table1[Analyst Name],Table1[Module])</f>
        <v>Automation</v>
      </c>
      <c r="D175" s="22" t="str">
        <f>_xlfn.XLOOKUP(Christus_Emp_Table[[#This Row],[Analyst Name:]],Table1[Analyst Name],Table1[Location])</f>
        <v>BLR</v>
      </c>
      <c r="E175" s="22" t="s">
        <v>130</v>
      </c>
      <c r="F175" s="17">
        <v>45866</v>
      </c>
      <c r="G175" s="17">
        <v>45866</v>
      </c>
      <c r="H175" s="22" t="s">
        <v>130</v>
      </c>
      <c r="I175" s="22" t="s">
        <v>128</v>
      </c>
      <c r="J175" s="22">
        <f>NETWORKDAYS(Christus_Emp_Table[[#This Row],[From Date:]],Christus_Emp_Table[[#This Row],[To Date:]])</f>
        <v>1</v>
      </c>
      <c r="L175" s="22" t="str">
        <f>_xlfn.XLOOKUP(Christus_Emp_Table[[#This Row],[Analyst Name:]],Table1[Analyst Name],Table1[Lead])</f>
        <v>Nitish Kumar</v>
      </c>
    </row>
    <row r="176" spans="1:12" x14ac:dyDescent="0.35">
      <c r="A176" s="21" t="s">
        <v>45</v>
      </c>
      <c r="B176" s="22" t="str">
        <f>_xlfn.XLOOKUP(Christus_Emp_Table[[#This Row],[Analyst Name:]],Table1[Analyst Name],Table1[Deloitte Email ID])</f>
        <v>divmaheshwari@deloitte.com</v>
      </c>
      <c r="C176" s="22" t="str">
        <f>_xlfn.XLOOKUP(Christus_Emp_Table[[#This Row],[Analyst Name:]],Table1[Analyst Name],Table1[Module])</f>
        <v>MyChart</v>
      </c>
      <c r="D176" s="22" t="str">
        <f>_xlfn.XLOOKUP(Christus_Emp_Table[[#This Row],[Analyst Name:]],Table1[Analyst Name],Table1[Location])</f>
        <v>GUR</v>
      </c>
      <c r="E176" s="22" t="s">
        <v>130</v>
      </c>
      <c r="F176" s="17">
        <v>45862</v>
      </c>
      <c r="G176" s="17">
        <v>45862</v>
      </c>
      <c r="H176" s="22" t="s">
        <v>130</v>
      </c>
      <c r="I176" s="22" t="s">
        <v>128</v>
      </c>
      <c r="J176" s="22">
        <f>NETWORKDAYS(Christus_Emp_Table[[#This Row],[From Date:]],Christus_Emp_Table[[#This Row],[To Date:]])</f>
        <v>1</v>
      </c>
      <c r="L176" s="22" t="str">
        <f>_xlfn.XLOOKUP(Christus_Emp_Table[[#This Row],[Analyst Name:]],Table1[Analyst Name],Table1[Lead])</f>
        <v>Nitish Kumar</v>
      </c>
    </row>
    <row r="177" spans="1:12" x14ac:dyDescent="0.35">
      <c r="A177" s="21" t="s">
        <v>58</v>
      </c>
      <c r="B177" s="22" t="str">
        <f>_xlfn.XLOOKUP(Christus_Emp_Table[[#This Row],[Analyst Name:]],Table1[Analyst Name],Table1[Deloitte Email ID])</f>
        <v>rmbabu@deloitte.com</v>
      </c>
      <c r="C177" s="22" t="str">
        <f>_xlfn.XLOOKUP(Christus_Emp_Table[[#This Row],[Analyst Name:]],Table1[Analyst Name],Table1[Module])</f>
        <v>ECLink</v>
      </c>
      <c r="D177" s="22" t="str">
        <f>_xlfn.XLOOKUP(Christus_Emp_Table[[#This Row],[Analyst Name:]],Table1[Analyst Name],Table1[Location])</f>
        <v>HYD</v>
      </c>
      <c r="E177" s="19" t="s">
        <v>112</v>
      </c>
      <c r="F177" s="17">
        <v>45847</v>
      </c>
      <c r="G177" s="17">
        <v>45847</v>
      </c>
      <c r="H177" s="22" t="s">
        <v>129</v>
      </c>
      <c r="I177" s="22" t="s">
        <v>128</v>
      </c>
      <c r="J177" s="22">
        <f>NETWORKDAYS(Christus_Emp_Table[[#This Row],[From Date:]],Christus_Emp_Table[[#This Row],[To Date:]])</f>
        <v>1</v>
      </c>
      <c r="L177" s="22" t="str">
        <f>_xlfn.XLOOKUP(Christus_Emp_Table[[#This Row],[Analyst Name:]],Table1[Analyst Name],Table1[Lead])</f>
        <v>Nitish Kumar</v>
      </c>
    </row>
    <row r="178" spans="1:12" x14ac:dyDescent="0.35">
      <c r="A178" s="21" t="s">
        <v>58</v>
      </c>
      <c r="B178" s="22" t="str">
        <f>_xlfn.XLOOKUP(Christus_Emp_Table[[#This Row],[Analyst Name:]],Table1[Analyst Name],Table1[Deloitte Email ID])</f>
        <v>rmbabu@deloitte.com</v>
      </c>
      <c r="C178" s="22" t="str">
        <f>_xlfn.XLOOKUP(Christus_Emp_Table[[#This Row],[Analyst Name:]],Table1[Analyst Name],Table1[Module])</f>
        <v>ECLink</v>
      </c>
      <c r="D178" s="22" t="str">
        <f>_xlfn.XLOOKUP(Christus_Emp_Table[[#This Row],[Analyst Name:]],Table1[Analyst Name],Table1[Location])</f>
        <v>HYD</v>
      </c>
      <c r="E178" s="22" t="s">
        <v>130</v>
      </c>
      <c r="F178" s="17">
        <v>45862</v>
      </c>
      <c r="G178" s="17">
        <v>45862</v>
      </c>
      <c r="H178" s="22" t="s">
        <v>130</v>
      </c>
      <c r="I178" s="22" t="s">
        <v>128</v>
      </c>
      <c r="J178" s="22">
        <f>NETWORKDAYS(Christus_Emp_Table[[#This Row],[From Date:]],Christus_Emp_Table[[#This Row],[To Date:]])</f>
        <v>1</v>
      </c>
      <c r="L178" s="22" t="str">
        <f>_xlfn.XLOOKUP(Christus_Emp_Table[[#This Row],[Analyst Name:]],Table1[Analyst Name],Table1[Lead])</f>
        <v>Nitish Kumar</v>
      </c>
    </row>
    <row r="179" spans="1:12" x14ac:dyDescent="0.35">
      <c r="A179" s="21" t="s">
        <v>41</v>
      </c>
      <c r="B179" s="22" t="str">
        <f>_xlfn.XLOOKUP(Christus_Emp_Table[[#This Row],[Analyst Name:]],Table1[Analyst Name],Table1[Deloitte Email ID])</f>
        <v>mpavkumar@deloitte.com</v>
      </c>
      <c r="C179" s="22" t="str">
        <f>_xlfn.XLOOKUP(Christus_Emp_Table[[#This Row],[Analyst Name:]],Table1[Analyst Name],Table1[Module])</f>
        <v>MyChart</v>
      </c>
      <c r="D179" s="22" t="str">
        <f>_xlfn.XLOOKUP(Christus_Emp_Table[[#This Row],[Analyst Name:]],Table1[Analyst Name],Table1[Location])</f>
        <v>HYD</v>
      </c>
      <c r="E179" s="19" t="s">
        <v>112</v>
      </c>
      <c r="F179" s="17">
        <v>45862</v>
      </c>
      <c r="G179" s="17">
        <v>45863</v>
      </c>
      <c r="H179" s="22" t="s">
        <v>129</v>
      </c>
      <c r="I179" s="22" t="s">
        <v>128</v>
      </c>
      <c r="J179" s="22">
        <f>NETWORKDAYS(Christus_Emp_Table[[#This Row],[From Date:]],Christus_Emp_Table[[#This Row],[To Date:]])</f>
        <v>2</v>
      </c>
      <c r="L179" s="22" t="str">
        <f>_xlfn.XLOOKUP(Christus_Emp_Table[[#This Row],[Analyst Name:]],Table1[Analyst Name],Table1[Lead])</f>
        <v>Nitish Kumar</v>
      </c>
    </row>
    <row r="180" spans="1:12" x14ac:dyDescent="0.35">
      <c r="A180" s="21" t="s">
        <v>43</v>
      </c>
      <c r="B180" s="22" t="str">
        <f>_xlfn.XLOOKUP(Christus_Emp_Table[[#This Row],[Analyst Name:]],Table1[Analyst Name],Table1[Deloitte Email ID])</f>
        <v>frai@deloitte.com</v>
      </c>
      <c r="C180" s="22" t="str">
        <f>_xlfn.XLOOKUP(Christus_Emp_Table[[#This Row],[Analyst Name:]],Table1[Analyst Name],Table1[Module])</f>
        <v>MyChart</v>
      </c>
      <c r="D180" s="22" t="str">
        <f>_xlfn.XLOOKUP(Christus_Emp_Table[[#This Row],[Analyst Name:]],Table1[Analyst Name],Table1[Location])</f>
        <v>HYD</v>
      </c>
      <c r="E180" s="19" t="s">
        <v>112</v>
      </c>
      <c r="F180" s="17">
        <v>45842</v>
      </c>
      <c r="G180" s="17">
        <v>45842</v>
      </c>
      <c r="H180" s="22" t="s">
        <v>129</v>
      </c>
      <c r="I180" s="22" t="s">
        <v>128</v>
      </c>
      <c r="J180" s="22">
        <f>NETWORKDAYS(Christus_Emp_Table[[#This Row],[From Date:]],Christus_Emp_Table[[#This Row],[To Date:]])</f>
        <v>1</v>
      </c>
      <c r="L180" s="22" t="str">
        <f>_xlfn.XLOOKUP(Christus_Emp_Table[[#This Row],[Analyst Name:]],Table1[Analyst Name],Table1[Lead])</f>
        <v>Nitish Kumar</v>
      </c>
    </row>
    <row r="181" spans="1:12" x14ac:dyDescent="0.35">
      <c r="A181" s="21" t="s">
        <v>21</v>
      </c>
      <c r="B181" s="22" t="str">
        <f>_xlfn.XLOOKUP(Christus_Emp_Table[[#This Row],[Analyst Name:]],Table1[Analyst Name],Table1[Deloitte Email ID])</f>
        <v>vbalasodongale@deloitte.com</v>
      </c>
      <c r="C181" s="22" t="str">
        <f>_xlfn.XLOOKUP(Christus_Emp_Table[[#This Row],[Analyst Name:]],Table1[Analyst Name],Table1[Module])</f>
        <v>Reporting</v>
      </c>
      <c r="D181" s="22" t="str">
        <f>_xlfn.XLOOKUP(Christus_Emp_Table[[#This Row],[Analyst Name:]],Table1[Analyst Name],Table1[Location])</f>
        <v>HYD</v>
      </c>
      <c r="E181" s="22" t="s">
        <v>127</v>
      </c>
      <c r="F181" s="17">
        <v>45855</v>
      </c>
      <c r="G181" s="17">
        <v>45856</v>
      </c>
      <c r="H181" s="22" t="s">
        <v>127</v>
      </c>
      <c r="I181" s="22" t="s">
        <v>128</v>
      </c>
      <c r="J181" s="22">
        <f>NETWORKDAYS(Christus_Emp_Table[[#This Row],[From Date:]],Christus_Emp_Table[[#This Row],[To Date:]])</f>
        <v>2</v>
      </c>
      <c r="L181" s="22">
        <f>_xlfn.XLOOKUP(Christus_Emp_Table[[#This Row],[Analyst Name:]],Table1[Analyst Name],Table1[Lead])</f>
        <v>0</v>
      </c>
    </row>
    <row r="182" spans="1:12" x14ac:dyDescent="0.35">
      <c r="A182" s="21" t="s">
        <v>15</v>
      </c>
      <c r="B182" s="22" t="str">
        <f>_xlfn.XLOOKUP(Christus_Emp_Table[[#This Row],[Analyst Name:]],Table1[Analyst Name],Table1[Deloitte Email ID])</f>
        <v>jbelel@deloitte.com</v>
      </c>
      <c r="C182" s="22" t="str">
        <f>_xlfn.XLOOKUP(Christus_Emp_Table[[#This Row],[Analyst Name:]],Table1[Analyst Name],Table1[Module])</f>
        <v>Reporting</v>
      </c>
      <c r="D182" s="22" t="str">
        <f>_xlfn.XLOOKUP(Christus_Emp_Table[[#This Row],[Analyst Name:]],Table1[Analyst Name],Table1[Location])</f>
        <v>MUM</v>
      </c>
      <c r="E182" s="19" t="s">
        <v>112</v>
      </c>
      <c r="F182" s="17">
        <v>45859</v>
      </c>
      <c r="G182" s="17">
        <v>45859</v>
      </c>
      <c r="H182" s="22" t="s">
        <v>129</v>
      </c>
      <c r="I182" s="22" t="s">
        <v>128</v>
      </c>
      <c r="J182" s="22">
        <f>NETWORKDAYS(Christus_Emp_Table[[#This Row],[From Date:]],Christus_Emp_Table[[#This Row],[To Date:]])</f>
        <v>1</v>
      </c>
      <c r="L182" s="22" t="str">
        <f>_xlfn.XLOOKUP(Christus_Emp_Table[[#This Row],[Analyst Name:]],Table1[Analyst Name],Table1[Lead])</f>
        <v>Tanima Debmallik/Nitish Kumar</v>
      </c>
    </row>
    <row r="183" spans="1:12" x14ac:dyDescent="0.35">
      <c r="A183" s="21" t="s">
        <v>15</v>
      </c>
      <c r="B183" s="22" t="str">
        <f>_xlfn.XLOOKUP(Christus_Emp_Table[[#This Row],[Analyst Name:]],Table1[Analyst Name],Table1[Deloitte Email ID])</f>
        <v>jbelel@deloitte.com</v>
      </c>
      <c r="C183" s="22" t="str">
        <f>_xlfn.XLOOKUP(Christus_Emp_Table[[#This Row],[Analyst Name:]],Table1[Analyst Name],Table1[Module])</f>
        <v>Reporting</v>
      </c>
      <c r="D183" s="22" t="str">
        <f>_xlfn.XLOOKUP(Christus_Emp_Table[[#This Row],[Analyst Name:]],Table1[Analyst Name],Table1[Location])</f>
        <v>MUM</v>
      </c>
      <c r="E183" s="22" t="s">
        <v>127</v>
      </c>
      <c r="F183" s="17">
        <v>45867</v>
      </c>
      <c r="G183" s="17">
        <v>45868</v>
      </c>
      <c r="H183" s="22" t="s">
        <v>127</v>
      </c>
      <c r="I183" s="22" t="s">
        <v>128</v>
      </c>
      <c r="J183" s="22">
        <f>NETWORKDAYS(Christus_Emp_Table[[#This Row],[From Date:]],Christus_Emp_Table[[#This Row],[To Date:]])</f>
        <v>2</v>
      </c>
      <c r="L183" s="22" t="str">
        <f>_xlfn.XLOOKUP(Christus_Emp_Table[[#This Row],[Analyst Name:]],Table1[Analyst Name],Table1[Lead])</f>
        <v>Tanima Debmallik/Nitish Kumar</v>
      </c>
    </row>
    <row r="184" spans="1:12" x14ac:dyDescent="0.35">
      <c r="A184" s="21" t="s">
        <v>11</v>
      </c>
      <c r="B184" s="22" t="str">
        <f>_xlfn.XLOOKUP(Christus_Emp_Table[[#This Row],[Analyst Name:]],Table1[Analyst Name],Table1[Deloitte Email ID])</f>
        <v>bharkumari@deloitte.com</v>
      </c>
      <c r="C184" s="22" t="str">
        <f>_xlfn.XLOOKUP(Christus_Emp_Table[[#This Row],[Analyst Name:]],Table1[Analyst Name],Table1[Module])</f>
        <v>Reporting</v>
      </c>
      <c r="D184" s="22" t="str">
        <f>_xlfn.XLOOKUP(Christus_Emp_Table[[#This Row],[Analyst Name:]],Table1[Analyst Name],Table1[Location])</f>
        <v>BLR</v>
      </c>
      <c r="E184" s="22" t="s">
        <v>130</v>
      </c>
      <c r="F184" s="17">
        <v>45847</v>
      </c>
      <c r="G184" s="17">
        <v>45847</v>
      </c>
      <c r="H184" s="22" t="s">
        <v>130</v>
      </c>
      <c r="I184" s="22" t="s">
        <v>128</v>
      </c>
      <c r="J184" s="22">
        <f>NETWORKDAYS(Christus_Emp_Table[[#This Row],[From Date:]],Christus_Emp_Table[[#This Row],[To Date:]])</f>
        <v>1</v>
      </c>
      <c r="L184" s="22" t="str">
        <f>_xlfn.XLOOKUP(Christus_Emp_Table[[#This Row],[Analyst Name:]],Table1[Analyst Name],Table1[Lead])</f>
        <v>Nitish Kumar</v>
      </c>
    </row>
    <row r="185" spans="1:12" x14ac:dyDescent="0.35">
      <c r="A185" s="21" t="s">
        <v>6</v>
      </c>
      <c r="B185" s="22" t="str">
        <f>_xlfn.XLOOKUP(Christus_Emp_Table[[#This Row],[Analyst Name:]],Table1[Analyst Name],Table1[Deloitte Email ID])</f>
        <v>nitishkumar44@deloitte.com</v>
      </c>
      <c r="C185" s="22" t="str">
        <f>_xlfn.XLOOKUP(Christus_Emp_Table[[#This Row],[Analyst Name:]],Table1[Analyst Name],Table1[Module])</f>
        <v>Reporting</v>
      </c>
      <c r="D185" s="22" t="str">
        <f>_xlfn.XLOOKUP(Christus_Emp_Table[[#This Row],[Analyst Name:]],Table1[Analyst Name],Table1[Location])</f>
        <v>BLR</v>
      </c>
      <c r="E185" s="22" t="s">
        <v>127</v>
      </c>
      <c r="F185" s="17">
        <v>45845</v>
      </c>
      <c r="G185" s="17">
        <v>45847</v>
      </c>
      <c r="H185" s="22" t="s">
        <v>127</v>
      </c>
      <c r="I185" s="22" t="s">
        <v>128</v>
      </c>
      <c r="J185" s="22">
        <f>NETWORKDAYS(Christus_Emp_Table[[#This Row],[From Date:]],Christus_Emp_Table[[#This Row],[To Date:]])</f>
        <v>3</v>
      </c>
      <c r="L185" s="22">
        <f>_xlfn.XLOOKUP(Christus_Emp_Table[[#This Row],[Analyst Name:]],Table1[Analyst Name],Table1[Lead])</f>
        <v>0</v>
      </c>
    </row>
    <row r="186" spans="1:12" x14ac:dyDescent="0.35">
      <c r="A186" s="21" t="s">
        <v>29</v>
      </c>
      <c r="B186" s="22" t="str">
        <f>_xlfn.XLOOKUP(Christus_Emp_Table[[#This Row],[Analyst Name:]],Table1[Analyst Name],Table1[Deloitte Email ID])</f>
        <v>gigollapudi@deloitte.com</v>
      </c>
      <c r="C186" s="22" t="str">
        <f>_xlfn.XLOOKUP(Christus_Emp_Table[[#This Row],[Analyst Name:]],Table1[Analyst Name],Table1[Module])</f>
        <v>Reporting</v>
      </c>
      <c r="D186" s="22" t="str">
        <f>_xlfn.XLOOKUP(Christus_Emp_Table[[#This Row],[Analyst Name:]],Table1[Analyst Name],Table1[Location])</f>
        <v>HYD</v>
      </c>
      <c r="E186" s="22" t="s">
        <v>127</v>
      </c>
      <c r="F186" s="17">
        <v>45882</v>
      </c>
      <c r="G186" s="17">
        <v>45883</v>
      </c>
      <c r="H186" s="22" t="s">
        <v>127</v>
      </c>
      <c r="I186" s="22" t="s">
        <v>128</v>
      </c>
      <c r="J186" s="22">
        <f>NETWORKDAYS(Christus_Emp_Table[[#This Row],[From Date:]],Christus_Emp_Table[[#This Row],[To Date:]])</f>
        <v>2</v>
      </c>
      <c r="L186" s="22" t="str">
        <f>_xlfn.XLOOKUP(Christus_Emp_Table[[#This Row],[Analyst Name:]],Table1[Analyst Name],Table1[Lead])</f>
        <v>Jagannath Belel</v>
      </c>
    </row>
    <row r="187" spans="1:12" x14ac:dyDescent="0.35">
      <c r="A187" s="21" t="s">
        <v>75</v>
      </c>
      <c r="B187" s="22" t="str">
        <f>_xlfn.XLOOKUP(Christus_Emp_Table[[#This Row],[Analyst Name:]],Table1[Analyst Name],Table1[Deloitte Email ID])</f>
        <v>stanuja@deloitte.com</v>
      </c>
      <c r="C187" s="22" t="str">
        <f>_xlfn.XLOOKUP(Christus_Emp_Table[[#This Row],[Analyst Name:]],Table1[Analyst Name],Table1[Module])</f>
        <v>QA</v>
      </c>
      <c r="D187" s="22" t="str">
        <f>_xlfn.XLOOKUP(Christus_Emp_Table[[#This Row],[Analyst Name:]],Table1[Analyst Name],Table1[Location])</f>
        <v>HYD</v>
      </c>
      <c r="E187" s="22" t="s">
        <v>127</v>
      </c>
      <c r="F187" s="17">
        <v>45897</v>
      </c>
      <c r="G187" s="17">
        <v>45898</v>
      </c>
      <c r="H187" s="22" t="s">
        <v>127</v>
      </c>
      <c r="I187" s="22" t="s">
        <v>128</v>
      </c>
      <c r="J187" s="22">
        <f>NETWORKDAYS(Christus_Emp_Table[[#This Row],[From Date:]],Christus_Emp_Table[[#This Row],[To Date:]])</f>
        <v>2</v>
      </c>
      <c r="L187" s="22" t="str">
        <f>_xlfn.XLOOKUP(Christus_Emp_Table[[#This Row],[Analyst Name:]],Table1[Analyst Name],Table1[Lead])</f>
        <v>Ankita Roy</v>
      </c>
    </row>
    <row r="188" spans="1:12" x14ac:dyDescent="0.35">
      <c r="A188" s="21" t="s">
        <v>36</v>
      </c>
      <c r="B188" s="22" t="str">
        <f>_xlfn.XLOOKUP(Christus_Emp_Table[[#This Row],[Analyst Name:]],Table1[Analyst Name],Table1[Deloitte Email ID])</f>
        <v>jpaul4@deloitte.com</v>
      </c>
      <c r="C188" s="22" t="str">
        <f>_xlfn.XLOOKUP(Christus_Emp_Table[[#This Row],[Analyst Name:]],Table1[Analyst Name],Table1[Module])</f>
        <v>Bridges</v>
      </c>
      <c r="D188" s="22" t="str">
        <f>_xlfn.XLOOKUP(Christus_Emp_Table[[#This Row],[Analyst Name:]],Table1[Analyst Name],Table1[Location])</f>
        <v>BLR</v>
      </c>
      <c r="E188" s="22" t="s">
        <v>127</v>
      </c>
      <c r="F188" s="17">
        <v>45887</v>
      </c>
      <c r="G188" s="17">
        <v>45888</v>
      </c>
      <c r="H188" s="22" t="s">
        <v>127</v>
      </c>
      <c r="I188" s="22" t="s">
        <v>128</v>
      </c>
      <c r="J188" s="22">
        <f>NETWORKDAYS(Christus_Emp_Table[[#This Row],[From Date:]],Christus_Emp_Table[[#This Row],[To Date:]])</f>
        <v>2</v>
      </c>
      <c r="L188" s="22" t="str">
        <f>_xlfn.XLOOKUP(Christus_Emp_Table[[#This Row],[Analyst Name:]],Table1[Analyst Name],Table1[Lead])</f>
        <v>Parth Zalavadia</v>
      </c>
    </row>
    <row r="189" spans="1:12" x14ac:dyDescent="0.35">
      <c r="A189" s="21" t="s">
        <v>16</v>
      </c>
      <c r="B189" s="22" t="str">
        <f>_xlfn.XLOOKUP(Christus_Emp_Table[[#This Row],[Analyst Name:]],Table1[Analyst Name],Table1[Deloitte Email ID])</f>
        <v>abalagopalan@deloitte.com</v>
      </c>
      <c r="C189" s="22" t="str">
        <f>_xlfn.XLOOKUP(Christus_Emp_Table[[#This Row],[Analyst Name:]],Table1[Analyst Name],Table1[Module])</f>
        <v>Reporting</v>
      </c>
      <c r="D189" s="22" t="str">
        <f>_xlfn.XLOOKUP(Christus_Emp_Table[[#This Row],[Analyst Name:]],Table1[Analyst Name],Table1[Location])</f>
        <v>BLR</v>
      </c>
      <c r="E189" s="19" t="s">
        <v>112</v>
      </c>
      <c r="F189" s="17">
        <v>45870</v>
      </c>
      <c r="G189" s="17">
        <v>45870</v>
      </c>
      <c r="H189" s="22" t="s">
        <v>129</v>
      </c>
      <c r="I189" s="22" t="s">
        <v>128</v>
      </c>
      <c r="J189" s="22">
        <f>NETWORKDAYS(Christus_Emp_Table[[#This Row],[From Date:]],Christus_Emp_Table[[#This Row],[To Date:]])</f>
        <v>1</v>
      </c>
      <c r="L189" s="22" t="str">
        <f>_xlfn.XLOOKUP(Christus_Emp_Table[[#This Row],[Analyst Name:]],Table1[Analyst Name],Table1[Lead])</f>
        <v>Jagannath Belel</v>
      </c>
    </row>
    <row r="190" spans="1:12" x14ac:dyDescent="0.35">
      <c r="A190" s="21" t="s">
        <v>16</v>
      </c>
      <c r="B190" s="22" t="str">
        <f>_xlfn.XLOOKUP(Christus_Emp_Table[[#This Row],[Analyst Name:]],Table1[Analyst Name],Table1[Deloitte Email ID])</f>
        <v>abalagopalan@deloitte.com</v>
      </c>
      <c r="C190" s="22" t="str">
        <f>_xlfn.XLOOKUP(Christus_Emp_Table[[#This Row],[Analyst Name:]],Table1[Analyst Name],Table1[Module])</f>
        <v>Reporting</v>
      </c>
      <c r="D190" s="22" t="str">
        <f>_xlfn.XLOOKUP(Christus_Emp_Table[[#This Row],[Analyst Name:]],Table1[Analyst Name],Table1[Location])</f>
        <v>BLR</v>
      </c>
      <c r="E190" s="22" t="s">
        <v>127</v>
      </c>
      <c r="F190" s="17">
        <v>45887</v>
      </c>
      <c r="G190" s="17">
        <v>45889</v>
      </c>
      <c r="H190" s="22" t="s">
        <v>127</v>
      </c>
      <c r="I190" s="22" t="s">
        <v>128</v>
      </c>
      <c r="J190" s="22">
        <f>NETWORKDAYS(Christus_Emp_Table[[#This Row],[From Date:]],Christus_Emp_Table[[#This Row],[To Date:]])</f>
        <v>3</v>
      </c>
      <c r="L190" s="22" t="str">
        <f>_xlfn.XLOOKUP(Christus_Emp_Table[[#This Row],[Analyst Name:]],Table1[Analyst Name],Table1[Lead])</f>
        <v>Jagannath Belel</v>
      </c>
    </row>
    <row r="191" spans="1:12" x14ac:dyDescent="0.35">
      <c r="A191" s="21" t="s">
        <v>13</v>
      </c>
      <c r="B191" s="22" t="str">
        <f>_xlfn.XLOOKUP(Christus_Emp_Table[[#This Row],[Analyst Name:]],Table1[Analyst Name],Table1[Deloitte Email ID])</f>
        <v>srug@deloitte.com</v>
      </c>
      <c r="C191" s="22" t="str">
        <f>_xlfn.XLOOKUP(Christus_Emp_Table[[#This Row],[Analyst Name:]],Table1[Analyst Name],Table1[Module])</f>
        <v>Reporting</v>
      </c>
      <c r="D191" s="22" t="str">
        <f>_xlfn.XLOOKUP(Christus_Emp_Table[[#This Row],[Analyst Name:]],Table1[Analyst Name],Table1[Location])</f>
        <v>BLR</v>
      </c>
      <c r="E191" s="22" t="s">
        <v>127</v>
      </c>
      <c r="F191" s="17">
        <v>45880</v>
      </c>
      <c r="G191" s="17">
        <v>45880</v>
      </c>
      <c r="H191" s="22" t="s">
        <v>127</v>
      </c>
      <c r="I191" s="22" t="s">
        <v>128</v>
      </c>
      <c r="J191" s="22">
        <f>NETWORKDAYS(Christus_Emp_Table[[#This Row],[From Date:]],Christus_Emp_Table[[#This Row],[To Date:]])</f>
        <v>1</v>
      </c>
      <c r="L191" s="22" t="str">
        <f>_xlfn.XLOOKUP(Christus_Emp_Table[[#This Row],[Analyst Name:]],Table1[Analyst Name],Table1[Lead])</f>
        <v>Jagannath Belel</v>
      </c>
    </row>
    <row r="192" spans="1:12" x14ac:dyDescent="0.35">
      <c r="A192" s="21" t="s">
        <v>68</v>
      </c>
      <c r="B192" s="22" t="str">
        <f>_xlfn.XLOOKUP(Christus_Emp_Table[[#This Row],[Analyst Name:]],Table1[Analyst Name],Table1[Deloitte Email ID])</f>
        <v>anussaha@deloitte.com</v>
      </c>
      <c r="C192" s="22" t="str">
        <f>_xlfn.XLOOKUP(Christus_Emp_Table[[#This Row],[Analyst Name:]],Table1[Analyst Name],Table1[Module])</f>
        <v>Automation</v>
      </c>
      <c r="D192" s="22" t="str">
        <f>_xlfn.XLOOKUP(Christus_Emp_Table[[#This Row],[Analyst Name:]],Table1[Analyst Name],Table1[Location])</f>
        <v>HYD</v>
      </c>
      <c r="E192" s="19" t="s">
        <v>112</v>
      </c>
      <c r="F192" s="17">
        <v>45876</v>
      </c>
      <c r="G192" s="17">
        <v>45876</v>
      </c>
      <c r="H192" s="22" t="s">
        <v>129</v>
      </c>
      <c r="I192" s="22" t="s">
        <v>128</v>
      </c>
      <c r="J192" s="22">
        <f>NETWORKDAYS(Christus_Emp_Table[[#This Row],[From Date:]],Christus_Emp_Table[[#This Row],[To Date:]])</f>
        <v>1</v>
      </c>
      <c r="L192" s="22" t="str">
        <f>_xlfn.XLOOKUP(Christus_Emp_Table[[#This Row],[Analyst Name:]],Table1[Analyst Name],Table1[Lead])</f>
        <v>Nitish Kumar</v>
      </c>
    </row>
    <row r="193" spans="1:12" x14ac:dyDescent="0.35">
      <c r="A193" s="21" t="s">
        <v>68</v>
      </c>
      <c r="B193" s="22" t="str">
        <f>_xlfn.XLOOKUP(Christus_Emp_Table[[#This Row],[Analyst Name:]],Table1[Analyst Name],Table1[Deloitte Email ID])</f>
        <v>anussaha@deloitte.com</v>
      </c>
      <c r="C193" s="22" t="str">
        <f>_xlfn.XLOOKUP(Christus_Emp_Table[[#This Row],[Analyst Name:]],Table1[Analyst Name],Table1[Module])</f>
        <v>Automation</v>
      </c>
      <c r="D193" s="22" t="str">
        <f>_xlfn.XLOOKUP(Christus_Emp_Table[[#This Row],[Analyst Name:]],Table1[Analyst Name],Table1[Location])</f>
        <v>HYD</v>
      </c>
      <c r="E193" s="22" t="s">
        <v>130</v>
      </c>
      <c r="F193" s="17">
        <v>45881</v>
      </c>
      <c r="G193" s="17">
        <v>45881</v>
      </c>
      <c r="H193" s="22" t="s">
        <v>130</v>
      </c>
      <c r="I193" s="22" t="s">
        <v>128</v>
      </c>
      <c r="J193" s="22">
        <f>NETWORKDAYS(Christus_Emp_Table[[#This Row],[From Date:]],Christus_Emp_Table[[#This Row],[To Date:]])</f>
        <v>1</v>
      </c>
      <c r="L193" s="22" t="str">
        <f>_xlfn.XLOOKUP(Christus_Emp_Table[[#This Row],[Analyst Name:]],Table1[Analyst Name],Table1[Lead])</f>
        <v>Nitish Kumar</v>
      </c>
    </row>
    <row r="194" spans="1:12" x14ac:dyDescent="0.35">
      <c r="A194" s="21" t="s">
        <v>68</v>
      </c>
      <c r="B194" s="22" t="str">
        <f>_xlfn.XLOOKUP(Christus_Emp_Table[[#This Row],[Analyst Name:]],Table1[Analyst Name],Table1[Deloitte Email ID])</f>
        <v>anussaha@deloitte.com</v>
      </c>
      <c r="C194" s="22" t="str">
        <f>_xlfn.XLOOKUP(Christus_Emp_Table[[#This Row],[Analyst Name:]],Table1[Analyst Name],Table1[Module])</f>
        <v>Automation</v>
      </c>
      <c r="D194" s="22" t="str">
        <f>_xlfn.XLOOKUP(Christus_Emp_Table[[#This Row],[Analyst Name:]],Table1[Analyst Name],Table1[Location])</f>
        <v>HYD</v>
      </c>
      <c r="E194" s="22" t="s">
        <v>127</v>
      </c>
      <c r="F194" s="17">
        <v>45883</v>
      </c>
      <c r="G194" s="17">
        <v>45883</v>
      </c>
      <c r="H194" s="22" t="s">
        <v>127</v>
      </c>
      <c r="I194" s="22" t="s">
        <v>128</v>
      </c>
      <c r="J194" s="22">
        <f>NETWORKDAYS(Christus_Emp_Table[[#This Row],[From Date:]],Christus_Emp_Table[[#This Row],[To Date:]])</f>
        <v>1</v>
      </c>
      <c r="L194" s="22" t="str">
        <f>_xlfn.XLOOKUP(Christus_Emp_Table[[#This Row],[Analyst Name:]],Table1[Analyst Name],Table1[Lead])</f>
        <v>Nitish Kumar</v>
      </c>
    </row>
    <row r="195" spans="1:12" x14ac:dyDescent="0.35">
      <c r="A195" s="21" t="s">
        <v>66</v>
      </c>
      <c r="B195" s="22" t="str">
        <f>_xlfn.XLOOKUP(Christus_Emp_Table[[#This Row],[Analyst Name:]],Table1[Analyst Name],Table1[Deloitte Email ID])</f>
        <v>akshayakumar@deloitte.com</v>
      </c>
      <c r="C195" s="22" t="str">
        <f>_xlfn.XLOOKUP(Christus_Emp_Table[[#This Row],[Analyst Name:]],Table1[Analyst Name],Table1[Module])</f>
        <v>Automation</v>
      </c>
      <c r="D195" s="22" t="str">
        <f>_xlfn.XLOOKUP(Christus_Emp_Table[[#This Row],[Analyst Name:]],Table1[Analyst Name],Table1[Location])</f>
        <v>BLR</v>
      </c>
      <c r="E195" s="22" t="s">
        <v>127</v>
      </c>
      <c r="F195" s="17">
        <v>45883</v>
      </c>
      <c r="G195" s="17">
        <v>45883</v>
      </c>
      <c r="H195" s="22" t="s">
        <v>127</v>
      </c>
      <c r="I195" s="22" t="s">
        <v>128</v>
      </c>
      <c r="J195" s="22">
        <f>NETWORKDAYS(Christus_Emp_Table[[#This Row],[From Date:]],Christus_Emp_Table[[#This Row],[To Date:]])</f>
        <v>1</v>
      </c>
      <c r="L195" s="22" t="str">
        <f>_xlfn.XLOOKUP(Christus_Emp_Table[[#This Row],[Analyst Name:]],Table1[Analyst Name],Table1[Lead])</f>
        <v>Parth Zalavadia</v>
      </c>
    </row>
    <row r="196" spans="1:12" x14ac:dyDescent="0.35">
      <c r="A196" s="21" t="s">
        <v>52</v>
      </c>
      <c r="B196" s="22" t="str">
        <f>_xlfn.XLOOKUP(Christus_Emp_Table[[#This Row],[Analyst Name:]],Table1[Analyst Name],Table1[Deloitte Email ID])</f>
        <v>Drajitha@deloitte.com</v>
      </c>
      <c r="C196" s="22" t="str">
        <f>_xlfn.XLOOKUP(Christus_Emp_Table[[#This Row],[Analyst Name:]],Table1[Analyst Name],Table1[Module])</f>
        <v>SER</v>
      </c>
      <c r="D196" s="22" t="str">
        <f>_xlfn.XLOOKUP(Christus_Emp_Table[[#This Row],[Analyst Name:]],Table1[Analyst Name],Table1[Location])</f>
        <v>BLR</v>
      </c>
      <c r="E196" s="22" t="s">
        <v>127</v>
      </c>
      <c r="F196" s="17">
        <v>45876</v>
      </c>
      <c r="G196" s="17">
        <v>45877</v>
      </c>
      <c r="H196" s="22" t="s">
        <v>127</v>
      </c>
      <c r="I196" s="22" t="s">
        <v>128</v>
      </c>
      <c r="J196" s="22">
        <f>NETWORKDAYS(Christus_Emp_Table[[#This Row],[From Date:]],Christus_Emp_Table[[#This Row],[To Date:]])</f>
        <v>2</v>
      </c>
      <c r="L196" s="22" t="str">
        <f>_xlfn.XLOOKUP(Christus_Emp_Table[[#This Row],[Analyst Name:]],Table1[Analyst Name],Table1[Lead])</f>
        <v>Ankita Roy</v>
      </c>
    </row>
    <row r="197" spans="1:12" x14ac:dyDescent="0.35">
      <c r="A197" s="21" t="s">
        <v>52</v>
      </c>
      <c r="B197" s="22" t="str">
        <f>_xlfn.XLOOKUP(Christus_Emp_Table[[#This Row],[Analyst Name:]],Table1[Analyst Name],Table1[Deloitte Email ID])</f>
        <v>Drajitha@deloitte.com</v>
      </c>
      <c r="C197" s="22" t="str">
        <f>_xlfn.XLOOKUP(Christus_Emp_Table[[#This Row],[Analyst Name:]],Table1[Analyst Name],Table1[Module])</f>
        <v>SER</v>
      </c>
      <c r="D197" s="22" t="str">
        <f>_xlfn.XLOOKUP(Christus_Emp_Table[[#This Row],[Analyst Name:]],Table1[Analyst Name],Table1[Location])</f>
        <v>BLR</v>
      </c>
      <c r="E197" s="22" t="s">
        <v>127</v>
      </c>
      <c r="F197" s="17">
        <v>45895</v>
      </c>
      <c r="G197" s="17">
        <v>45895</v>
      </c>
      <c r="H197" s="22" t="s">
        <v>127</v>
      </c>
      <c r="I197" s="22" t="s">
        <v>128</v>
      </c>
      <c r="J197" s="22">
        <f>NETWORKDAYS(Christus_Emp_Table[[#This Row],[From Date:]],Christus_Emp_Table[[#This Row],[To Date:]])</f>
        <v>1</v>
      </c>
      <c r="L197" s="22" t="str">
        <f>_xlfn.XLOOKUP(Christus_Emp_Table[[#This Row],[Analyst Name:]],Table1[Analyst Name],Table1[Lead])</f>
        <v>Ankita Roy</v>
      </c>
    </row>
    <row r="198" spans="1:12" x14ac:dyDescent="0.35">
      <c r="A198" s="21" t="s">
        <v>52</v>
      </c>
      <c r="B198" s="22" t="str">
        <f>_xlfn.XLOOKUP(Christus_Emp_Table[[#This Row],[Analyst Name:]],Table1[Analyst Name],Table1[Deloitte Email ID])</f>
        <v>Drajitha@deloitte.com</v>
      </c>
      <c r="C198" s="22" t="str">
        <f>_xlfn.XLOOKUP(Christus_Emp_Table[[#This Row],[Analyst Name:]],Table1[Analyst Name],Table1[Module])</f>
        <v>SER</v>
      </c>
      <c r="D198" s="22" t="str">
        <f>_xlfn.XLOOKUP(Christus_Emp_Table[[#This Row],[Analyst Name:]],Table1[Analyst Name],Table1[Location])</f>
        <v>BLR</v>
      </c>
      <c r="E198" s="19" t="s">
        <v>112</v>
      </c>
      <c r="F198" s="17">
        <v>45897</v>
      </c>
      <c r="G198" s="17">
        <v>45898</v>
      </c>
      <c r="H198" s="22" t="s">
        <v>129</v>
      </c>
      <c r="I198" s="22" t="s">
        <v>128</v>
      </c>
      <c r="J198" s="22">
        <f>NETWORKDAYS(Christus_Emp_Table[[#This Row],[From Date:]],Christus_Emp_Table[[#This Row],[To Date:]])</f>
        <v>2</v>
      </c>
      <c r="L198" s="22" t="str">
        <f>_xlfn.XLOOKUP(Christus_Emp_Table[[#This Row],[Analyst Name:]],Table1[Analyst Name],Table1[Lead])</f>
        <v>Ankita Roy</v>
      </c>
    </row>
    <row r="199" spans="1:12" x14ac:dyDescent="0.35">
      <c r="A199" s="21" t="s">
        <v>51</v>
      </c>
      <c r="B199" s="22" t="str">
        <f>_xlfn.XLOOKUP(Christus_Emp_Table[[#This Row],[Analyst Name:]],Table1[Analyst Name],Table1[Deloitte Email ID])</f>
        <v>ankitaroy2@deloitte.com</v>
      </c>
      <c r="C199" s="22" t="str">
        <f>_xlfn.XLOOKUP(Christus_Emp_Table[[#This Row],[Analyst Name:]],Table1[Analyst Name],Table1[Module])</f>
        <v>EC/DC</v>
      </c>
      <c r="D199" s="22" t="str">
        <f>_xlfn.XLOOKUP(Christus_Emp_Table[[#This Row],[Analyst Name:]],Table1[Analyst Name],Table1[Location])</f>
        <v>BLR</v>
      </c>
      <c r="E199" s="22" t="s">
        <v>127</v>
      </c>
      <c r="F199" s="17">
        <v>45870</v>
      </c>
      <c r="G199" s="17">
        <v>45870</v>
      </c>
      <c r="H199" s="22" t="s">
        <v>127</v>
      </c>
      <c r="I199" s="22" t="s">
        <v>128</v>
      </c>
      <c r="J199" s="22">
        <f>NETWORKDAYS(Christus_Emp_Table[[#This Row],[From Date:]],Christus_Emp_Table[[#This Row],[To Date:]])</f>
        <v>1</v>
      </c>
      <c r="L199" s="22">
        <f>_xlfn.XLOOKUP(Christus_Emp_Table[[#This Row],[Analyst Name:]],Table1[Analyst Name],Table1[Lead])</f>
        <v>0</v>
      </c>
    </row>
    <row r="200" spans="1:12" x14ac:dyDescent="0.35">
      <c r="A200" s="21" t="s">
        <v>72</v>
      </c>
      <c r="B200" s="22" t="str">
        <f>_xlfn.XLOOKUP(Christus_Emp_Table[[#This Row],[Analyst Name:]],Table1[Analyst Name],Table1[Deloitte Email ID])</f>
        <v>susujitha@deloitte.com</v>
      </c>
      <c r="C200" s="22" t="str">
        <f>_xlfn.XLOOKUP(Christus_Emp_Table[[#This Row],[Analyst Name:]],Table1[Analyst Name],Table1[Module])</f>
        <v>QA</v>
      </c>
      <c r="D200" s="22" t="str">
        <f>_xlfn.XLOOKUP(Christus_Emp_Table[[#This Row],[Analyst Name:]],Table1[Analyst Name],Table1[Location])</f>
        <v>HYD</v>
      </c>
      <c r="E200" s="19" t="s">
        <v>112</v>
      </c>
      <c r="F200" s="17">
        <v>45874</v>
      </c>
      <c r="G200" s="17">
        <v>45874</v>
      </c>
      <c r="H200" s="22" t="s">
        <v>129</v>
      </c>
      <c r="I200" s="22" t="s">
        <v>128</v>
      </c>
      <c r="J200" s="22">
        <f>NETWORKDAYS(Christus_Emp_Table[[#This Row],[From Date:]],Christus_Emp_Table[[#This Row],[To Date:]])</f>
        <v>1</v>
      </c>
      <c r="L200" s="22" t="str">
        <f>_xlfn.XLOOKUP(Christus_Emp_Table[[#This Row],[Analyst Name:]],Table1[Analyst Name],Table1[Lead])</f>
        <v>Ankita Roy</v>
      </c>
    </row>
    <row r="201" spans="1:12" x14ac:dyDescent="0.35">
      <c r="A201" s="21" t="s">
        <v>72</v>
      </c>
      <c r="B201" s="22" t="str">
        <f>_xlfn.XLOOKUP(Christus_Emp_Table[[#This Row],[Analyst Name:]],Table1[Analyst Name],Table1[Deloitte Email ID])</f>
        <v>susujitha@deloitte.com</v>
      </c>
      <c r="C201" s="22" t="str">
        <f>_xlfn.XLOOKUP(Christus_Emp_Table[[#This Row],[Analyst Name:]],Table1[Analyst Name],Table1[Module])</f>
        <v>QA</v>
      </c>
      <c r="D201" s="22" t="str">
        <f>_xlfn.XLOOKUP(Christus_Emp_Table[[#This Row],[Analyst Name:]],Table1[Analyst Name],Table1[Location])</f>
        <v>HYD</v>
      </c>
      <c r="E201" s="22" t="s">
        <v>127</v>
      </c>
      <c r="F201" s="17">
        <v>45883</v>
      </c>
      <c r="G201" s="17">
        <v>45883</v>
      </c>
      <c r="H201" s="22" t="s">
        <v>127</v>
      </c>
      <c r="I201" s="22" t="s">
        <v>128</v>
      </c>
      <c r="J201" s="22">
        <f>NETWORKDAYS(Christus_Emp_Table[[#This Row],[From Date:]],Christus_Emp_Table[[#This Row],[To Date:]])</f>
        <v>1</v>
      </c>
      <c r="L201" s="22" t="str">
        <f>_xlfn.XLOOKUP(Christus_Emp_Table[[#This Row],[Analyst Name:]],Table1[Analyst Name],Table1[Lead])</f>
        <v>Ankita Roy</v>
      </c>
    </row>
    <row r="202" spans="1:12" x14ac:dyDescent="0.35">
      <c r="A202" s="21" t="s">
        <v>25</v>
      </c>
      <c r="B202" s="22" t="str">
        <f>_xlfn.XLOOKUP(Christus_Emp_Table[[#This Row],[Analyst Name:]],Table1[Analyst Name],Table1[Deloitte Email ID])</f>
        <v>apriyankapravalli@deloitte.com</v>
      </c>
      <c r="C202" s="22" t="str">
        <f>_xlfn.XLOOKUP(Christus_Emp_Table[[#This Row],[Analyst Name:]],Table1[Analyst Name],Table1[Module])</f>
        <v>Reporting</v>
      </c>
      <c r="D202" s="22" t="str">
        <f>_xlfn.XLOOKUP(Christus_Emp_Table[[#This Row],[Analyst Name:]],Table1[Analyst Name],Table1[Location])</f>
        <v>HYD</v>
      </c>
      <c r="E202" s="22" t="s">
        <v>127</v>
      </c>
      <c r="F202" s="17">
        <v>45870</v>
      </c>
      <c r="G202" s="17">
        <v>45873</v>
      </c>
      <c r="H202" s="22" t="s">
        <v>127</v>
      </c>
      <c r="I202" s="22" t="s">
        <v>128</v>
      </c>
      <c r="J202" s="22">
        <f>NETWORKDAYS(Christus_Emp_Table[[#This Row],[From Date:]],Christus_Emp_Table[[#This Row],[To Date:]])</f>
        <v>2</v>
      </c>
      <c r="L202" s="22">
        <f>_xlfn.XLOOKUP(Christus_Emp_Table[[#This Row],[Analyst Name:]],Table1[Analyst Name],Table1[Lead])</f>
        <v>0</v>
      </c>
    </row>
    <row r="203" spans="1:12" x14ac:dyDescent="0.35">
      <c r="A203" s="21" t="s">
        <v>25</v>
      </c>
      <c r="B203" s="22" t="str">
        <f>_xlfn.XLOOKUP(Christus_Emp_Table[[#This Row],[Analyst Name:]],Table1[Analyst Name],Table1[Deloitte Email ID])</f>
        <v>apriyankapravalli@deloitte.com</v>
      </c>
      <c r="C203" s="22" t="str">
        <f>_xlfn.XLOOKUP(Christus_Emp_Table[[#This Row],[Analyst Name:]],Table1[Analyst Name],Table1[Module])</f>
        <v>Reporting</v>
      </c>
      <c r="D203" s="22" t="str">
        <f>_xlfn.XLOOKUP(Christus_Emp_Table[[#This Row],[Analyst Name:]],Table1[Analyst Name],Table1[Location])</f>
        <v>HYD</v>
      </c>
      <c r="E203" s="22" t="s">
        <v>127</v>
      </c>
      <c r="F203" s="17">
        <v>45887</v>
      </c>
      <c r="G203" s="17">
        <v>45887</v>
      </c>
      <c r="H203" s="22" t="s">
        <v>127</v>
      </c>
      <c r="I203" s="22" t="s">
        <v>128</v>
      </c>
      <c r="J203" s="22">
        <f>NETWORKDAYS(Christus_Emp_Table[[#This Row],[From Date:]],Christus_Emp_Table[[#This Row],[To Date:]])</f>
        <v>1</v>
      </c>
      <c r="L203" s="22">
        <f>_xlfn.XLOOKUP(Christus_Emp_Table[[#This Row],[Analyst Name:]],Table1[Analyst Name],Table1[Lead])</f>
        <v>0</v>
      </c>
    </row>
    <row r="204" spans="1:12" x14ac:dyDescent="0.35">
      <c r="A204" s="21" t="s">
        <v>25</v>
      </c>
      <c r="B204" s="22" t="str">
        <f>_xlfn.XLOOKUP(Christus_Emp_Table[[#This Row],[Analyst Name:]],Table1[Analyst Name],Table1[Deloitte Email ID])</f>
        <v>apriyankapravalli@deloitte.com</v>
      </c>
      <c r="C204" s="22" t="str">
        <f>_xlfn.XLOOKUP(Christus_Emp_Table[[#This Row],[Analyst Name:]],Table1[Analyst Name],Table1[Module])</f>
        <v>Reporting</v>
      </c>
      <c r="D204" s="22" t="str">
        <f>_xlfn.XLOOKUP(Christus_Emp_Table[[#This Row],[Analyst Name:]],Table1[Analyst Name],Table1[Location])</f>
        <v>HYD</v>
      </c>
      <c r="E204" s="22" t="s">
        <v>127</v>
      </c>
      <c r="F204" s="17">
        <v>45897</v>
      </c>
      <c r="G204" s="17">
        <v>45898</v>
      </c>
      <c r="H204" s="22" t="s">
        <v>127</v>
      </c>
      <c r="I204" s="22" t="s">
        <v>128</v>
      </c>
      <c r="J204" s="22">
        <f>NETWORKDAYS(Christus_Emp_Table[[#This Row],[From Date:]],Christus_Emp_Table[[#This Row],[To Date:]])</f>
        <v>2</v>
      </c>
      <c r="L204" s="22">
        <f>_xlfn.XLOOKUP(Christus_Emp_Table[[#This Row],[Analyst Name:]],Table1[Analyst Name],Table1[Lead])</f>
        <v>0</v>
      </c>
    </row>
    <row r="205" spans="1:12" x14ac:dyDescent="0.35">
      <c r="A205" s="21" t="s">
        <v>70</v>
      </c>
      <c r="B205" s="22" t="str">
        <f>_xlfn.XLOOKUP(Christus_Emp_Table[[#This Row],[Analyst Name:]],Table1[Analyst Name],Table1[Deloitte Email ID])</f>
        <v>amisshaw@deloitte.com</v>
      </c>
      <c r="C205" s="22" t="str">
        <f>_xlfn.XLOOKUP(Christus_Emp_Table[[#This Row],[Analyst Name:]],Table1[Analyst Name],Table1[Module])</f>
        <v>Automation</v>
      </c>
      <c r="D205" s="22" t="str">
        <f>_xlfn.XLOOKUP(Christus_Emp_Table[[#This Row],[Analyst Name:]],Table1[Analyst Name],Table1[Location])</f>
        <v>MUM</v>
      </c>
      <c r="E205" s="19" t="s">
        <v>112</v>
      </c>
      <c r="F205" s="17">
        <v>45873</v>
      </c>
      <c r="G205" s="17">
        <v>45873</v>
      </c>
      <c r="H205" s="22" t="s">
        <v>129</v>
      </c>
      <c r="I205" s="22" t="s">
        <v>128</v>
      </c>
      <c r="J205" s="22">
        <f>NETWORKDAYS(Christus_Emp_Table[[#This Row],[From Date:]],Christus_Emp_Table[[#This Row],[To Date:]])</f>
        <v>1</v>
      </c>
      <c r="L205" s="22" t="str">
        <f>_xlfn.XLOOKUP(Christus_Emp_Table[[#This Row],[Analyst Name:]],Table1[Analyst Name],Table1[Lead])</f>
        <v>Nitish Kumar</v>
      </c>
    </row>
    <row r="206" spans="1:12" x14ac:dyDescent="0.35">
      <c r="A206" s="21" t="s">
        <v>70</v>
      </c>
      <c r="B206" s="22" t="str">
        <f>_xlfn.XLOOKUP(Christus_Emp_Table[[#This Row],[Analyst Name:]],Table1[Analyst Name],Table1[Deloitte Email ID])</f>
        <v>amisshaw@deloitte.com</v>
      </c>
      <c r="C206" s="22" t="str">
        <f>_xlfn.XLOOKUP(Christus_Emp_Table[[#This Row],[Analyst Name:]],Table1[Analyst Name],Table1[Module])</f>
        <v>Automation</v>
      </c>
      <c r="D206" s="22" t="str">
        <f>_xlfn.XLOOKUP(Christus_Emp_Table[[#This Row],[Analyst Name:]],Table1[Analyst Name],Table1[Location])</f>
        <v>MUM</v>
      </c>
      <c r="E206" s="22" t="s">
        <v>127</v>
      </c>
      <c r="F206" s="17">
        <v>45897</v>
      </c>
      <c r="G206" s="17">
        <v>45897</v>
      </c>
      <c r="H206" s="22" t="s">
        <v>127</v>
      </c>
      <c r="I206" s="22" t="s">
        <v>128</v>
      </c>
      <c r="J206" s="22">
        <f>NETWORKDAYS(Christus_Emp_Table[[#This Row],[From Date:]],Christus_Emp_Table[[#This Row],[To Date:]])</f>
        <v>1</v>
      </c>
      <c r="L206" s="22" t="str">
        <f>_xlfn.XLOOKUP(Christus_Emp_Table[[#This Row],[Analyst Name:]],Table1[Analyst Name],Table1[Lead])</f>
        <v>Nitish Kumar</v>
      </c>
    </row>
    <row r="207" spans="1:12" x14ac:dyDescent="0.35">
      <c r="A207" s="21" t="s">
        <v>61</v>
      </c>
      <c r="B207" s="22" t="str">
        <f>_xlfn.XLOOKUP(Christus_Emp_Table[[#This Row],[Analyst Name:]],Table1[Analyst Name],Table1[Deloitte Email ID])</f>
        <v>pbraj@deloitte.com</v>
      </c>
      <c r="C207" s="22" t="str">
        <f>_xlfn.XLOOKUP(Christus_Emp_Table[[#This Row],[Analyst Name:]],Table1[Analyst Name],Table1[Module])</f>
        <v>Automation</v>
      </c>
      <c r="D207" s="22" t="str">
        <f>_xlfn.XLOOKUP(Christus_Emp_Table[[#This Row],[Analyst Name:]],Table1[Analyst Name],Table1[Location])</f>
        <v>BLR</v>
      </c>
      <c r="E207" s="19" t="s">
        <v>112</v>
      </c>
      <c r="F207" s="17">
        <v>45894</v>
      </c>
      <c r="G207" s="17">
        <v>45894</v>
      </c>
      <c r="H207" s="22" t="s">
        <v>129</v>
      </c>
      <c r="I207" s="22" t="s">
        <v>128</v>
      </c>
      <c r="J207" s="22">
        <f>NETWORKDAYS(Christus_Emp_Table[[#This Row],[From Date:]],Christus_Emp_Table[[#This Row],[To Date:]])</f>
        <v>1</v>
      </c>
      <c r="L207" s="22" t="str">
        <f>_xlfn.XLOOKUP(Christus_Emp_Table[[#This Row],[Analyst Name:]],Table1[Analyst Name],Table1[Lead])</f>
        <v>Nitish Kumar</v>
      </c>
    </row>
    <row r="208" spans="1:12" x14ac:dyDescent="0.35">
      <c r="A208" s="21" t="s">
        <v>64</v>
      </c>
      <c r="B208" s="22" t="str">
        <f>_xlfn.XLOOKUP(Christus_Emp_Table[[#This Row],[Analyst Name:]],Table1[Analyst Name],Table1[Deloitte Email ID])</f>
        <v>tgupta10@deloitte.com</v>
      </c>
      <c r="C208" s="22" t="str">
        <f>_xlfn.XLOOKUP(Christus_Emp_Table[[#This Row],[Analyst Name:]],Table1[Analyst Name],Table1[Module])</f>
        <v>Automation</v>
      </c>
      <c r="D208" s="22" t="str">
        <f>_xlfn.XLOOKUP(Christus_Emp_Table[[#This Row],[Analyst Name:]],Table1[Analyst Name],Table1[Location])</f>
        <v>HYD</v>
      </c>
      <c r="E208" s="19" t="s">
        <v>112</v>
      </c>
      <c r="F208" s="17">
        <v>45877</v>
      </c>
      <c r="G208" s="17">
        <v>45877</v>
      </c>
      <c r="H208" s="22" t="s">
        <v>129</v>
      </c>
      <c r="I208" s="22" t="s">
        <v>128</v>
      </c>
      <c r="J208" s="22">
        <f>NETWORKDAYS(Christus_Emp_Table[[#This Row],[From Date:]],Christus_Emp_Table[[#This Row],[To Date:]])</f>
        <v>1</v>
      </c>
      <c r="L208" s="22" t="str">
        <f>_xlfn.XLOOKUP(Christus_Emp_Table[[#This Row],[Analyst Name:]],Table1[Analyst Name],Table1[Lead])</f>
        <v>Parth Zalavadia</v>
      </c>
    </row>
    <row r="209" spans="1:12" x14ac:dyDescent="0.35">
      <c r="A209" s="21" t="s">
        <v>64</v>
      </c>
      <c r="B209" s="22" t="str">
        <f>_xlfn.XLOOKUP(Christus_Emp_Table[[#This Row],[Analyst Name:]],Table1[Analyst Name],Table1[Deloitte Email ID])</f>
        <v>tgupta10@deloitte.com</v>
      </c>
      <c r="C209" s="22" t="str">
        <f>_xlfn.XLOOKUP(Christus_Emp_Table[[#This Row],[Analyst Name:]],Table1[Analyst Name],Table1[Module])</f>
        <v>Automation</v>
      </c>
      <c r="D209" s="22" t="str">
        <f>_xlfn.XLOOKUP(Christus_Emp_Table[[#This Row],[Analyst Name:]],Table1[Analyst Name],Table1[Location])</f>
        <v>HYD</v>
      </c>
      <c r="E209" s="19" t="s">
        <v>112</v>
      </c>
      <c r="F209" s="17">
        <v>45888</v>
      </c>
      <c r="G209" s="17">
        <v>45888</v>
      </c>
      <c r="H209" s="22" t="s">
        <v>129</v>
      </c>
      <c r="I209" s="22" t="s">
        <v>128</v>
      </c>
      <c r="J209" s="22">
        <f>NETWORKDAYS(Christus_Emp_Table[[#This Row],[From Date:]],Christus_Emp_Table[[#This Row],[To Date:]])</f>
        <v>1</v>
      </c>
      <c r="L209" s="22" t="str">
        <f>_xlfn.XLOOKUP(Christus_Emp_Table[[#This Row],[Analyst Name:]],Table1[Analyst Name],Table1[Lead])</f>
        <v>Parth Zalavadia</v>
      </c>
    </row>
    <row r="210" spans="1:12" x14ac:dyDescent="0.35">
      <c r="A210" s="21" t="s">
        <v>54</v>
      </c>
      <c r="B210" s="22" t="str">
        <f>_xlfn.XLOOKUP(Christus_Emp_Table[[#This Row],[Analyst Name:]],Table1[Analyst Name],Table1[Deloitte Email ID])</f>
        <v>lakaur@deloitte.com</v>
      </c>
      <c r="C210" s="22" t="str">
        <f>_xlfn.XLOOKUP(Christus_Emp_Table[[#This Row],[Analyst Name:]],Table1[Analyst Name],Table1[Module])</f>
        <v>SER</v>
      </c>
      <c r="D210" s="22" t="str">
        <f>_xlfn.XLOOKUP(Christus_Emp_Table[[#This Row],[Analyst Name:]],Table1[Analyst Name],Table1[Location])</f>
        <v>GUR</v>
      </c>
      <c r="E210" s="22" t="s">
        <v>127</v>
      </c>
      <c r="F210" s="17">
        <v>45880</v>
      </c>
      <c r="G210" s="17">
        <v>45883</v>
      </c>
      <c r="H210" s="22" t="s">
        <v>127</v>
      </c>
      <c r="I210" s="22" t="s">
        <v>128</v>
      </c>
      <c r="J210" s="22">
        <f>NETWORKDAYS(Christus_Emp_Table[[#This Row],[From Date:]],Christus_Emp_Table[[#This Row],[To Date:]])</f>
        <v>4</v>
      </c>
      <c r="L210" s="22" t="str">
        <f>_xlfn.XLOOKUP(Christus_Emp_Table[[#This Row],[Analyst Name:]],Table1[Analyst Name],Table1[Lead])</f>
        <v>Ankita Roy</v>
      </c>
    </row>
    <row r="211" spans="1:12" x14ac:dyDescent="0.35">
      <c r="A211" s="21" t="s">
        <v>45</v>
      </c>
      <c r="B211" s="22" t="str">
        <f>_xlfn.XLOOKUP(Christus_Emp_Table[[#This Row],[Analyst Name:]],Table1[Analyst Name],Table1[Deloitte Email ID])</f>
        <v>divmaheshwari@deloitte.com</v>
      </c>
      <c r="C211" s="22" t="str">
        <f>_xlfn.XLOOKUP(Christus_Emp_Table[[#This Row],[Analyst Name:]],Table1[Analyst Name],Table1[Module])</f>
        <v>MyChart</v>
      </c>
      <c r="D211" s="22" t="str">
        <f>_xlfn.XLOOKUP(Christus_Emp_Table[[#This Row],[Analyst Name:]],Table1[Analyst Name],Table1[Location])</f>
        <v>GUR</v>
      </c>
      <c r="E211" s="22" t="s">
        <v>130</v>
      </c>
      <c r="F211" s="17">
        <v>45888</v>
      </c>
      <c r="G211" s="17">
        <v>45888</v>
      </c>
      <c r="H211" s="22" t="s">
        <v>130</v>
      </c>
      <c r="I211" s="22" t="s">
        <v>128</v>
      </c>
      <c r="J211" s="22">
        <f>NETWORKDAYS(Christus_Emp_Table[[#This Row],[From Date:]],Christus_Emp_Table[[#This Row],[To Date:]])</f>
        <v>1</v>
      </c>
      <c r="L211" s="22" t="str">
        <f>_xlfn.XLOOKUP(Christus_Emp_Table[[#This Row],[Analyst Name:]],Table1[Analyst Name],Table1[Lead])</f>
        <v>Nitish Kumar</v>
      </c>
    </row>
    <row r="212" spans="1:12" x14ac:dyDescent="0.35">
      <c r="A212" s="21" t="s">
        <v>58</v>
      </c>
      <c r="B212" s="22" t="str">
        <f>_xlfn.XLOOKUP(Christus_Emp_Table[[#This Row],[Analyst Name:]],Table1[Analyst Name],Table1[Deloitte Email ID])</f>
        <v>rmbabu@deloitte.com</v>
      </c>
      <c r="C212" s="22" t="str">
        <f>_xlfn.XLOOKUP(Christus_Emp_Table[[#This Row],[Analyst Name:]],Table1[Analyst Name],Table1[Module])</f>
        <v>ECLink</v>
      </c>
      <c r="D212" s="22" t="str">
        <f>_xlfn.XLOOKUP(Christus_Emp_Table[[#This Row],[Analyst Name:]],Table1[Analyst Name],Table1[Location])</f>
        <v>HYD</v>
      </c>
      <c r="E212" s="19" t="s">
        <v>112</v>
      </c>
      <c r="F212" s="17">
        <v>45870</v>
      </c>
      <c r="G212" s="17">
        <v>45873</v>
      </c>
      <c r="H212" s="22" t="s">
        <v>129</v>
      </c>
      <c r="I212" s="22" t="s">
        <v>128</v>
      </c>
      <c r="J212" s="22">
        <f>NETWORKDAYS(Christus_Emp_Table[[#This Row],[From Date:]],Christus_Emp_Table[[#This Row],[To Date:]])</f>
        <v>2</v>
      </c>
      <c r="L212" s="22" t="str">
        <f>_xlfn.XLOOKUP(Christus_Emp_Table[[#This Row],[Analyst Name:]],Table1[Analyst Name],Table1[Lead])</f>
        <v>Nitish Kumar</v>
      </c>
    </row>
    <row r="213" spans="1:12" x14ac:dyDescent="0.35">
      <c r="A213" s="21" t="s">
        <v>58</v>
      </c>
      <c r="B213" s="22" t="str">
        <f>_xlfn.XLOOKUP(Christus_Emp_Table[[#This Row],[Analyst Name:]],Table1[Analyst Name],Table1[Deloitte Email ID])</f>
        <v>rmbabu@deloitte.com</v>
      </c>
      <c r="C213" s="22" t="str">
        <f>_xlfn.XLOOKUP(Christus_Emp_Table[[#This Row],[Analyst Name:]],Table1[Analyst Name],Table1[Module])</f>
        <v>ECLink</v>
      </c>
      <c r="D213" s="22" t="str">
        <f>_xlfn.XLOOKUP(Christus_Emp_Table[[#This Row],[Analyst Name:]],Table1[Analyst Name],Table1[Location])</f>
        <v>HYD</v>
      </c>
      <c r="E213" s="22" t="s">
        <v>127</v>
      </c>
      <c r="F213" s="17">
        <v>45882</v>
      </c>
      <c r="G213" s="17">
        <v>45883</v>
      </c>
      <c r="H213" s="22" t="s">
        <v>127</v>
      </c>
      <c r="I213" s="22" t="s">
        <v>128</v>
      </c>
      <c r="J213" s="22">
        <f>NETWORKDAYS(Christus_Emp_Table[[#This Row],[From Date:]],Christus_Emp_Table[[#This Row],[To Date:]])</f>
        <v>2</v>
      </c>
      <c r="L213" s="22" t="str">
        <f>_xlfn.XLOOKUP(Christus_Emp_Table[[#This Row],[Analyst Name:]],Table1[Analyst Name],Table1[Lead])</f>
        <v>Nitish Kumar</v>
      </c>
    </row>
    <row r="214" spans="1:12" x14ac:dyDescent="0.35">
      <c r="A214" s="21" t="s">
        <v>48</v>
      </c>
      <c r="B214" s="22" t="str">
        <f>_xlfn.XLOOKUP(Christus_Emp_Table[[#This Row],[Analyst Name:]],Table1[Analyst Name],Table1[Deloitte Email ID])</f>
        <v>dwaikar@deloitte.com</v>
      </c>
      <c r="C214" s="22" t="str">
        <f>_xlfn.XLOOKUP(Christus_Emp_Table[[#This Row],[Analyst Name:]],Table1[Analyst Name],Table1[Module])</f>
        <v>SER</v>
      </c>
      <c r="D214" s="22" t="str">
        <f>_xlfn.XLOOKUP(Christus_Emp_Table[[#This Row],[Analyst Name:]],Table1[Analyst Name],Table1[Location])</f>
        <v>BLR</v>
      </c>
      <c r="E214" s="22" t="s">
        <v>127</v>
      </c>
      <c r="F214" s="17">
        <v>45873</v>
      </c>
      <c r="G214" s="17">
        <v>45877</v>
      </c>
      <c r="H214" s="22" t="s">
        <v>127</v>
      </c>
      <c r="I214" s="22" t="s">
        <v>128</v>
      </c>
      <c r="J214" s="22">
        <f>NETWORKDAYS(Christus_Emp_Table[[#This Row],[From Date:]],Christus_Emp_Table[[#This Row],[To Date:]])</f>
        <v>5</v>
      </c>
      <c r="L214" s="22" t="str">
        <f>_xlfn.XLOOKUP(Christus_Emp_Table[[#This Row],[Analyst Name:]],Table1[Analyst Name],Table1[Lead])</f>
        <v>Ankita Roy</v>
      </c>
    </row>
    <row r="215" spans="1:12" x14ac:dyDescent="0.35">
      <c r="A215" s="21" t="s">
        <v>33</v>
      </c>
      <c r="B215" s="22" t="str">
        <f>_xlfn.XLOOKUP(Christus_Emp_Table[[#This Row],[Analyst Name:]],Table1[Analyst Name],Table1[Deloitte Email ID])</f>
        <v>pjagdishzalavadia@deloitte.com</v>
      </c>
      <c r="C215" s="22" t="str">
        <f>_xlfn.XLOOKUP(Christus_Emp_Table[[#This Row],[Analyst Name:]],Table1[Analyst Name],Table1[Module])</f>
        <v>Bridges</v>
      </c>
      <c r="D215" s="22" t="str">
        <f>_xlfn.XLOOKUP(Christus_Emp_Table[[#This Row],[Analyst Name:]],Table1[Analyst Name],Table1[Location])</f>
        <v>BLR</v>
      </c>
      <c r="E215" s="22" t="s">
        <v>127</v>
      </c>
      <c r="F215" s="17">
        <v>45897</v>
      </c>
      <c r="G215" s="17">
        <v>45898</v>
      </c>
      <c r="H215" s="22" t="s">
        <v>127</v>
      </c>
      <c r="I215" s="22" t="s">
        <v>128</v>
      </c>
      <c r="J215" s="22">
        <f>NETWORKDAYS(Christus_Emp_Table[[#This Row],[From Date:]],Christus_Emp_Table[[#This Row],[To Date:]])</f>
        <v>2</v>
      </c>
      <c r="L215" s="22" t="str">
        <f>_xlfn.XLOOKUP(Christus_Emp_Table[[#This Row],[Analyst Name:]],Table1[Analyst Name],Table1[Lead])</f>
        <v>Tanima Debmallik/Nitish Kumar</v>
      </c>
    </row>
    <row r="216" spans="1:12" x14ac:dyDescent="0.35">
      <c r="A216" s="21" t="s">
        <v>41</v>
      </c>
      <c r="B216" s="22" t="str">
        <f>_xlfn.XLOOKUP(Christus_Emp_Table[[#This Row],[Analyst Name:]],Table1[Analyst Name],Table1[Deloitte Email ID])</f>
        <v>mpavkumar@deloitte.com</v>
      </c>
      <c r="C216" s="22" t="str">
        <f>_xlfn.XLOOKUP(Christus_Emp_Table[[#This Row],[Analyst Name:]],Table1[Analyst Name],Table1[Module])</f>
        <v>MyChart</v>
      </c>
      <c r="D216" s="22" t="str">
        <f>_xlfn.XLOOKUP(Christus_Emp_Table[[#This Row],[Analyst Name:]],Table1[Analyst Name],Table1[Location])</f>
        <v>HYD</v>
      </c>
      <c r="E216" s="22" t="s">
        <v>127</v>
      </c>
      <c r="F216" s="17">
        <v>45880</v>
      </c>
      <c r="G216" s="17">
        <v>45883</v>
      </c>
      <c r="H216" s="22" t="s">
        <v>127</v>
      </c>
      <c r="I216" s="22" t="s">
        <v>128</v>
      </c>
      <c r="J216" s="22">
        <f>NETWORKDAYS(Christus_Emp_Table[[#This Row],[From Date:]],Christus_Emp_Table[[#This Row],[To Date:]])</f>
        <v>4</v>
      </c>
      <c r="L216" s="22" t="str">
        <f>_xlfn.XLOOKUP(Christus_Emp_Table[[#This Row],[Analyst Name:]],Table1[Analyst Name],Table1[Lead])</f>
        <v>Nitish Kumar</v>
      </c>
    </row>
    <row r="217" spans="1:12" x14ac:dyDescent="0.35">
      <c r="A217" s="21" t="s">
        <v>43</v>
      </c>
      <c r="B217" s="22" t="str">
        <f>_xlfn.XLOOKUP(Christus_Emp_Table[[#This Row],[Analyst Name:]],Table1[Analyst Name],Table1[Deloitte Email ID])</f>
        <v>frai@deloitte.com</v>
      </c>
      <c r="C217" s="22" t="str">
        <f>_xlfn.XLOOKUP(Christus_Emp_Table[[#This Row],[Analyst Name:]],Table1[Analyst Name],Table1[Module])</f>
        <v>MyChart</v>
      </c>
      <c r="D217" s="22" t="str">
        <f>_xlfn.XLOOKUP(Christus_Emp_Table[[#This Row],[Analyst Name:]],Table1[Analyst Name],Table1[Location])</f>
        <v>HYD</v>
      </c>
      <c r="E217" s="19" t="s">
        <v>112</v>
      </c>
      <c r="F217" s="17">
        <v>45877</v>
      </c>
      <c r="G217" s="17">
        <v>45877</v>
      </c>
      <c r="H217" s="22" t="s">
        <v>129</v>
      </c>
      <c r="I217" s="22" t="s">
        <v>128</v>
      </c>
      <c r="J217" s="22">
        <f>NETWORKDAYS(Christus_Emp_Table[[#This Row],[From Date:]],Christus_Emp_Table[[#This Row],[To Date:]])</f>
        <v>1</v>
      </c>
      <c r="L217" s="22" t="str">
        <f>_xlfn.XLOOKUP(Christus_Emp_Table[[#This Row],[Analyst Name:]],Table1[Analyst Name],Table1[Lead])</f>
        <v>Nitish Kumar</v>
      </c>
    </row>
    <row r="218" spans="1:12" x14ac:dyDescent="0.35">
      <c r="A218" s="21" t="s">
        <v>21</v>
      </c>
      <c r="B218" s="22" t="str">
        <f>_xlfn.XLOOKUP(Christus_Emp_Table[[#This Row],[Analyst Name:]],Table1[Analyst Name],Table1[Deloitte Email ID])</f>
        <v>vbalasodongale@deloitte.com</v>
      </c>
      <c r="C218" s="22" t="str">
        <f>_xlfn.XLOOKUP(Christus_Emp_Table[[#This Row],[Analyst Name:]],Table1[Analyst Name],Table1[Module])</f>
        <v>Reporting</v>
      </c>
      <c r="D218" s="22" t="str">
        <f>_xlfn.XLOOKUP(Christus_Emp_Table[[#This Row],[Analyst Name:]],Table1[Analyst Name],Table1[Location])</f>
        <v>HYD</v>
      </c>
      <c r="E218" s="22" t="s">
        <v>127</v>
      </c>
      <c r="F218" s="17">
        <v>45887</v>
      </c>
      <c r="G218" s="17">
        <v>45888</v>
      </c>
      <c r="H218" s="22" t="s">
        <v>127</v>
      </c>
      <c r="I218" s="22" t="s">
        <v>128</v>
      </c>
      <c r="J218" s="22">
        <f>NETWORKDAYS(Christus_Emp_Table[[#This Row],[From Date:]],Christus_Emp_Table[[#This Row],[To Date:]])</f>
        <v>2</v>
      </c>
      <c r="L218" s="22">
        <f>_xlfn.XLOOKUP(Christus_Emp_Table[[#This Row],[Analyst Name:]],Table1[Analyst Name],Table1[Lead])</f>
        <v>0</v>
      </c>
    </row>
    <row r="219" spans="1:12" x14ac:dyDescent="0.35">
      <c r="A219" s="21" t="s">
        <v>21</v>
      </c>
      <c r="B219" s="22" t="str">
        <f>_xlfn.XLOOKUP(Christus_Emp_Table[[#This Row],[Analyst Name:]],Table1[Analyst Name],Table1[Deloitte Email ID])</f>
        <v>vbalasodongale@deloitte.com</v>
      </c>
      <c r="C219" s="22" t="str">
        <f>_xlfn.XLOOKUP(Christus_Emp_Table[[#This Row],[Analyst Name:]],Table1[Analyst Name],Table1[Module])</f>
        <v>Reporting</v>
      </c>
      <c r="D219" s="22" t="str">
        <f>_xlfn.XLOOKUP(Christus_Emp_Table[[#This Row],[Analyst Name:]],Table1[Analyst Name],Table1[Location])</f>
        <v>HYD</v>
      </c>
      <c r="E219" s="19" t="s">
        <v>112</v>
      </c>
      <c r="F219" s="17">
        <v>45895</v>
      </c>
      <c r="G219" s="17">
        <v>45895</v>
      </c>
      <c r="H219" s="22" t="s">
        <v>129</v>
      </c>
      <c r="I219" s="22" t="s">
        <v>128</v>
      </c>
      <c r="J219" s="22">
        <f>NETWORKDAYS(Christus_Emp_Table[[#This Row],[From Date:]],Christus_Emp_Table[[#This Row],[To Date:]])</f>
        <v>1</v>
      </c>
      <c r="L219" s="22">
        <f>_xlfn.XLOOKUP(Christus_Emp_Table[[#This Row],[Analyst Name:]],Table1[Analyst Name],Table1[Lead])</f>
        <v>0</v>
      </c>
    </row>
    <row r="220" spans="1:12" x14ac:dyDescent="0.35">
      <c r="A220" s="21" t="s">
        <v>15</v>
      </c>
      <c r="B220" s="22" t="str">
        <f>_xlfn.XLOOKUP(Christus_Emp_Table[[#This Row],[Analyst Name:]],Table1[Analyst Name],Table1[Deloitte Email ID])</f>
        <v>jbelel@deloitte.com</v>
      </c>
      <c r="C220" s="22" t="str">
        <f>_xlfn.XLOOKUP(Christus_Emp_Table[[#This Row],[Analyst Name:]],Table1[Analyst Name],Table1[Module])</f>
        <v>Reporting</v>
      </c>
      <c r="D220" s="22" t="str">
        <f>_xlfn.XLOOKUP(Christus_Emp_Table[[#This Row],[Analyst Name:]],Table1[Analyst Name],Table1[Location])</f>
        <v>MUM</v>
      </c>
      <c r="E220" s="22" t="s">
        <v>127</v>
      </c>
      <c r="F220" s="17">
        <v>45898</v>
      </c>
      <c r="G220" s="17">
        <v>45898</v>
      </c>
      <c r="H220" s="22" t="s">
        <v>127</v>
      </c>
      <c r="I220" s="22" t="s">
        <v>128</v>
      </c>
      <c r="J220" s="22">
        <f>NETWORKDAYS(Christus_Emp_Table[[#This Row],[From Date:]],Christus_Emp_Table[[#This Row],[To Date:]])</f>
        <v>1</v>
      </c>
      <c r="L220" s="22" t="str">
        <f>_xlfn.XLOOKUP(Christus_Emp_Table[[#This Row],[Analyst Name:]],Table1[Analyst Name],Table1[Lead])</f>
        <v>Tanima Debmallik/Nitish Kumar</v>
      </c>
    </row>
    <row r="221" spans="1:12" x14ac:dyDescent="0.35">
      <c r="A221" s="21" t="s">
        <v>6</v>
      </c>
      <c r="B221" s="22" t="str">
        <f>_xlfn.XLOOKUP(Christus_Emp_Table[[#This Row],[Analyst Name:]],Table1[Analyst Name],Table1[Deloitte Email ID])</f>
        <v>nitishkumar44@deloitte.com</v>
      </c>
      <c r="C221" s="22" t="str">
        <f>_xlfn.XLOOKUP(Christus_Emp_Table[[#This Row],[Analyst Name:]],Table1[Analyst Name],Table1[Module])</f>
        <v>Reporting</v>
      </c>
      <c r="D221" s="22" t="str">
        <f>_xlfn.XLOOKUP(Christus_Emp_Table[[#This Row],[Analyst Name:]],Table1[Analyst Name],Table1[Location])</f>
        <v>BLR</v>
      </c>
      <c r="E221" s="22" t="s">
        <v>127</v>
      </c>
      <c r="F221" s="17">
        <v>45874</v>
      </c>
      <c r="G221" s="17">
        <v>45874</v>
      </c>
      <c r="H221" s="22" t="s">
        <v>127</v>
      </c>
      <c r="I221" s="22" t="s">
        <v>128</v>
      </c>
      <c r="J221" s="22">
        <f>NETWORKDAYS(Christus_Emp_Table[[#This Row],[From Date:]],Christus_Emp_Table[[#This Row],[To Date:]])</f>
        <v>1</v>
      </c>
      <c r="L221" s="22">
        <f>_xlfn.XLOOKUP(Christus_Emp_Table[[#This Row],[Analyst Name:]],Table1[Analyst Name],Table1[Lead])</f>
        <v>0</v>
      </c>
    </row>
    <row r="222" spans="1:12" x14ac:dyDescent="0.35">
      <c r="A222" s="21" t="s">
        <v>75</v>
      </c>
      <c r="B222" s="22" t="str">
        <f>_xlfn.XLOOKUP(Christus_Emp_Table[[#This Row],[Analyst Name:]],Table1[Analyst Name],Table1[Deloitte Email ID])</f>
        <v>stanuja@deloitte.com</v>
      </c>
      <c r="C222" s="22" t="str">
        <f>_xlfn.XLOOKUP(Christus_Emp_Table[[#This Row],[Analyst Name:]],Table1[Analyst Name],Table1[Module])</f>
        <v>QA</v>
      </c>
      <c r="D222" s="22" t="str">
        <f>_xlfn.XLOOKUP(Christus_Emp_Table[[#This Row],[Analyst Name:]],Table1[Analyst Name],Table1[Location])</f>
        <v>HYD</v>
      </c>
      <c r="E222" s="19" t="s">
        <v>112</v>
      </c>
      <c r="F222" s="17">
        <v>45918</v>
      </c>
      <c r="G222" s="17">
        <v>45918</v>
      </c>
      <c r="H222" s="22" t="s">
        <v>129</v>
      </c>
      <c r="I222" s="22" t="s">
        <v>128</v>
      </c>
      <c r="J222" s="22">
        <f>NETWORKDAYS(Christus_Emp_Table[[#This Row],[From Date:]],Christus_Emp_Table[[#This Row],[To Date:]])</f>
        <v>1</v>
      </c>
      <c r="L222" s="22" t="str">
        <f>_xlfn.XLOOKUP(Christus_Emp_Table[[#This Row],[Analyst Name:]],Table1[Analyst Name],Table1[Lead])</f>
        <v>Ankita Roy</v>
      </c>
    </row>
    <row r="223" spans="1:12" x14ac:dyDescent="0.35">
      <c r="A223" s="21" t="s">
        <v>36</v>
      </c>
      <c r="B223" s="22" t="str">
        <f>_xlfn.XLOOKUP(Christus_Emp_Table[[#This Row],[Analyst Name:]],Table1[Analyst Name],Table1[Deloitte Email ID])</f>
        <v>jpaul4@deloitte.com</v>
      </c>
      <c r="C223" s="22" t="str">
        <f>_xlfn.XLOOKUP(Christus_Emp_Table[[#This Row],[Analyst Name:]],Table1[Analyst Name],Table1[Module])</f>
        <v>Bridges</v>
      </c>
      <c r="D223" s="22" t="str">
        <f>_xlfn.XLOOKUP(Christus_Emp_Table[[#This Row],[Analyst Name:]],Table1[Analyst Name],Table1[Location])</f>
        <v>BLR</v>
      </c>
      <c r="E223" s="19" t="s">
        <v>112</v>
      </c>
      <c r="F223" s="17">
        <v>45908</v>
      </c>
      <c r="G223" s="17">
        <v>45908</v>
      </c>
      <c r="H223" s="22" t="s">
        <v>129</v>
      </c>
      <c r="I223" s="22" t="s">
        <v>128</v>
      </c>
      <c r="J223" s="22">
        <f>NETWORKDAYS(Christus_Emp_Table[[#This Row],[From Date:]],Christus_Emp_Table[[#This Row],[To Date:]])</f>
        <v>1</v>
      </c>
      <c r="L223" s="22" t="str">
        <f>_xlfn.XLOOKUP(Christus_Emp_Table[[#This Row],[Analyst Name:]],Table1[Analyst Name],Table1[Lead])</f>
        <v>Parth Zalavadia</v>
      </c>
    </row>
    <row r="224" spans="1:12" x14ac:dyDescent="0.35">
      <c r="A224" s="21" t="s">
        <v>36</v>
      </c>
      <c r="B224" s="22" t="str">
        <f>_xlfn.XLOOKUP(Christus_Emp_Table[[#This Row],[Analyst Name:]],Table1[Analyst Name],Table1[Deloitte Email ID])</f>
        <v>jpaul4@deloitte.com</v>
      </c>
      <c r="C224" s="22" t="str">
        <f>_xlfn.XLOOKUP(Christus_Emp_Table[[#This Row],[Analyst Name:]],Table1[Analyst Name],Table1[Module])</f>
        <v>Bridges</v>
      </c>
      <c r="D224" s="22" t="str">
        <f>_xlfn.XLOOKUP(Christus_Emp_Table[[#This Row],[Analyst Name:]],Table1[Analyst Name],Table1[Location])</f>
        <v>BLR</v>
      </c>
      <c r="E224" s="19" t="s">
        <v>112</v>
      </c>
      <c r="F224" s="17">
        <v>45918</v>
      </c>
      <c r="G224" s="17">
        <v>45918</v>
      </c>
      <c r="H224" s="22" t="s">
        <v>129</v>
      </c>
      <c r="I224" s="22" t="s">
        <v>128</v>
      </c>
      <c r="J224" s="22">
        <f>NETWORKDAYS(Christus_Emp_Table[[#This Row],[From Date:]],Christus_Emp_Table[[#This Row],[To Date:]])</f>
        <v>1</v>
      </c>
      <c r="L224" s="22" t="str">
        <f>_xlfn.XLOOKUP(Christus_Emp_Table[[#This Row],[Analyst Name:]],Table1[Analyst Name],Table1[Lead])</f>
        <v>Parth Zalavadia</v>
      </c>
    </row>
    <row r="225" spans="1:12" x14ac:dyDescent="0.35">
      <c r="A225" s="21" t="s">
        <v>16</v>
      </c>
      <c r="B225" s="22" t="str">
        <f>_xlfn.XLOOKUP(Christus_Emp_Table[[#This Row],[Analyst Name:]],Table1[Analyst Name],Table1[Deloitte Email ID])</f>
        <v>abalagopalan@deloitte.com</v>
      </c>
      <c r="C225" s="22" t="str">
        <f>_xlfn.XLOOKUP(Christus_Emp_Table[[#This Row],[Analyst Name:]],Table1[Analyst Name],Table1[Module])</f>
        <v>Reporting</v>
      </c>
      <c r="D225" s="22" t="str">
        <f>_xlfn.XLOOKUP(Christus_Emp_Table[[#This Row],[Analyst Name:]],Table1[Analyst Name],Table1[Location])</f>
        <v>BLR</v>
      </c>
      <c r="E225" s="19" t="s">
        <v>112</v>
      </c>
      <c r="F225" s="17">
        <v>45901</v>
      </c>
      <c r="G225" s="17">
        <v>45901</v>
      </c>
      <c r="H225" s="22" t="s">
        <v>129</v>
      </c>
      <c r="I225" s="22" t="s">
        <v>128</v>
      </c>
      <c r="J225" s="22">
        <f>NETWORKDAYS(Christus_Emp_Table[[#This Row],[From Date:]],Christus_Emp_Table[[#This Row],[To Date:]])</f>
        <v>1</v>
      </c>
      <c r="L225" s="22" t="str">
        <f>_xlfn.XLOOKUP(Christus_Emp_Table[[#This Row],[Analyst Name:]],Table1[Analyst Name],Table1[Lead])</f>
        <v>Jagannath Belel</v>
      </c>
    </row>
    <row r="226" spans="1:12" x14ac:dyDescent="0.35">
      <c r="A226" s="21" t="s">
        <v>16</v>
      </c>
      <c r="B226" s="22" t="str">
        <f>_xlfn.XLOOKUP(Christus_Emp_Table[[#This Row],[Analyst Name:]],Table1[Analyst Name],Table1[Deloitte Email ID])</f>
        <v>abalagopalan@deloitte.com</v>
      </c>
      <c r="C226" s="22" t="str">
        <f>_xlfn.XLOOKUP(Christus_Emp_Table[[#This Row],[Analyst Name:]],Table1[Analyst Name],Table1[Module])</f>
        <v>Reporting</v>
      </c>
      <c r="D226" s="22" t="str">
        <f>_xlfn.XLOOKUP(Christus_Emp_Table[[#This Row],[Analyst Name:]],Table1[Analyst Name],Table1[Location])</f>
        <v>BLR</v>
      </c>
      <c r="E226" s="22" t="s">
        <v>127</v>
      </c>
      <c r="F226" s="17">
        <v>45905</v>
      </c>
      <c r="G226" s="17">
        <v>45905</v>
      </c>
      <c r="H226" s="22" t="s">
        <v>127</v>
      </c>
      <c r="I226" s="22" t="s">
        <v>128</v>
      </c>
      <c r="J226" s="22">
        <f>NETWORKDAYS(Christus_Emp_Table[[#This Row],[From Date:]],Christus_Emp_Table[[#This Row],[To Date:]])</f>
        <v>1</v>
      </c>
      <c r="L226" s="22" t="str">
        <f>_xlfn.XLOOKUP(Christus_Emp_Table[[#This Row],[Analyst Name:]],Table1[Analyst Name],Table1[Lead])</f>
        <v>Jagannath Belel</v>
      </c>
    </row>
    <row r="227" spans="1:12" x14ac:dyDescent="0.35">
      <c r="A227" s="21" t="s">
        <v>16</v>
      </c>
      <c r="B227" s="22" t="str">
        <f>_xlfn.XLOOKUP(Christus_Emp_Table[[#This Row],[Analyst Name:]],Table1[Analyst Name],Table1[Deloitte Email ID])</f>
        <v>abalagopalan@deloitte.com</v>
      </c>
      <c r="C227" s="22" t="str">
        <f>_xlfn.XLOOKUP(Christus_Emp_Table[[#This Row],[Analyst Name:]],Table1[Analyst Name],Table1[Module])</f>
        <v>Reporting</v>
      </c>
      <c r="D227" s="22" t="str">
        <f>_xlfn.XLOOKUP(Christus_Emp_Table[[#This Row],[Analyst Name:]],Table1[Analyst Name],Table1[Location])</f>
        <v>BLR</v>
      </c>
      <c r="E227" s="22" t="s">
        <v>127</v>
      </c>
      <c r="F227" s="17">
        <v>45915</v>
      </c>
      <c r="G227" s="17">
        <v>45919</v>
      </c>
      <c r="H227" s="22" t="s">
        <v>127</v>
      </c>
      <c r="I227" s="22" t="s">
        <v>128</v>
      </c>
      <c r="J227" s="22">
        <f>NETWORKDAYS(Christus_Emp_Table[[#This Row],[From Date:]],Christus_Emp_Table[[#This Row],[To Date:]])</f>
        <v>5</v>
      </c>
      <c r="L227" s="22" t="str">
        <f>_xlfn.XLOOKUP(Christus_Emp_Table[[#This Row],[Analyst Name:]],Table1[Analyst Name],Table1[Lead])</f>
        <v>Jagannath Belel</v>
      </c>
    </row>
    <row r="228" spans="1:12" x14ac:dyDescent="0.35">
      <c r="A228" s="21" t="s">
        <v>13</v>
      </c>
      <c r="B228" s="22" t="str">
        <f>_xlfn.XLOOKUP(Christus_Emp_Table[[#This Row],[Analyst Name:]],Table1[Analyst Name],Table1[Deloitte Email ID])</f>
        <v>srug@deloitte.com</v>
      </c>
      <c r="C228" s="22" t="str">
        <f>_xlfn.XLOOKUP(Christus_Emp_Table[[#This Row],[Analyst Name:]],Table1[Analyst Name],Table1[Module])</f>
        <v>Reporting</v>
      </c>
      <c r="D228" s="22" t="str">
        <f>_xlfn.XLOOKUP(Christus_Emp_Table[[#This Row],[Analyst Name:]],Table1[Analyst Name],Table1[Location])</f>
        <v>BLR</v>
      </c>
      <c r="E228" s="22" t="s">
        <v>127</v>
      </c>
      <c r="F228" s="17">
        <v>45905</v>
      </c>
      <c r="G228" s="17">
        <v>45905</v>
      </c>
      <c r="H228" s="22" t="s">
        <v>127</v>
      </c>
      <c r="I228" s="22" t="s">
        <v>128</v>
      </c>
      <c r="J228" s="22">
        <f>NETWORKDAYS(Christus_Emp_Table[[#This Row],[From Date:]],Christus_Emp_Table[[#This Row],[To Date:]])</f>
        <v>1</v>
      </c>
      <c r="L228" s="22" t="str">
        <f>_xlfn.XLOOKUP(Christus_Emp_Table[[#This Row],[Analyst Name:]],Table1[Analyst Name],Table1[Lead])</f>
        <v>Jagannath Belel</v>
      </c>
    </row>
    <row r="229" spans="1:12" x14ac:dyDescent="0.35">
      <c r="A229" s="21" t="s">
        <v>68</v>
      </c>
      <c r="B229" s="22" t="str">
        <f>_xlfn.XLOOKUP(Christus_Emp_Table[[#This Row],[Analyst Name:]],Table1[Analyst Name],Table1[Deloitte Email ID])</f>
        <v>anussaha@deloitte.com</v>
      </c>
      <c r="C229" s="22" t="str">
        <f>_xlfn.XLOOKUP(Christus_Emp_Table[[#This Row],[Analyst Name:]],Table1[Analyst Name],Table1[Module])</f>
        <v>Automation</v>
      </c>
      <c r="D229" s="22" t="str">
        <f>_xlfn.XLOOKUP(Christus_Emp_Table[[#This Row],[Analyst Name:]],Table1[Analyst Name],Table1[Location])</f>
        <v>HYD</v>
      </c>
      <c r="E229" s="22" t="s">
        <v>127</v>
      </c>
      <c r="F229" s="17">
        <v>45926</v>
      </c>
      <c r="G229" s="17">
        <v>45930</v>
      </c>
      <c r="H229" s="22" t="s">
        <v>127</v>
      </c>
      <c r="I229" s="22" t="s">
        <v>128</v>
      </c>
      <c r="J229" s="22">
        <f>NETWORKDAYS(Christus_Emp_Table[[#This Row],[From Date:]],Christus_Emp_Table[[#This Row],[To Date:]])</f>
        <v>3</v>
      </c>
      <c r="L229" s="22" t="str">
        <f>_xlfn.XLOOKUP(Christus_Emp_Table[[#This Row],[Analyst Name:]],Table1[Analyst Name],Table1[Lead])</f>
        <v>Nitish Kumar</v>
      </c>
    </row>
    <row r="230" spans="1:12" x14ac:dyDescent="0.35">
      <c r="A230" s="21" t="s">
        <v>66</v>
      </c>
      <c r="B230" s="22" t="str">
        <f>_xlfn.XLOOKUP(Christus_Emp_Table[[#This Row],[Analyst Name:]],Table1[Analyst Name],Table1[Deloitte Email ID])</f>
        <v>akshayakumar@deloitte.com</v>
      </c>
      <c r="C230" s="22" t="str">
        <f>_xlfn.XLOOKUP(Christus_Emp_Table[[#This Row],[Analyst Name:]],Table1[Analyst Name],Table1[Module])</f>
        <v>Automation</v>
      </c>
      <c r="D230" s="22" t="str">
        <f>_xlfn.XLOOKUP(Christus_Emp_Table[[#This Row],[Analyst Name:]],Table1[Analyst Name],Table1[Location])</f>
        <v>BLR</v>
      </c>
      <c r="E230" s="22" t="s">
        <v>127</v>
      </c>
      <c r="F230" s="17">
        <v>45905</v>
      </c>
      <c r="G230" s="17">
        <v>45905</v>
      </c>
      <c r="H230" s="22" t="s">
        <v>127</v>
      </c>
      <c r="I230" s="22" t="s">
        <v>128</v>
      </c>
      <c r="J230" s="22">
        <f>NETWORKDAYS(Christus_Emp_Table[[#This Row],[From Date:]],Christus_Emp_Table[[#This Row],[To Date:]])</f>
        <v>1</v>
      </c>
      <c r="L230" s="22" t="str">
        <f>_xlfn.XLOOKUP(Christus_Emp_Table[[#This Row],[Analyst Name:]],Table1[Analyst Name],Table1[Lead])</f>
        <v>Parth Zalavadia</v>
      </c>
    </row>
    <row r="231" spans="1:12" x14ac:dyDescent="0.35">
      <c r="A231" s="21" t="s">
        <v>66</v>
      </c>
      <c r="B231" s="22" t="str">
        <f>_xlfn.XLOOKUP(Christus_Emp_Table[[#This Row],[Analyst Name:]],Table1[Analyst Name],Table1[Deloitte Email ID])</f>
        <v>akshayakumar@deloitte.com</v>
      </c>
      <c r="C231" s="22" t="str">
        <f>_xlfn.XLOOKUP(Christus_Emp_Table[[#This Row],[Analyst Name:]],Table1[Analyst Name],Table1[Module])</f>
        <v>Automation</v>
      </c>
      <c r="D231" s="22" t="str">
        <f>_xlfn.XLOOKUP(Christus_Emp_Table[[#This Row],[Analyst Name:]],Table1[Analyst Name],Table1[Location])</f>
        <v>BLR</v>
      </c>
      <c r="E231" s="22" t="s">
        <v>127</v>
      </c>
      <c r="F231" s="17">
        <v>45912</v>
      </c>
      <c r="G231" s="17">
        <v>45918</v>
      </c>
      <c r="H231" s="22" t="s">
        <v>127</v>
      </c>
      <c r="I231" s="22" t="s">
        <v>128</v>
      </c>
      <c r="J231" s="22">
        <f>NETWORKDAYS(Christus_Emp_Table[[#This Row],[From Date:]],Christus_Emp_Table[[#This Row],[To Date:]])</f>
        <v>5</v>
      </c>
      <c r="L231" s="22" t="str">
        <f>_xlfn.XLOOKUP(Christus_Emp_Table[[#This Row],[Analyst Name:]],Table1[Analyst Name],Table1[Lead])</f>
        <v>Parth Zalavadia</v>
      </c>
    </row>
    <row r="232" spans="1:12" x14ac:dyDescent="0.35">
      <c r="A232" s="21" t="s">
        <v>52</v>
      </c>
      <c r="B232" s="22" t="str">
        <f>_xlfn.XLOOKUP(Christus_Emp_Table[[#This Row],[Analyst Name:]],Table1[Analyst Name],Table1[Deloitte Email ID])</f>
        <v>Drajitha@deloitte.com</v>
      </c>
      <c r="C232" s="22" t="str">
        <f>_xlfn.XLOOKUP(Christus_Emp_Table[[#This Row],[Analyst Name:]],Table1[Analyst Name],Table1[Module])</f>
        <v>SER</v>
      </c>
      <c r="D232" s="22" t="str">
        <f>_xlfn.XLOOKUP(Christus_Emp_Table[[#This Row],[Analyst Name:]],Table1[Analyst Name],Table1[Location])</f>
        <v>BLR</v>
      </c>
      <c r="E232" s="19" t="s">
        <v>112</v>
      </c>
      <c r="F232" s="17">
        <v>45901</v>
      </c>
      <c r="G232" s="17">
        <v>45909</v>
      </c>
      <c r="H232" s="22" t="s">
        <v>129</v>
      </c>
      <c r="I232" s="22" t="s">
        <v>128</v>
      </c>
      <c r="J232" s="22">
        <f>NETWORKDAYS(Christus_Emp_Table[[#This Row],[From Date:]],Christus_Emp_Table[[#This Row],[To Date:]])</f>
        <v>7</v>
      </c>
      <c r="L232" s="22" t="str">
        <f>_xlfn.XLOOKUP(Christus_Emp_Table[[#This Row],[Analyst Name:]],Table1[Analyst Name],Table1[Lead])</f>
        <v>Ankita Roy</v>
      </c>
    </row>
    <row r="233" spans="1:12" x14ac:dyDescent="0.35">
      <c r="A233" s="21" t="s">
        <v>51</v>
      </c>
      <c r="B233" s="22" t="str">
        <f>_xlfn.XLOOKUP(Christus_Emp_Table[[#This Row],[Analyst Name:]],Table1[Analyst Name],Table1[Deloitte Email ID])</f>
        <v>ankitaroy2@deloitte.com</v>
      </c>
      <c r="C233" s="22" t="str">
        <f>_xlfn.XLOOKUP(Christus_Emp_Table[[#This Row],[Analyst Name:]],Table1[Analyst Name],Table1[Module])</f>
        <v>EC/DC</v>
      </c>
      <c r="D233" s="22" t="str">
        <f>_xlfn.XLOOKUP(Christus_Emp_Table[[#This Row],[Analyst Name:]],Table1[Analyst Name],Table1[Location])</f>
        <v>BLR</v>
      </c>
      <c r="E233" s="22" t="s">
        <v>127</v>
      </c>
      <c r="F233" s="17">
        <v>45904</v>
      </c>
      <c r="G233" s="17">
        <v>45905</v>
      </c>
      <c r="H233" s="22" t="s">
        <v>127</v>
      </c>
      <c r="I233" s="22" t="s">
        <v>128</v>
      </c>
      <c r="J233" s="22">
        <f>NETWORKDAYS(Christus_Emp_Table[[#This Row],[From Date:]],Christus_Emp_Table[[#This Row],[To Date:]])</f>
        <v>2</v>
      </c>
      <c r="L233" s="22">
        <f>_xlfn.XLOOKUP(Christus_Emp_Table[[#This Row],[Analyst Name:]],Table1[Analyst Name],Table1[Lead])</f>
        <v>0</v>
      </c>
    </row>
    <row r="234" spans="1:12" x14ac:dyDescent="0.35">
      <c r="A234" s="21" t="s">
        <v>51</v>
      </c>
      <c r="B234" s="22" t="str">
        <f>_xlfn.XLOOKUP(Christus_Emp_Table[[#This Row],[Analyst Name:]],Table1[Analyst Name],Table1[Deloitte Email ID])</f>
        <v>ankitaroy2@deloitte.com</v>
      </c>
      <c r="C234" s="22" t="str">
        <f>_xlfn.XLOOKUP(Christus_Emp_Table[[#This Row],[Analyst Name:]],Table1[Analyst Name],Table1[Module])</f>
        <v>EC/DC</v>
      </c>
      <c r="D234" s="22" t="str">
        <f>_xlfn.XLOOKUP(Christus_Emp_Table[[#This Row],[Analyst Name:]],Table1[Analyst Name],Table1[Location])</f>
        <v>BLR</v>
      </c>
      <c r="E234" s="19" t="s">
        <v>112</v>
      </c>
      <c r="F234" s="17">
        <v>45917</v>
      </c>
      <c r="G234" s="17">
        <v>45917</v>
      </c>
      <c r="H234" s="22" t="s">
        <v>129</v>
      </c>
      <c r="I234" s="22" t="s">
        <v>128</v>
      </c>
      <c r="J234" s="22">
        <f>NETWORKDAYS(Christus_Emp_Table[[#This Row],[From Date:]],Christus_Emp_Table[[#This Row],[To Date:]])</f>
        <v>1</v>
      </c>
      <c r="L234" s="22">
        <f>_xlfn.XLOOKUP(Christus_Emp_Table[[#This Row],[Analyst Name:]],Table1[Analyst Name],Table1[Lead])</f>
        <v>0</v>
      </c>
    </row>
    <row r="235" spans="1:12" x14ac:dyDescent="0.35">
      <c r="A235" s="21" t="s">
        <v>51</v>
      </c>
      <c r="B235" s="22" t="str">
        <f>_xlfn.XLOOKUP(Christus_Emp_Table[[#This Row],[Analyst Name:]],Table1[Analyst Name],Table1[Deloitte Email ID])</f>
        <v>ankitaroy2@deloitte.com</v>
      </c>
      <c r="C235" s="22" t="str">
        <f>_xlfn.XLOOKUP(Christus_Emp_Table[[#This Row],[Analyst Name:]],Table1[Analyst Name],Table1[Module])</f>
        <v>EC/DC</v>
      </c>
      <c r="D235" s="22" t="str">
        <f>_xlfn.XLOOKUP(Christus_Emp_Table[[#This Row],[Analyst Name:]],Table1[Analyst Name],Table1[Location])</f>
        <v>BLR</v>
      </c>
      <c r="E235" s="22" t="s">
        <v>130</v>
      </c>
      <c r="F235" s="17">
        <v>45925</v>
      </c>
      <c r="G235" s="17">
        <v>45925</v>
      </c>
      <c r="H235" s="22" t="s">
        <v>130</v>
      </c>
      <c r="I235" s="22" t="s">
        <v>128</v>
      </c>
      <c r="J235" s="22">
        <f>NETWORKDAYS(Christus_Emp_Table[[#This Row],[From Date:]],Christus_Emp_Table[[#This Row],[To Date:]])</f>
        <v>1</v>
      </c>
      <c r="L235" s="22">
        <f>_xlfn.XLOOKUP(Christus_Emp_Table[[#This Row],[Analyst Name:]],Table1[Analyst Name],Table1[Lead])</f>
        <v>0</v>
      </c>
    </row>
    <row r="236" spans="1:12" x14ac:dyDescent="0.35">
      <c r="A236" s="21" t="s">
        <v>51</v>
      </c>
      <c r="B236" s="22" t="str">
        <f>_xlfn.XLOOKUP(Christus_Emp_Table[[#This Row],[Analyst Name:]],Table1[Analyst Name],Table1[Deloitte Email ID])</f>
        <v>ankitaroy2@deloitte.com</v>
      </c>
      <c r="C236" s="22" t="str">
        <f>_xlfn.XLOOKUP(Christus_Emp_Table[[#This Row],[Analyst Name:]],Table1[Analyst Name],Table1[Module])</f>
        <v>EC/DC</v>
      </c>
      <c r="D236" s="22" t="str">
        <f>_xlfn.XLOOKUP(Christus_Emp_Table[[#This Row],[Analyst Name:]],Table1[Analyst Name],Table1[Location])</f>
        <v>BLR</v>
      </c>
      <c r="E236" s="22" t="s">
        <v>127</v>
      </c>
      <c r="F236" s="17">
        <v>45929</v>
      </c>
      <c r="G236" s="17">
        <v>45930</v>
      </c>
      <c r="H236" s="22" t="s">
        <v>127</v>
      </c>
      <c r="I236" s="22" t="s">
        <v>128</v>
      </c>
      <c r="J236" s="22">
        <f>NETWORKDAYS(Christus_Emp_Table[[#This Row],[From Date:]],Christus_Emp_Table[[#This Row],[To Date:]])</f>
        <v>2</v>
      </c>
      <c r="L236" s="22">
        <f>_xlfn.XLOOKUP(Christus_Emp_Table[[#This Row],[Analyst Name:]],Table1[Analyst Name],Table1[Lead])</f>
        <v>0</v>
      </c>
    </row>
    <row r="237" spans="1:12" x14ac:dyDescent="0.35">
      <c r="A237" s="21" t="s">
        <v>25</v>
      </c>
      <c r="B237" s="22" t="str">
        <f>_xlfn.XLOOKUP(Christus_Emp_Table[[#This Row],[Analyst Name:]],Table1[Analyst Name],Table1[Deloitte Email ID])</f>
        <v>apriyankapravalli@deloitte.com</v>
      </c>
      <c r="C237" s="22" t="str">
        <f>_xlfn.XLOOKUP(Christus_Emp_Table[[#This Row],[Analyst Name:]],Table1[Analyst Name],Table1[Module])</f>
        <v>Reporting</v>
      </c>
      <c r="D237" s="22" t="str">
        <f>_xlfn.XLOOKUP(Christus_Emp_Table[[#This Row],[Analyst Name:]],Table1[Analyst Name],Table1[Location])</f>
        <v>HYD</v>
      </c>
      <c r="E237" s="22" t="s">
        <v>130</v>
      </c>
      <c r="F237" s="17">
        <v>45917</v>
      </c>
      <c r="G237" s="17">
        <v>45917</v>
      </c>
      <c r="H237" s="22" t="s">
        <v>130</v>
      </c>
      <c r="I237" s="22" t="s">
        <v>128</v>
      </c>
      <c r="J237" s="22">
        <f>NETWORKDAYS(Christus_Emp_Table[[#This Row],[From Date:]],Christus_Emp_Table[[#This Row],[To Date:]])</f>
        <v>1</v>
      </c>
      <c r="L237" s="22">
        <f>_xlfn.XLOOKUP(Christus_Emp_Table[[#This Row],[Analyst Name:]],Table1[Analyst Name],Table1[Lead])</f>
        <v>0</v>
      </c>
    </row>
    <row r="238" spans="1:12" x14ac:dyDescent="0.35">
      <c r="A238" s="21" t="s">
        <v>25</v>
      </c>
      <c r="B238" s="22" t="str">
        <f>_xlfn.XLOOKUP(Christus_Emp_Table[[#This Row],[Analyst Name:]],Table1[Analyst Name],Table1[Deloitte Email ID])</f>
        <v>apriyankapravalli@deloitte.com</v>
      </c>
      <c r="C238" s="22" t="str">
        <f>_xlfn.XLOOKUP(Christus_Emp_Table[[#This Row],[Analyst Name:]],Table1[Analyst Name],Table1[Module])</f>
        <v>Reporting</v>
      </c>
      <c r="D238" s="22" t="str">
        <f>_xlfn.XLOOKUP(Christus_Emp_Table[[#This Row],[Analyst Name:]],Table1[Analyst Name],Table1[Location])</f>
        <v>HYD</v>
      </c>
      <c r="E238" s="22" t="s">
        <v>127</v>
      </c>
      <c r="F238" s="17">
        <v>45922</v>
      </c>
      <c r="G238" s="17">
        <v>45930</v>
      </c>
      <c r="H238" s="22" t="s">
        <v>127</v>
      </c>
      <c r="I238" s="22" t="s">
        <v>128</v>
      </c>
      <c r="J238" s="22">
        <f>NETWORKDAYS(Christus_Emp_Table[[#This Row],[From Date:]],Christus_Emp_Table[[#This Row],[To Date:]])</f>
        <v>7</v>
      </c>
      <c r="L238" s="22">
        <f>_xlfn.XLOOKUP(Christus_Emp_Table[[#This Row],[Analyst Name:]],Table1[Analyst Name],Table1[Lead])</f>
        <v>0</v>
      </c>
    </row>
    <row r="239" spans="1:12" x14ac:dyDescent="0.35">
      <c r="A239" s="21" t="s">
        <v>70</v>
      </c>
      <c r="B239" s="22" t="str">
        <f>_xlfn.XLOOKUP(Christus_Emp_Table[[#This Row],[Analyst Name:]],Table1[Analyst Name],Table1[Deloitte Email ID])</f>
        <v>amisshaw@deloitte.com</v>
      </c>
      <c r="C239" s="22" t="str">
        <f>_xlfn.XLOOKUP(Christus_Emp_Table[[#This Row],[Analyst Name:]],Table1[Analyst Name],Table1[Module])</f>
        <v>Automation</v>
      </c>
      <c r="D239" s="22" t="str">
        <f>_xlfn.XLOOKUP(Christus_Emp_Table[[#This Row],[Analyst Name:]],Table1[Analyst Name],Table1[Location])</f>
        <v>MUM</v>
      </c>
      <c r="E239" s="22" t="s">
        <v>127</v>
      </c>
      <c r="F239" s="17">
        <v>45901</v>
      </c>
      <c r="G239" s="17">
        <v>45905</v>
      </c>
      <c r="H239" s="22" t="s">
        <v>127</v>
      </c>
      <c r="I239" s="22" t="s">
        <v>128</v>
      </c>
      <c r="J239" s="22">
        <f>NETWORKDAYS(Christus_Emp_Table[[#This Row],[From Date:]],Christus_Emp_Table[[#This Row],[To Date:]])</f>
        <v>5</v>
      </c>
      <c r="L239" s="22" t="str">
        <f>_xlfn.XLOOKUP(Christus_Emp_Table[[#This Row],[Analyst Name:]],Table1[Analyst Name],Table1[Lead])</f>
        <v>Nitish Kumar</v>
      </c>
    </row>
    <row r="240" spans="1:12" x14ac:dyDescent="0.35">
      <c r="A240" s="21" t="s">
        <v>61</v>
      </c>
      <c r="B240" s="22" t="str">
        <f>_xlfn.XLOOKUP(Christus_Emp_Table[[#This Row],[Analyst Name:]],Table1[Analyst Name],Table1[Deloitte Email ID])</f>
        <v>pbraj@deloitte.com</v>
      </c>
      <c r="C240" s="22" t="str">
        <f>_xlfn.XLOOKUP(Christus_Emp_Table[[#This Row],[Analyst Name:]],Table1[Analyst Name],Table1[Module])</f>
        <v>Automation</v>
      </c>
      <c r="D240" s="22" t="str">
        <f>_xlfn.XLOOKUP(Christus_Emp_Table[[#This Row],[Analyst Name:]],Table1[Analyst Name],Table1[Location])</f>
        <v>BLR</v>
      </c>
      <c r="E240" s="22" t="s">
        <v>127</v>
      </c>
      <c r="F240" s="17">
        <v>45908</v>
      </c>
      <c r="G240" s="17">
        <v>45915</v>
      </c>
      <c r="H240" s="22" t="s">
        <v>127</v>
      </c>
      <c r="I240" s="22" t="s">
        <v>128</v>
      </c>
      <c r="J240" s="22">
        <f>NETWORKDAYS(Christus_Emp_Table[[#This Row],[From Date:]],Christus_Emp_Table[[#This Row],[To Date:]])</f>
        <v>6</v>
      </c>
      <c r="L240" s="22" t="str">
        <f>_xlfn.XLOOKUP(Christus_Emp_Table[[#This Row],[Analyst Name:]],Table1[Analyst Name],Table1[Lead])</f>
        <v>Nitish Kumar</v>
      </c>
    </row>
    <row r="241" spans="1:12" x14ac:dyDescent="0.35">
      <c r="A241" s="21" t="s">
        <v>54</v>
      </c>
      <c r="B241" s="22" t="str">
        <f>_xlfn.XLOOKUP(Christus_Emp_Table[[#This Row],[Analyst Name:]],Table1[Analyst Name],Table1[Deloitte Email ID])</f>
        <v>lakaur@deloitte.com</v>
      </c>
      <c r="C241" s="22" t="str">
        <f>_xlfn.XLOOKUP(Christus_Emp_Table[[#This Row],[Analyst Name:]],Table1[Analyst Name],Table1[Module])</f>
        <v>SER</v>
      </c>
      <c r="D241" s="22" t="str">
        <f>_xlfn.XLOOKUP(Christus_Emp_Table[[#This Row],[Analyst Name:]],Table1[Analyst Name],Table1[Location])</f>
        <v>GUR</v>
      </c>
      <c r="E241" s="19" t="s">
        <v>112</v>
      </c>
      <c r="F241" s="17">
        <v>45901</v>
      </c>
      <c r="G241" s="17">
        <v>45901</v>
      </c>
      <c r="H241" s="22" t="s">
        <v>129</v>
      </c>
      <c r="I241" s="22" t="s">
        <v>128</v>
      </c>
      <c r="J241" s="22">
        <f>NETWORKDAYS(Christus_Emp_Table[[#This Row],[From Date:]],Christus_Emp_Table[[#This Row],[To Date:]])</f>
        <v>1</v>
      </c>
      <c r="L241" s="22" t="str">
        <f>_xlfn.XLOOKUP(Christus_Emp_Table[[#This Row],[Analyst Name:]],Table1[Analyst Name],Table1[Lead])</f>
        <v>Ankita Roy</v>
      </c>
    </row>
    <row r="242" spans="1:12" x14ac:dyDescent="0.35">
      <c r="A242" s="21" t="s">
        <v>45</v>
      </c>
      <c r="B242" s="22" t="str">
        <f>_xlfn.XLOOKUP(Christus_Emp_Table[[#This Row],[Analyst Name:]],Table1[Analyst Name],Table1[Deloitte Email ID])</f>
        <v>divmaheshwari@deloitte.com</v>
      </c>
      <c r="C242" s="22" t="str">
        <f>_xlfn.XLOOKUP(Christus_Emp_Table[[#This Row],[Analyst Name:]],Table1[Analyst Name],Table1[Module])</f>
        <v>MyChart</v>
      </c>
      <c r="D242" s="22" t="str">
        <f>_xlfn.XLOOKUP(Christus_Emp_Table[[#This Row],[Analyst Name:]],Table1[Analyst Name],Table1[Location])</f>
        <v>GUR</v>
      </c>
      <c r="E242" s="22" t="s">
        <v>130</v>
      </c>
      <c r="F242" s="17">
        <v>45917</v>
      </c>
      <c r="G242" s="17">
        <v>45917</v>
      </c>
      <c r="H242" s="22" t="s">
        <v>130</v>
      </c>
      <c r="I242" s="22" t="s">
        <v>128</v>
      </c>
      <c r="J242" s="22">
        <f>NETWORKDAYS(Christus_Emp_Table[[#This Row],[From Date:]],Christus_Emp_Table[[#This Row],[To Date:]])</f>
        <v>1</v>
      </c>
      <c r="L242" s="22" t="str">
        <f>_xlfn.XLOOKUP(Christus_Emp_Table[[#This Row],[Analyst Name:]],Table1[Analyst Name],Table1[Lead])</f>
        <v>Nitish Kumar</v>
      </c>
    </row>
    <row r="243" spans="1:12" x14ac:dyDescent="0.35">
      <c r="A243" s="21" t="s">
        <v>45</v>
      </c>
      <c r="B243" s="22" t="str">
        <f>_xlfn.XLOOKUP(Christus_Emp_Table[[#This Row],[Analyst Name:]],Table1[Analyst Name],Table1[Deloitte Email ID])</f>
        <v>divmaheshwari@deloitte.com</v>
      </c>
      <c r="C243" s="22" t="str">
        <f>_xlfn.XLOOKUP(Christus_Emp_Table[[#This Row],[Analyst Name:]],Table1[Analyst Name],Table1[Module])</f>
        <v>MyChart</v>
      </c>
      <c r="D243" s="22" t="str">
        <f>_xlfn.XLOOKUP(Christus_Emp_Table[[#This Row],[Analyst Name:]],Table1[Analyst Name],Table1[Location])</f>
        <v>GUR</v>
      </c>
      <c r="E243" s="19" t="s">
        <v>112</v>
      </c>
      <c r="F243" s="17">
        <v>45926</v>
      </c>
      <c r="G243" s="17">
        <v>45926</v>
      </c>
      <c r="H243" s="22" t="s">
        <v>129</v>
      </c>
      <c r="I243" s="22" t="s">
        <v>128</v>
      </c>
      <c r="J243" s="22">
        <f>NETWORKDAYS(Christus_Emp_Table[[#This Row],[From Date:]],Christus_Emp_Table[[#This Row],[To Date:]])</f>
        <v>1</v>
      </c>
      <c r="L243" s="22" t="str">
        <f>_xlfn.XLOOKUP(Christus_Emp_Table[[#This Row],[Analyst Name:]],Table1[Analyst Name],Table1[Lead])</f>
        <v>Nitish Kumar</v>
      </c>
    </row>
    <row r="244" spans="1:12" x14ac:dyDescent="0.35">
      <c r="A244" s="21" t="s">
        <v>58</v>
      </c>
      <c r="B244" s="22" t="str">
        <f>_xlfn.XLOOKUP(Christus_Emp_Table[[#This Row],[Analyst Name:]],Table1[Analyst Name],Table1[Deloitte Email ID])</f>
        <v>rmbabu@deloitte.com</v>
      </c>
      <c r="C244" s="22" t="str">
        <f>_xlfn.XLOOKUP(Christus_Emp_Table[[#This Row],[Analyst Name:]],Table1[Analyst Name],Table1[Module])</f>
        <v>ECLink</v>
      </c>
      <c r="D244" s="22" t="str">
        <f>_xlfn.XLOOKUP(Christus_Emp_Table[[#This Row],[Analyst Name:]],Table1[Analyst Name],Table1[Location])</f>
        <v>HYD</v>
      </c>
      <c r="E244" s="22" t="s">
        <v>127</v>
      </c>
      <c r="F244" s="17">
        <v>45901</v>
      </c>
      <c r="G244" s="17">
        <v>45903</v>
      </c>
      <c r="H244" s="22" t="s">
        <v>127</v>
      </c>
      <c r="I244" s="22" t="s">
        <v>128</v>
      </c>
      <c r="J244" s="22">
        <f>NETWORKDAYS(Christus_Emp_Table[[#This Row],[From Date:]],Christus_Emp_Table[[#This Row],[To Date:]])</f>
        <v>3</v>
      </c>
      <c r="L244" s="22" t="str">
        <f>_xlfn.XLOOKUP(Christus_Emp_Table[[#This Row],[Analyst Name:]],Table1[Analyst Name],Table1[Lead])</f>
        <v>Nitish Kumar</v>
      </c>
    </row>
    <row r="245" spans="1:12" x14ac:dyDescent="0.35">
      <c r="A245" s="21" t="s">
        <v>48</v>
      </c>
      <c r="B245" s="22" t="str">
        <f>_xlfn.XLOOKUP(Christus_Emp_Table[[#This Row],[Analyst Name:]],Table1[Analyst Name],Table1[Deloitte Email ID])</f>
        <v>dwaikar@deloitte.com</v>
      </c>
      <c r="C245" s="22" t="str">
        <f>_xlfn.XLOOKUP(Christus_Emp_Table[[#This Row],[Analyst Name:]],Table1[Analyst Name],Table1[Module])</f>
        <v>SER</v>
      </c>
      <c r="D245" s="22" t="str">
        <f>_xlfn.XLOOKUP(Christus_Emp_Table[[#This Row],[Analyst Name:]],Table1[Analyst Name],Table1[Location])</f>
        <v>BLR</v>
      </c>
      <c r="E245" s="22" t="s">
        <v>127</v>
      </c>
      <c r="F245" s="17">
        <v>45929</v>
      </c>
      <c r="G245" s="17">
        <v>45930</v>
      </c>
      <c r="H245" s="22" t="s">
        <v>127</v>
      </c>
      <c r="I245" s="22" t="s">
        <v>128</v>
      </c>
      <c r="J245" s="22">
        <f>NETWORKDAYS(Christus_Emp_Table[[#This Row],[From Date:]],Christus_Emp_Table[[#This Row],[To Date:]])</f>
        <v>2</v>
      </c>
      <c r="L245" s="22" t="str">
        <f>_xlfn.XLOOKUP(Christus_Emp_Table[[#This Row],[Analyst Name:]],Table1[Analyst Name],Table1[Lead])</f>
        <v>Ankita Roy</v>
      </c>
    </row>
    <row r="246" spans="1:12" x14ac:dyDescent="0.35">
      <c r="A246" s="21" t="s">
        <v>33</v>
      </c>
      <c r="B246" s="22" t="str">
        <f>_xlfn.XLOOKUP(Christus_Emp_Table[[#This Row],[Analyst Name:]],Table1[Analyst Name],Table1[Deloitte Email ID])</f>
        <v>pjagdishzalavadia@deloitte.com</v>
      </c>
      <c r="C246" s="22" t="str">
        <f>_xlfn.XLOOKUP(Christus_Emp_Table[[#This Row],[Analyst Name:]],Table1[Analyst Name],Table1[Module])</f>
        <v>Bridges</v>
      </c>
      <c r="D246" s="22" t="str">
        <f>_xlfn.XLOOKUP(Christus_Emp_Table[[#This Row],[Analyst Name:]],Table1[Analyst Name],Table1[Location])</f>
        <v>BLR</v>
      </c>
      <c r="E246" s="19" t="s">
        <v>112</v>
      </c>
      <c r="F246" s="17">
        <v>45901</v>
      </c>
      <c r="G246" s="17">
        <v>45903</v>
      </c>
      <c r="H246" s="22" t="s">
        <v>129</v>
      </c>
      <c r="I246" s="22" t="s">
        <v>128</v>
      </c>
      <c r="J246" s="22">
        <f>NETWORKDAYS(Christus_Emp_Table[[#This Row],[From Date:]],Christus_Emp_Table[[#This Row],[To Date:]])</f>
        <v>3</v>
      </c>
      <c r="L246" s="22" t="str">
        <f>_xlfn.XLOOKUP(Christus_Emp_Table[[#This Row],[Analyst Name:]],Table1[Analyst Name],Table1[Lead])</f>
        <v>Tanima Debmallik/Nitish Kumar</v>
      </c>
    </row>
    <row r="247" spans="1:12" x14ac:dyDescent="0.35">
      <c r="A247" s="21" t="s">
        <v>33</v>
      </c>
      <c r="B247" s="22" t="str">
        <f>_xlfn.XLOOKUP(Christus_Emp_Table[[#This Row],[Analyst Name:]],Table1[Analyst Name],Table1[Deloitte Email ID])</f>
        <v>pjagdishzalavadia@deloitte.com</v>
      </c>
      <c r="C247" s="22" t="str">
        <f>_xlfn.XLOOKUP(Christus_Emp_Table[[#This Row],[Analyst Name:]],Table1[Analyst Name],Table1[Module])</f>
        <v>Bridges</v>
      </c>
      <c r="D247" s="22" t="str">
        <f>_xlfn.XLOOKUP(Christus_Emp_Table[[#This Row],[Analyst Name:]],Table1[Analyst Name],Table1[Location])</f>
        <v>BLR</v>
      </c>
      <c r="E247" s="22" t="s">
        <v>130</v>
      </c>
      <c r="F247" s="17">
        <v>45919</v>
      </c>
      <c r="G247" s="17">
        <v>45919</v>
      </c>
      <c r="H247" s="22" t="s">
        <v>130</v>
      </c>
      <c r="I247" s="22" t="s">
        <v>128</v>
      </c>
      <c r="J247" s="22">
        <f>NETWORKDAYS(Christus_Emp_Table[[#This Row],[From Date:]],Christus_Emp_Table[[#This Row],[To Date:]])</f>
        <v>1</v>
      </c>
      <c r="L247" s="22" t="str">
        <f>_xlfn.XLOOKUP(Christus_Emp_Table[[#This Row],[Analyst Name:]],Table1[Analyst Name],Table1[Lead])</f>
        <v>Tanima Debmallik/Nitish Kumar</v>
      </c>
    </row>
    <row r="248" spans="1:12" x14ac:dyDescent="0.35">
      <c r="A248" s="21" t="s">
        <v>43</v>
      </c>
      <c r="B248" s="22" t="str">
        <f>_xlfn.XLOOKUP(Christus_Emp_Table[[#This Row],[Analyst Name:]],Table1[Analyst Name],Table1[Deloitte Email ID])</f>
        <v>frai@deloitte.com</v>
      </c>
      <c r="C248" s="22" t="str">
        <f>_xlfn.XLOOKUP(Christus_Emp_Table[[#This Row],[Analyst Name:]],Table1[Analyst Name],Table1[Module])</f>
        <v>MyChart</v>
      </c>
      <c r="D248" s="22" t="str">
        <f>_xlfn.XLOOKUP(Christus_Emp_Table[[#This Row],[Analyst Name:]],Table1[Analyst Name],Table1[Location])</f>
        <v>HYD</v>
      </c>
      <c r="E248" s="19" t="s">
        <v>112</v>
      </c>
      <c r="F248" s="17">
        <v>45910</v>
      </c>
      <c r="G248" s="17">
        <v>45910</v>
      </c>
      <c r="H248" s="22" t="s">
        <v>129</v>
      </c>
      <c r="I248" s="22" t="s">
        <v>128</v>
      </c>
      <c r="J248" s="22">
        <f>NETWORKDAYS(Christus_Emp_Table[[#This Row],[From Date:]],Christus_Emp_Table[[#This Row],[To Date:]])</f>
        <v>1</v>
      </c>
      <c r="L248" s="22" t="str">
        <f>_xlfn.XLOOKUP(Christus_Emp_Table[[#This Row],[Analyst Name:]],Table1[Analyst Name],Table1[Lead])</f>
        <v>Nitish Kumar</v>
      </c>
    </row>
    <row r="249" spans="1:12" x14ac:dyDescent="0.35">
      <c r="A249" s="21" t="s">
        <v>6</v>
      </c>
      <c r="B249" s="22" t="str">
        <f>_xlfn.XLOOKUP(Christus_Emp_Table[[#This Row],[Analyst Name:]],Table1[Analyst Name],Table1[Deloitte Email ID])</f>
        <v>nitishkumar44@deloitte.com</v>
      </c>
      <c r="C249" s="22" t="str">
        <f>_xlfn.XLOOKUP(Christus_Emp_Table[[#This Row],[Analyst Name:]],Table1[Analyst Name],Table1[Module])</f>
        <v>Reporting</v>
      </c>
      <c r="D249" s="22" t="str">
        <f>_xlfn.XLOOKUP(Christus_Emp_Table[[#This Row],[Analyst Name:]],Table1[Analyst Name],Table1[Location])</f>
        <v>BLR</v>
      </c>
      <c r="E249" s="22" t="s">
        <v>127</v>
      </c>
      <c r="F249" s="17">
        <v>45905</v>
      </c>
      <c r="G249" s="17">
        <v>45905</v>
      </c>
      <c r="H249" s="22" t="s">
        <v>127</v>
      </c>
      <c r="I249" s="22" t="s">
        <v>128</v>
      </c>
      <c r="J249" s="22">
        <f>NETWORKDAYS(Christus_Emp_Table[[#This Row],[From Date:]],Christus_Emp_Table[[#This Row],[To Date:]])</f>
        <v>1</v>
      </c>
      <c r="L249" s="22">
        <f>_xlfn.XLOOKUP(Christus_Emp_Table[[#This Row],[Analyst Name:]],Table1[Analyst Name],Table1[Lead])</f>
        <v>0</v>
      </c>
    </row>
    <row r="250" spans="1:12" x14ac:dyDescent="0.35">
      <c r="A250" s="21" t="s">
        <v>6</v>
      </c>
      <c r="B250" s="22" t="str">
        <f>_xlfn.XLOOKUP(Christus_Emp_Table[[#This Row],[Analyst Name:]],Table1[Analyst Name],Table1[Deloitte Email ID])</f>
        <v>nitishkumar44@deloitte.com</v>
      </c>
      <c r="C250" s="22" t="str">
        <f>_xlfn.XLOOKUP(Christus_Emp_Table[[#This Row],[Analyst Name:]],Table1[Analyst Name],Table1[Module])</f>
        <v>Reporting</v>
      </c>
      <c r="D250" s="22" t="str">
        <f>_xlfn.XLOOKUP(Christus_Emp_Table[[#This Row],[Analyst Name:]],Table1[Analyst Name],Table1[Location])</f>
        <v>BLR</v>
      </c>
      <c r="E250" s="22" t="s">
        <v>130</v>
      </c>
      <c r="F250" s="17">
        <v>45915</v>
      </c>
      <c r="G250" s="17">
        <v>45915</v>
      </c>
      <c r="H250" s="22" t="s">
        <v>130</v>
      </c>
      <c r="I250" s="22" t="s">
        <v>128</v>
      </c>
      <c r="J250" s="22">
        <f>NETWORKDAYS(Christus_Emp_Table[[#This Row],[From Date:]],Christus_Emp_Table[[#This Row],[To Date:]])</f>
        <v>1</v>
      </c>
      <c r="L250" s="22">
        <f>_xlfn.XLOOKUP(Christus_Emp_Table[[#This Row],[Analyst Name:]],Table1[Analyst Name],Table1[Lead])</f>
        <v>0</v>
      </c>
    </row>
    <row r="251" spans="1:12" x14ac:dyDescent="0.35">
      <c r="A251" s="21" t="s">
        <v>6</v>
      </c>
      <c r="B251" s="22" t="str">
        <f>_xlfn.XLOOKUP(Christus_Emp_Table[[#This Row],[Analyst Name:]],Table1[Analyst Name],Table1[Deloitte Email ID])</f>
        <v>nitishkumar44@deloitte.com</v>
      </c>
      <c r="C251" s="22" t="str">
        <f>_xlfn.XLOOKUP(Christus_Emp_Table[[#This Row],[Analyst Name:]],Table1[Analyst Name],Table1[Module])</f>
        <v>Reporting</v>
      </c>
      <c r="D251" s="22" t="str">
        <f>_xlfn.XLOOKUP(Christus_Emp_Table[[#This Row],[Analyst Name:]],Table1[Analyst Name],Table1[Location])</f>
        <v>BLR</v>
      </c>
      <c r="E251" s="22" t="s">
        <v>127</v>
      </c>
      <c r="F251" s="17">
        <v>45926</v>
      </c>
      <c r="G251" s="17">
        <v>45930</v>
      </c>
      <c r="H251" s="22" t="s">
        <v>127</v>
      </c>
      <c r="I251" s="22" t="s">
        <v>128</v>
      </c>
      <c r="J251" s="22">
        <f>NETWORKDAYS(Christus_Emp_Table[[#This Row],[From Date:]],Christus_Emp_Table[[#This Row],[To Date:]])</f>
        <v>3</v>
      </c>
      <c r="L251" s="22">
        <f>_xlfn.XLOOKUP(Christus_Emp_Table[[#This Row],[Analyst Name:]],Table1[Analyst Name],Table1[Lead])</f>
        <v>0</v>
      </c>
    </row>
    <row r="252" spans="1:12" x14ac:dyDescent="0.35">
      <c r="A252" s="21" t="s">
        <v>29</v>
      </c>
      <c r="B252" s="22" t="str">
        <f>_xlfn.XLOOKUP(Christus_Emp_Table[[#This Row],[Analyst Name:]],Table1[Analyst Name],Table1[Deloitte Email ID])</f>
        <v>gigollapudi@deloitte.com</v>
      </c>
      <c r="C252" s="22" t="str">
        <f>_xlfn.XLOOKUP(Christus_Emp_Table[[#This Row],[Analyst Name:]],Table1[Analyst Name],Table1[Module])</f>
        <v>Reporting</v>
      </c>
      <c r="D252" s="22" t="str">
        <f>_xlfn.XLOOKUP(Christus_Emp_Table[[#This Row],[Analyst Name:]],Table1[Analyst Name],Table1[Location])</f>
        <v>HYD</v>
      </c>
      <c r="E252" s="22" t="s">
        <v>127</v>
      </c>
      <c r="F252" s="17">
        <v>45933</v>
      </c>
      <c r="G252" s="17">
        <v>45933</v>
      </c>
      <c r="H252" s="22" t="s">
        <v>127</v>
      </c>
      <c r="I252" s="22" t="s">
        <v>128</v>
      </c>
      <c r="J252" s="22">
        <f>NETWORKDAYS(Christus_Emp_Table[[#This Row],[From Date:]],Christus_Emp_Table[[#This Row],[To Date:]])</f>
        <v>1</v>
      </c>
      <c r="L252" s="22" t="str">
        <f>_xlfn.XLOOKUP(Christus_Emp_Table[[#This Row],[Analyst Name:]],Table1[Analyst Name],Table1[Lead])</f>
        <v>Jagannath Belel</v>
      </c>
    </row>
    <row r="253" spans="1:12" x14ac:dyDescent="0.35">
      <c r="A253" s="21" t="s">
        <v>29</v>
      </c>
      <c r="B253" s="22" t="str">
        <f>_xlfn.XLOOKUP(Christus_Emp_Table[[#This Row],[Analyst Name:]],Table1[Analyst Name],Table1[Deloitte Email ID])</f>
        <v>gigollapudi@deloitte.com</v>
      </c>
      <c r="C253" s="22" t="str">
        <f>_xlfn.XLOOKUP(Christus_Emp_Table[[#This Row],[Analyst Name:]],Table1[Analyst Name],Table1[Module])</f>
        <v>Reporting</v>
      </c>
      <c r="D253" s="22" t="str">
        <f>_xlfn.XLOOKUP(Christus_Emp_Table[[#This Row],[Analyst Name:]],Table1[Analyst Name],Table1[Location])</f>
        <v>HYD</v>
      </c>
      <c r="E253" s="19" t="s">
        <v>112</v>
      </c>
      <c r="F253" s="17">
        <v>45954</v>
      </c>
      <c r="G253" s="17">
        <v>45961</v>
      </c>
      <c r="H253" s="22" t="s">
        <v>129</v>
      </c>
      <c r="I253" s="22" t="s">
        <v>128</v>
      </c>
      <c r="J253" s="22">
        <f>NETWORKDAYS(Christus_Emp_Table[[#This Row],[From Date:]],Christus_Emp_Table[[#This Row],[To Date:]])</f>
        <v>6</v>
      </c>
      <c r="L253" s="22" t="str">
        <f>_xlfn.XLOOKUP(Christus_Emp_Table[[#This Row],[Analyst Name:]],Table1[Analyst Name],Table1[Lead])</f>
        <v>Jagannath Belel</v>
      </c>
    </row>
    <row r="254" spans="1:12" x14ac:dyDescent="0.35">
      <c r="A254" s="21" t="s">
        <v>27</v>
      </c>
      <c r="B254" s="22" t="str">
        <f>_xlfn.XLOOKUP(Christus_Emp_Table[[#This Row],[Analyst Name:]],Table1[Analyst Name],Table1[Deloitte Email ID])</f>
        <v>sancyadav@deloitte.com</v>
      </c>
      <c r="C254" s="22" t="str">
        <f>_xlfn.XLOOKUP(Christus_Emp_Table[[#This Row],[Analyst Name:]],Table1[Analyst Name],Table1[Module])</f>
        <v>Reporting</v>
      </c>
      <c r="D254" s="22" t="str">
        <f>_xlfn.XLOOKUP(Christus_Emp_Table[[#This Row],[Analyst Name:]],Table1[Analyst Name],Table1[Location])</f>
        <v>HYD</v>
      </c>
      <c r="E254" s="22" t="s">
        <v>127</v>
      </c>
      <c r="F254" s="17">
        <v>45953</v>
      </c>
      <c r="G254" s="17">
        <v>45953</v>
      </c>
      <c r="H254" s="22" t="s">
        <v>127</v>
      </c>
      <c r="I254" s="22" t="s">
        <v>128</v>
      </c>
      <c r="J254" s="22">
        <f>NETWORKDAYS(Christus_Emp_Table[[#This Row],[From Date:]],Christus_Emp_Table[[#This Row],[To Date:]])</f>
        <v>1</v>
      </c>
      <c r="L254" s="22" t="str">
        <f>_xlfn.XLOOKUP(Christus_Emp_Table[[#This Row],[Analyst Name:]],Table1[Analyst Name],Table1[Lead])</f>
        <v>Nitish Kumar</v>
      </c>
    </row>
    <row r="255" spans="1:12" x14ac:dyDescent="0.35">
      <c r="A255" s="21" t="s">
        <v>27</v>
      </c>
      <c r="B255" s="22" t="str">
        <f>_xlfn.XLOOKUP(Christus_Emp_Table[[#This Row],[Analyst Name:]],Table1[Analyst Name],Table1[Deloitte Email ID])</f>
        <v>sancyadav@deloitte.com</v>
      </c>
      <c r="C255" s="22" t="str">
        <f>_xlfn.XLOOKUP(Christus_Emp_Table[[#This Row],[Analyst Name:]],Table1[Analyst Name],Table1[Module])</f>
        <v>Reporting</v>
      </c>
      <c r="D255" s="22" t="str">
        <f>_xlfn.XLOOKUP(Christus_Emp_Table[[#This Row],[Analyst Name:]],Table1[Analyst Name],Table1[Location])</f>
        <v>HYD</v>
      </c>
      <c r="E255" s="19" t="s">
        <v>112</v>
      </c>
      <c r="F255" s="17">
        <v>45959</v>
      </c>
      <c r="G255" s="17">
        <v>45959</v>
      </c>
      <c r="H255" s="22" t="s">
        <v>129</v>
      </c>
      <c r="I255" s="22" t="s">
        <v>128</v>
      </c>
      <c r="J255" s="22">
        <f>NETWORKDAYS(Christus_Emp_Table[[#This Row],[From Date:]],Christus_Emp_Table[[#This Row],[To Date:]])</f>
        <v>1</v>
      </c>
      <c r="L255" s="22" t="str">
        <f>_xlfn.XLOOKUP(Christus_Emp_Table[[#This Row],[Analyst Name:]],Table1[Analyst Name],Table1[Lead])</f>
        <v>Nitish Kumar</v>
      </c>
    </row>
    <row r="256" spans="1:12" x14ac:dyDescent="0.35">
      <c r="A256" s="21" t="s">
        <v>36</v>
      </c>
      <c r="B256" s="22" t="str">
        <f>_xlfn.XLOOKUP(Christus_Emp_Table[[#This Row],[Analyst Name:]],Table1[Analyst Name],Table1[Deloitte Email ID])</f>
        <v>jpaul4@deloitte.com</v>
      </c>
      <c r="C256" s="22" t="str">
        <f>_xlfn.XLOOKUP(Christus_Emp_Table[[#This Row],[Analyst Name:]],Table1[Analyst Name],Table1[Module])</f>
        <v>Bridges</v>
      </c>
      <c r="D256" s="22" t="str">
        <f>_xlfn.XLOOKUP(Christus_Emp_Table[[#This Row],[Analyst Name:]],Table1[Analyst Name],Table1[Location])</f>
        <v>BLR</v>
      </c>
      <c r="E256" s="19" t="s">
        <v>112</v>
      </c>
      <c r="F256" s="17">
        <v>45953</v>
      </c>
      <c r="G256" s="17">
        <v>45953</v>
      </c>
      <c r="H256" s="22" t="s">
        <v>129</v>
      </c>
      <c r="I256" s="22" t="s">
        <v>128</v>
      </c>
      <c r="J256" s="22">
        <f>NETWORKDAYS(Christus_Emp_Table[[#This Row],[From Date:]],Christus_Emp_Table[[#This Row],[To Date:]])</f>
        <v>1</v>
      </c>
      <c r="L256" s="22" t="str">
        <f>_xlfn.XLOOKUP(Christus_Emp_Table[[#This Row],[Analyst Name:]],Table1[Analyst Name],Table1[Lead])</f>
        <v>Parth Zalavadia</v>
      </c>
    </row>
    <row r="257" spans="1:12" x14ac:dyDescent="0.35">
      <c r="A257" s="21" t="s">
        <v>36</v>
      </c>
      <c r="B257" s="22" t="str">
        <f>_xlfn.XLOOKUP(Christus_Emp_Table[[#This Row],[Analyst Name:]],Table1[Analyst Name],Table1[Deloitte Email ID])</f>
        <v>jpaul4@deloitte.com</v>
      </c>
      <c r="C257" s="22" t="str">
        <f>_xlfn.XLOOKUP(Christus_Emp_Table[[#This Row],[Analyst Name:]],Table1[Analyst Name],Table1[Module])</f>
        <v>Bridges</v>
      </c>
      <c r="D257" s="22" t="str">
        <f>_xlfn.XLOOKUP(Christus_Emp_Table[[#This Row],[Analyst Name:]],Table1[Analyst Name],Table1[Location])</f>
        <v>BLR</v>
      </c>
      <c r="E257" s="22" t="s">
        <v>127</v>
      </c>
      <c r="F257" s="17">
        <v>45933</v>
      </c>
      <c r="G257" s="17">
        <v>45933</v>
      </c>
      <c r="H257" s="22" t="s">
        <v>127</v>
      </c>
      <c r="I257" s="22" t="s">
        <v>128</v>
      </c>
      <c r="J257" s="22">
        <f>NETWORKDAYS(Christus_Emp_Table[[#This Row],[From Date:]],Christus_Emp_Table[[#This Row],[To Date:]])</f>
        <v>1</v>
      </c>
      <c r="L257" s="22" t="str">
        <f>_xlfn.XLOOKUP(Christus_Emp_Table[[#This Row],[Analyst Name:]],Table1[Analyst Name],Table1[Lead])</f>
        <v>Parth Zalavadia</v>
      </c>
    </row>
    <row r="258" spans="1:12" x14ac:dyDescent="0.35">
      <c r="A258" s="21" t="s">
        <v>36</v>
      </c>
      <c r="B258" s="22" t="str">
        <f>_xlfn.XLOOKUP(Christus_Emp_Table[[#This Row],[Analyst Name:]],Table1[Analyst Name],Table1[Deloitte Email ID])</f>
        <v>jpaul4@deloitte.com</v>
      </c>
      <c r="C258" s="22" t="str">
        <f>_xlfn.XLOOKUP(Christus_Emp_Table[[#This Row],[Analyst Name:]],Table1[Analyst Name],Table1[Module])</f>
        <v>Bridges</v>
      </c>
      <c r="D258" s="22" t="str">
        <f>_xlfn.XLOOKUP(Christus_Emp_Table[[#This Row],[Analyst Name:]],Table1[Analyst Name],Table1[Location])</f>
        <v>BLR</v>
      </c>
      <c r="E258" s="22" t="s">
        <v>127</v>
      </c>
      <c r="F258" s="17">
        <v>45938</v>
      </c>
      <c r="G258" s="17">
        <v>45938</v>
      </c>
      <c r="H258" s="22" t="s">
        <v>127</v>
      </c>
      <c r="I258" s="22" t="s">
        <v>128</v>
      </c>
      <c r="J258" s="22">
        <f>NETWORKDAYS(Christus_Emp_Table[[#This Row],[From Date:]],Christus_Emp_Table[[#This Row],[To Date:]])</f>
        <v>1</v>
      </c>
      <c r="L258" s="22" t="str">
        <f>_xlfn.XLOOKUP(Christus_Emp_Table[[#This Row],[Analyst Name:]],Table1[Analyst Name],Table1[Lead])</f>
        <v>Parth Zalavadia</v>
      </c>
    </row>
    <row r="259" spans="1:12" x14ac:dyDescent="0.35">
      <c r="A259" s="21" t="s">
        <v>16</v>
      </c>
      <c r="B259" s="22" t="str">
        <f>_xlfn.XLOOKUP(Christus_Emp_Table[[#This Row],[Analyst Name:]],Table1[Analyst Name],Table1[Deloitte Email ID])</f>
        <v>abalagopalan@deloitte.com</v>
      </c>
      <c r="C259" s="22" t="str">
        <f>_xlfn.XLOOKUP(Christus_Emp_Table[[#This Row],[Analyst Name:]],Table1[Analyst Name],Table1[Module])</f>
        <v>Reporting</v>
      </c>
      <c r="D259" s="22" t="str">
        <f>_xlfn.XLOOKUP(Christus_Emp_Table[[#This Row],[Analyst Name:]],Table1[Analyst Name],Table1[Location])</f>
        <v>BLR</v>
      </c>
      <c r="E259" s="22" t="s">
        <v>127</v>
      </c>
      <c r="F259" s="17">
        <v>45952</v>
      </c>
      <c r="G259" s="17">
        <v>45952</v>
      </c>
      <c r="H259" s="22" t="s">
        <v>127</v>
      </c>
      <c r="I259" s="22" t="s">
        <v>128</v>
      </c>
      <c r="J259" s="22">
        <f>NETWORKDAYS(Christus_Emp_Table[[#This Row],[From Date:]],Christus_Emp_Table[[#This Row],[To Date:]])</f>
        <v>1</v>
      </c>
      <c r="L259" s="22" t="str">
        <f>_xlfn.XLOOKUP(Christus_Emp_Table[[#This Row],[Analyst Name:]],Table1[Analyst Name],Table1[Lead])</f>
        <v>Jagannath Belel</v>
      </c>
    </row>
    <row r="260" spans="1:12" x14ac:dyDescent="0.35">
      <c r="A260" s="21" t="s">
        <v>16</v>
      </c>
      <c r="B260" s="22" t="str">
        <f>_xlfn.XLOOKUP(Christus_Emp_Table[[#This Row],[Analyst Name:]],Table1[Analyst Name],Table1[Deloitte Email ID])</f>
        <v>abalagopalan@deloitte.com</v>
      </c>
      <c r="C260" s="22" t="str">
        <f>_xlfn.XLOOKUP(Christus_Emp_Table[[#This Row],[Analyst Name:]],Table1[Analyst Name],Table1[Module])</f>
        <v>Reporting</v>
      </c>
      <c r="D260" s="22" t="str">
        <f>_xlfn.XLOOKUP(Christus_Emp_Table[[#This Row],[Analyst Name:]],Table1[Analyst Name],Table1[Location])</f>
        <v>BLR</v>
      </c>
      <c r="E260" s="19" t="s">
        <v>112</v>
      </c>
      <c r="F260" s="17">
        <v>45957</v>
      </c>
      <c r="G260" s="17">
        <v>45957</v>
      </c>
      <c r="H260" s="22" t="s">
        <v>129</v>
      </c>
      <c r="I260" s="22" t="s">
        <v>128</v>
      </c>
      <c r="J260" s="22">
        <f>NETWORKDAYS(Christus_Emp_Table[[#This Row],[From Date:]],Christus_Emp_Table[[#This Row],[To Date:]])</f>
        <v>1</v>
      </c>
      <c r="L260" s="22" t="str">
        <f>_xlfn.XLOOKUP(Christus_Emp_Table[[#This Row],[Analyst Name:]],Table1[Analyst Name],Table1[Lead])</f>
        <v>Jagannath Belel</v>
      </c>
    </row>
    <row r="261" spans="1:12" x14ac:dyDescent="0.35">
      <c r="A261" s="21" t="s">
        <v>13</v>
      </c>
      <c r="B261" s="22" t="str">
        <f>_xlfn.XLOOKUP(Christus_Emp_Table[[#This Row],[Analyst Name:]],Table1[Analyst Name],Table1[Deloitte Email ID])</f>
        <v>srug@deloitte.com</v>
      </c>
      <c r="C261" s="22" t="str">
        <f>_xlfn.XLOOKUP(Christus_Emp_Table[[#This Row],[Analyst Name:]],Table1[Analyst Name],Table1[Module])</f>
        <v>Reporting</v>
      </c>
      <c r="D261" s="22" t="str">
        <f>_xlfn.XLOOKUP(Christus_Emp_Table[[#This Row],[Analyst Name:]],Table1[Analyst Name],Table1[Location])</f>
        <v>BLR</v>
      </c>
      <c r="E261" s="19" t="s">
        <v>112</v>
      </c>
      <c r="F261" s="17">
        <v>45954</v>
      </c>
      <c r="G261" s="17">
        <v>45954</v>
      </c>
      <c r="H261" s="22" t="s">
        <v>129</v>
      </c>
      <c r="I261" s="22" t="s">
        <v>128</v>
      </c>
      <c r="J261" s="22">
        <f>NETWORKDAYS(Christus_Emp_Table[[#This Row],[From Date:]],Christus_Emp_Table[[#This Row],[To Date:]])</f>
        <v>1</v>
      </c>
      <c r="L261" s="22" t="str">
        <f>_xlfn.XLOOKUP(Christus_Emp_Table[[#This Row],[Analyst Name:]],Table1[Analyst Name],Table1[Lead])</f>
        <v>Jagannath Belel</v>
      </c>
    </row>
    <row r="262" spans="1:12" x14ac:dyDescent="0.35">
      <c r="A262" s="21" t="s">
        <v>13</v>
      </c>
      <c r="B262" s="22" t="str">
        <f>_xlfn.XLOOKUP(Christus_Emp_Table[[#This Row],[Analyst Name:]],Table1[Analyst Name],Table1[Deloitte Email ID])</f>
        <v>srug@deloitte.com</v>
      </c>
      <c r="C262" s="22" t="str">
        <f>_xlfn.XLOOKUP(Christus_Emp_Table[[#This Row],[Analyst Name:]],Table1[Analyst Name],Table1[Module])</f>
        <v>Reporting</v>
      </c>
      <c r="D262" s="22" t="str">
        <f>_xlfn.XLOOKUP(Christus_Emp_Table[[#This Row],[Analyst Name:]],Table1[Analyst Name],Table1[Location])</f>
        <v>BLR</v>
      </c>
      <c r="E262" s="22" t="s">
        <v>130</v>
      </c>
      <c r="F262" s="17">
        <v>45953</v>
      </c>
      <c r="G262" s="17">
        <v>45953</v>
      </c>
      <c r="H262" s="22" t="s">
        <v>130</v>
      </c>
      <c r="I262" s="22" t="s">
        <v>128</v>
      </c>
      <c r="J262" s="22">
        <f>NETWORKDAYS(Christus_Emp_Table[[#This Row],[From Date:]],Christus_Emp_Table[[#This Row],[To Date:]])</f>
        <v>1</v>
      </c>
      <c r="L262" s="22" t="str">
        <f>_xlfn.XLOOKUP(Christus_Emp_Table[[#This Row],[Analyst Name:]],Table1[Analyst Name],Table1[Lead])</f>
        <v>Jagannath Belel</v>
      </c>
    </row>
    <row r="263" spans="1:12" x14ac:dyDescent="0.35">
      <c r="A263" s="21" t="s">
        <v>68</v>
      </c>
      <c r="B263" s="22" t="str">
        <f>_xlfn.XLOOKUP(Christus_Emp_Table[[#This Row],[Analyst Name:]],Table1[Analyst Name],Table1[Deloitte Email ID])</f>
        <v>anussaha@deloitte.com</v>
      </c>
      <c r="C263" s="22" t="str">
        <f>_xlfn.XLOOKUP(Christus_Emp_Table[[#This Row],[Analyst Name:]],Table1[Analyst Name],Table1[Module])</f>
        <v>Automation</v>
      </c>
      <c r="D263" s="22" t="str">
        <f>_xlfn.XLOOKUP(Christus_Emp_Table[[#This Row],[Analyst Name:]],Table1[Analyst Name],Table1[Location])</f>
        <v>HYD</v>
      </c>
      <c r="E263" s="22" t="s">
        <v>127</v>
      </c>
      <c r="F263" s="17">
        <v>45931</v>
      </c>
      <c r="G263" s="17">
        <v>45933</v>
      </c>
      <c r="H263" s="22" t="s">
        <v>127</v>
      </c>
      <c r="I263" s="22" t="s">
        <v>128</v>
      </c>
      <c r="J263" s="22">
        <f>NETWORKDAYS(Christus_Emp_Table[[#This Row],[From Date:]],Christus_Emp_Table[[#This Row],[To Date:]])</f>
        <v>3</v>
      </c>
      <c r="L263" s="22" t="str">
        <f>_xlfn.XLOOKUP(Christus_Emp_Table[[#This Row],[Analyst Name:]],Table1[Analyst Name],Table1[Lead])</f>
        <v>Nitish Kumar</v>
      </c>
    </row>
    <row r="264" spans="1:12" x14ac:dyDescent="0.35">
      <c r="A264" s="21" t="s">
        <v>66</v>
      </c>
      <c r="B264" s="22" t="str">
        <f>_xlfn.XLOOKUP(Christus_Emp_Table[[#This Row],[Analyst Name:]],Table1[Analyst Name],Table1[Deloitte Email ID])</f>
        <v>akshayakumar@deloitte.com</v>
      </c>
      <c r="C264" s="22" t="str">
        <f>_xlfn.XLOOKUP(Christus_Emp_Table[[#This Row],[Analyst Name:]],Table1[Analyst Name],Table1[Module])</f>
        <v>Automation</v>
      </c>
      <c r="D264" s="22" t="str">
        <f>_xlfn.XLOOKUP(Christus_Emp_Table[[#This Row],[Analyst Name:]],Table1[Analyst Name],Table1[Location])</f>
        <v>BLR</v>
      </c>
      <c r="E264" s="22" t="s">
        <v>127</v>
      </c>
      <c r="F264" s="17">
        <v>45933</v>
      </c>
      <c r="G264" s="17">
        <v>45936</v>
      </c>
      <c r="H264" s="22" t="s">
        <v>127</v>
      </c>
      <c r="I264" s="22" t="s">
        <v>128</v>
      </c>
      <c r="J264" s="22">
        <f>NETWORKDAYS(Christus_Emp_Table[[#This Row],[From Date:]],Christus_Emp_Table[[#This Row],[To Date:]])</f>
        <v>2</v>
      </c>
      <c r="L264" s="22" t="str">
        <f>_xlfn.XLOOKUP(Christus_Emp_Table[[#This Row],[Analyst Name:]],Table1[Analyst Name],Table1[Lead])</f>
        <v>Parth Zalavadia</v>
      </c>
    </row>
    <row r="265" spans="1:12" x14ac:dyDescent="0.35">
      <c r="A265" s="21" t="s">
        <v>52</v>
      </c>
      <c r="B265" s="22" t="str">
        <f>_xlfn.XLOOKUP(Christus_Emp_Table[[#This Row],[Analyst Name:]],Table1[Analyst Name],Table1[Deloitte Email ID])</f>
        <v>Drajitha@deloitte.com</v>
      </c>
      <c r="C265" s="22" t="str">
        <f>_xlfn.XLOOKUP(Christus_Emp_Table[[#This Row],[Analyst Name:]],Table1[Analyst Name],Table1[Module])</f>
        <v>SER</v>
      </c>
      <c r="D265" s="22" t="str">
        <f>_xlfn.XLOOKUP(Christus_Emp_Table[[#This Row],[Analyst Name:]],Table1[Analyst Name],Table1[Location])</f>
        <v>BLR</v>
      </c>
      <c r="E265" s="22" t="s">
        <v>127</v>
      </c>
      <c r="F265" s="17">
        <v>45933</v>
      </c>
      <c r="G265" s="17">
        <v>45933</v>
      </c>
      <c r="H265" s="22" t="s">
        <v>127</v>
      </c>
      <c r="I265" s="22" t="s">
        <v>128</v>
      </c>
      <c r="J265" s="22">
        <f>NETWORKDAYS(Christus_Emp_Table[[#This Row],[From Date:]],Christus_Emp_Table[[#This Row],[To Date:]])</f>
        <v>1</v>
      </c>
      <c r="L265" s="22" t="str">
        <f>_xlfn.XLOOKUP(Christus_Emp_Table[[#This Row],[Analyst Name:]],Table1[Analyst Name],Table1[Lead])</f>
        <v>Ankita Roy</v>
      </c>
    </row>
    <row r="266" spans="1:12" x14ac:dyDescent="0.35">
      <c r="A266" s="21" t="s">
        <v>52</v>
      </c>
      <c r="B266" s="22" t="str">
        <f>_xlfn.XLOOKUP(Christus_Emp_Table[[#This Row],[Analyst Name:]],Table1[Analyst Name],Table1[Deloitte Email ID])</f>
        <v>Drajitha@deloitte.com</v>
      </c>
      <c r="C266" s="22" t="str">
        <f>_xlfn.XLOOKUP(Christus_Emp_Table[[#This Row],[Analyst Name:]],Table1[Analyst Name],Table1[Module])</f>
        <v>SER</v>
      </c>
      <c r="D266" s="22" t="str">
        <f>_xlfn.XLOOKUP(Christus_Emp_Table[[#This Row],[Analyst Name:]],Table1[Analyst Name],Table1[Location])</f>
        <v>BLR</v>
      </c>
      <c r="E266" s="22" t="s">
        <v>127</v>
      </c>
      <c r="F266" s="17">
        <v>45952</v>
      </c>
      <c r="G266" s="17">
        <v>45953</v>
      </c>
      <c r="H266" s="22" t="s">
        <v>127</v>
      </c>
      <c r="I266" s="22" t="s">
        <v>128</v>
      </c>
      <c r="J266" s="22">
        <f>NETWORKDAYS(Christus_Emp_Table[[#This Row],[From Date:]],Christus_Emp_Table[[#This Row],[To Date:]])</f>
        <v>2</v>
      </c>
      <c r="L266" s="22" t="str">
        <f>_xlfn.XLOOKUP(Christus_Emp_Table[[#This Row],[Analyst Name:]],Table1[Analyst Name],Table1[Lead])</f>
        <v>Ankita Roy</v>
      </c>
    </row>
    <row r="267" spans="1:12" x14ac:dyDescent="0.35">
      <c r="A267" s="21" t="s">
        <v>79</v>
      </c>
      <c r="B267" s="22" t="str">
        <f>_xlfn.XLOOKUP(Christus_Emp_Table[[#This Row],[Analyst Name:]],Table1[Analyst Name],Table1[Deloitte Email ID])</f>
        <v>pragrawat@deloitte.com</v>
      </c>
      <c r="C267" s="22" t="str">
        <f>_xlfn.XLOOKUP(Christus_Emp_Table[[#This Row],[Analyst Name:]],Table1[Analyst Name],Table1[Module])</f>
        <v>EC/DC</v>
      </c>
      <c r="D267" s="22" t="str">
        <f>_xlfn.XLOOKUP(Christus_Emp_Table[[#This Row],[Analyst Name:]],Table1[Analyst Name],Table1[Location])</f>
        <v>GUR</v>
      </c>
      <c r="E267" s="22" t="s">
        <v>127</v>
      </c>
      <c r="F267" s="17">
        <v>45933</v>
      </c>
      <c r="G267" s="17">
        <v>45933</v>
      </c>
      <c r="H267" s="22" t="s">
        <v>127</v>
      </c>
      <c r="I267" s="22" t="s">
        <v>128</v>
      </c>
      <c r="J267" s="22">
        <f>NETWORKDAYS(Christus_Emp_Table[[#This Row],[From Date:]],Christus_Emp_Table[[#This Row],[To Date:]])</f>
        <v>1</v>
      </c>
      <c r="L267" s="22" t="str">
        <f>_xlfn.XLOOKUP(Christus_Emp_Table[[#This Row],[Analyst Name:]],Table1[Analyst Name],Table1[Lead])</f>
        <v>Ankita Roy</v>
      </c>
    </row>
    <row r="268" spans="1:12" x14ac:dyDescent="0.35">
      <c r="A268" s="21" t="s">
        <v>51</v>
      </c>
      <c r="B268" s="22" t="str">
        <f>_xlfn.XLOOKUP(Christus_Emp_Table[[#This Row],[Analyst Name:]],Table1[Analyst Name],Table1[Deloitte Email ID])</f>
        <v>ankitaroy2@deloitte.com</v>
      </c>
      <c r="C268" s="22" t="str">
        <f>_xlfn.XLOOKUP(Christus_Emp_Table[[#This Row],[Analyst Name:]],Table1[Analyst Name],Table1[Module])</f>
        <v>EC/DC</v>
      </c>
      <c r="D268" s="22" t="str">
        <f>_xlfn.XLOOKUP(Christus_Emp_Table[[#This Row],[Analyst Name:]],Table1[Analyst Name],Table1[Location])</f>
        <v>BLR</v>
      </c>
      <c r="E268" s="22" t="s">
        <v>127</v>
      </c>
      <c r="F268" s="17">
        <v>45931</v>
      </c>
      <c r="G268" s="17">
        <v>45933</v>
      </c>
      <c r="H268" s="22" t="s">
        <v>127</v>
      </c>
      <c r="I268" s="22" t="s">
        <v>128</v>
      </c>
      <c r="J268" s="22">
        <f>NETWORKDAYS(Christus_Emp_Table[[#This Row],[From Date:]],Christus_Emp_Table[[#This Row],[To Date:]])</f>
        <v>3</v>
      </c>
      <c r="L268" s="22">
        <f>_xlfn.XLOOKUP(Christus_Emp_Table[[#This Row],[Analyst Name:]],Table1[Analyst Name],Table1[Lead])</f>
        <v>0</v>
      </c>
    </row>
    <row r="269" spans="1:12" x14ac:dyDescent="0.35">
      <c r="A269" s="21" t="s">
        <v>25</v>
      </c>
      <c r="B269" s="22" t="str">
        <f>_xlfn.XLOOKUP(Christus_Emp_Table[[#This Row],[Analyst Name:]],Table1[Analyst Name],Table1[Deloitte Email ID])</f>
        <v>apriyankapravalli@deloitte.com</v>
      </c>
      <c r="C269" s="22" t="str">
        <f>_xlfn.XLOOKUP(Christus_Emp_Table[[#This Row],[Analyst Name:]],Table1[Analyst Name],Table1[Module])</f>
        <v>Reporting</v>
      </c>
      <c r="D269" s="22" t="str">
        <f>_xlfn.XLOOKUP(Christus_Emp_Table[[#This Row],[Analyst Name:]],Table1[Analyst Name],Table1[Location])</f>
        <v>HYD</v>
      </c>
      <c r="E269" s="22" t="s">
        <v>127</v>
      </c>
      <c r="F269" s="17">
        <v>45931</v>
      </c>
      <c r="G269" s="17">
        <v>45940</v>
      </c>
      <c r="H269" s="22" t="s">
        <v>127</v>
      </c>
      <c r="I269" s="22" t="s">
        <v>128</v>
      </c>
      <c r="J269" s="22">
        <f>NETWORKDAYS(Christus_Emp_Table[[#This Row],[From Date:]],Christus_Emp_Table[[#This Row],[To Date:]])</f>
        <v>8</v>
      </c>
      <c r="L269" s="22">
        <f>_xlfn.XLOOKUP(Christus_Emp_Table[[#This Row],[Analyst Name:]],Table1[Analyst Name],Table1[Lead])</f>
        <v>0</v>
      </c>
    </row>
    <row r="270" spans="1:12" x14ac:dyDescent="0.35">
      <c r="A270" s="21" t="s">
        <v>25</v>
      </c>
      <c r="B270" s="22" t="str">
        <f>_xlfn.XLOOKUP(Christus_Emp_Table[[#This Row],[Analyst Name:]],Table1[Analyst Name],Table1[Deloitte Email ID])</f>
        <v>apriyankapravalli@deloitte.com</v>
      </c>
      <c r="C270" s="22" t="str">
        <f>_xlfn.XLOOKUP(Christus_Emp_Table[[#This Row],[Analyst Name:]],Table1[Analyst Name],Table1[Module])</f>
        <v>Reporting</v>
      </c>
      <c r="D270" s="22" t="str">
        <f>_xlfn.XLOOKUP(Christus_Emp_Table[[#This Row],[Analyst Name:]],Table1[Analyst Name],Table1[Location])</f>
        <v>HYD</v>
      </c>
      <c r="E270" s="22" t="s">
        <v>127</v>
      </c>
      <c r="F270" s="17">
        <v>45952</v>
      </c>
      <c r="G270" s="17">
        <v>45961</v>
      </c>
      <c r="H270" s="22" t="s">
        <v>127</v>
      </c>
      <c r="I270" s="22" t="s">
        <v>128</v>
      </c>
      <c r="J270" s="22">
        <f>NETWORKDAYS(Christus_Emp_Table[[#This Row],[From Date:]],Christus_Emp_Table[[#This Row],[To Date:]])</f>
        <v>8</v>
      </c>
      <c r="L270" s="22">
        <f>_xlfn.XLOOKUP(Christus_Emp_Table[[#This Row],[Analyst Name:]],Table1[Analyst Name],Table1[Lead])</f>
        <v>0</v>
      </c>
    </row>
    <row r="271" spans="1:12" x14ac:dyDescent="0.35">
      <c r="A271" s="21" t="s">
        <v>72</v>
      </c>
      <c r="B271" s="22" t="str">
        <f>_xlfn.XLOOKUP(Christus_Emp_Table[[#This Row],[Analyst Name:]],Table1[Analyst Name],Table1[Deloitte Email ID])</f>
        <v>susujitha@deloitte.com</v>
      </c>
      <c r="C271" s="22" t="str">
        <f>_xlfn.XLOOKUP(Christus_Emp_Table[[#This Row],[Analyst Name:]],Table1[Analyst Name],Table1[Module])</f>
        <v>QA</v>
      </c>
      <c r="D271" s="22" t="str">
        <f>_xlfn.XLOOKUP(Christus_Emp_Table[[#This Row],[Analyst Name:]],Table1[Analyst Name],Table1[Location])</f>
        <v>HYD</v>
      </c>
      <c r="E271" s="22" t="s">
        <v>127</v>
      </c>
      <c r="F271" s="17">
        <v>45939</v>
      </c>
      <c r="G271" s="17">
        <v>45939</v>
      </c>
      <c r="H271" s="22" t="s">
        <v>127</v>
      </c>
      <c r="I271" s="22" t="s">
        <v>128</v>
      </c>
      <c r="J271" s="22">
        <f>NETWORKDAYS(Christus_Emp_Table[[#This Row],[From Date:]],Christus_Emp_Table[[#This Row],[To Date:]])</f>
        <v>1</v>
      </c>
      <c r="L271" s="22" t="str">
        <f>_xlfn.XLOOKUP(Christus_Emp_Table[[#This Row],[Analyst Name:]],Table1[Analyst Name],Table1[Lead])</f>
        <v>Ankita Roy</v>
      </c>
    </row>
    <row r="272" spans="1:12" x14ac:dyDescent="0.35">
      <c r="A272" s="21" t="s">
        <v>72</v>
      </c>
      <c r="B272" s="22" t="str">
        <f>_xlfn.XLOOKUP(Christus_Emp_Table[[#This Row],[Analyst Name:]],Table1[Analyst Name],Table1[Deloitte Email ID])</f>
        <v>susujitha@deloitte.com</v>
      </c>
      <c r="C272" s="22" t="str">
        <f>_xlfn.XLOOKUP(Christus_Emp_Table[[#This Row],[Analyst Name:]],Table1[Analyst Name],Table1[Module])</f>
        <v>QA</v>
      </c>
      <c r="D272" s="22" t="str">
        <f>_xlfn.XLOOKUP(Christus_Emp_Table[[#This Row],[Analyst Name:]],Table1[Analyst Name],Table1[Location])</f>
        <v>HYD</v>
      </c>
      <c r="E272" s="22" t="s">
        <v>127</v>
      </c>
      <c r="F272" s="17">
        <v>45947</v>
      </c>
      <c r="G272" s="17">
        <v>45947</v>
      </c>
      <c r="H272" s="22" t="s">
        <v>127</v>
      </c>
      <c r="I272" s="22" t="s">
        <v>128</v>
      </c>
      <c r="J272" s="22">
        <f>NETWORKDAYS(Christus_Emp_Table[[#This Row],[From Date:]],Christus_Emp_Table[[#This Row],[To Date:]])</f>
        <v>1</v>
      </c>
      <c r="L272" s="22" t="str">
        <f>_xlfn.XLOOKUP(Christus_Emp_Table[[#This Row],[Analyst Name:]],Table1[Analyst Name],Table1[Lead])</f>
        <v>Ankita Roy</v>
      </c>
    </row>
    <row r="273" spans="1:12" x14ac:dyDescent="0.35">
      <c r="A273" s="21" t="s">
        <v>70</v>
      </c>
      <c r="B273" s="22" t="str">
        <f>_xlfn.XLOOKUP(Christus_Emp_Table[[#This Row],[Analyst Name:]],Table1[Analyst Name],Table1[Deloitte Email ID])</f>
        <v>amisshaw@deloitte.com</v>
      </c>
      <c r="C273" s="22" t="str">
        <f>_xlfn.XLOOKUP(Christus_Emp_Table[[#This Row],[Analyst Name:]],Table1[Analyst Name],Table1[Module])</f>
        <v>Automation</v>
      </c>
      <c r="D273" s="22" t="str">
        <f>_xlfn.XLOOKUP(Christus_Emp_Table[[#This Row],[Analyst Name:]],Table1[Analyst Name],Table1[Location])</f>
        <v>MUM</v>
      </c>
      <c r="E273" s="22" t="s">
        <v>127</v>
      </c>
      <c r="F273" s="17">
        <v>45952</v>
      </c>
      <c r="G273" s="17">
        <v>45952</v>
      </c>
      <c r="H273" s="22" t="s">
        <v>127</v>
      </c>
      <c r="I273" s="22" t="s">
        <v>128</v>
      </c>
      <c r="J273" s="22">
        <f>NETWORKDAYS(Christus_Emp_Table[[#This Row],[From Date:]],Christus_Emp_Table[[#This Row],[To Date:]])</f>
        <v>1</v>
      </c>
      <c r="L273" s="22" t="str">
        <f>_xlfn.XLOOKUP(Christus_Emp_Table[[#This Row],[Analyst Name:]],Table1[Analyst Name],Table1[Lead])</f>
        <v>Nitish Kumar</v>
      </c>
    </row>
    <row r="274" spans="1:12" x14ac:dyDescent="0.35">
      <c r="A274" s="21" t="s">
        <v>61</v>
      </c>
      <c r="B274" s="22" t="str">
        <f>_xlfn.XLOOKUP(Christus_Emp_Table[[#This Row],[Analyst Name:]],Table1[Analyst Name],Table1[Deloitte Email ID])</f>
        <v>pbraj@deloitte.com</v>
      </c>
      <c r="C274" s="22" t="str">
        <f>_xlfn.XLOOKUP(Christus_Emp_Table[[#This Row],[Analyst Name:]],Table1[Analyst Name],Table1[Module])</f>
        <v>Automation</v>
      </c>
      <c r="D274" s="22" t="str">
        <f>_xlfn.XLOOKUP(Christus_Emp_Table[[#This Row],[Analyst Name:]],Table1[Analyst Name],Table1[Location])</f>
        <v>BLR</v>
      </c>
      <c r="E274" s="19" t="s">
        <v>112</v>
      </c>
      <c r="F274" s="17">
        <v>45931</v>
      </c>
      <c r="G274" s="17">
        <v>45931</v>
      </c>
      <c r="H274" s="22" t="s">
        <v>129</v>
      </c>
      <c r="I274" s="22" t="s">
        <v>128</v>
      </c>
      <c r="J274" s="22">
        <f>NETWORKDAYS(Christus_Emp_Table[[#This Row],[From Date:]],Christus_Emp_Table[[#This Row],[To Date:]])</f>
        <v>1</v>
      </c>
      <c r="L274" s="22" t="str">
        <f>_xlfn.XLOOKUP(Christus_Emp_Table[[#This Row],[Analyst Name:]],Table1[Analyst Name],Table1[Lead])</f>
        <v>Nitish Kumar</v>
      </c>
    </row>
    <row r="275" spans="1:12" x14ac:dyDescent="0.35">
      <c r="A275" s="21" t="s">
        <v>61</v>
      </c>
      <c r="B275" s="22" t="str">
        <f>_xlfn.XLOOKUP(Christus_Emp_Table[[#This Row],[Analyst Name:]],Table1[Analyst Name],Table1[Deloitte Email ID])</f>
        <v>pbraj@deloitte.com</v>
      </c>
      <c r="C275" s="22" t="str">
        <f>_xlfn.XLOOKUP(Christus_Emp_Table[[#This Row],[Analyst Name:]],Table1[Analyst Name],Table1[Module])</f>
        <v>Automation</v>
      </c>
      <c r="D275" s="22" t="str">
        <f>_xlfn.XLOOKUP(Christus_Emp_Table[[#This Row],[Analyst Name:]],Table1[Analyst Name],Table1[Location])</f>
        <v>BLR</v>
      </c>
      <c r="E275" s="22" t="s">
        <v>127</v>
      </c>
      <c r="F275" s="17">
        <v>45939</v>
      </c>
      <c r="G275" s="17">
        <v>45939</v>
      </c>
      <c r="H275" s="22" t="s">
        <v>127</v>
      </c>
      <c r="I275" s="22" t="s">
        <v>128</v>
      </c>
      <c r="J275" s="22">
        <f>NETWORKDAYS(Christus_Emp_Table[[#This Row],[From Date:]],Christus_Emp_Table[[#This Row],[To Date:]])</f>
        <v>1</v>
      </c>
      <c r="L275" s="22" t="str">
        <f>_xlfn.XLOOKUP(Christus_Emp_Table[[#This Row],[Analyst Name:]],Table1[Analyst Name],Table1[Lead])</f>
        <v>Nitish Kumar</v>
      </c>
    </row>
    <row r="276" spans="1:12" x14ac:dyDescent="0.35">
      <c r="A276" s="21" t="s">
        <v>61</v>
      </c>
      <c r="B276" s="22" t="str">
        <f>_xlfn.XLOOKUP(Christus_Emp_Table[[#This Row],[Analyst Name:]],Table1[Analyst Name],Table1[Deloitte Email ID])</f>
        <v>pbraj@deloitte.com</v>
      </c>
      <c r="C276" s="22" t="str">
        <f>_xlfn.XLOOKUP(Christus_Emp_Table[[#This Row],[Analyst Name:]],Table1[Analyst Name],Table1[Module])</f>
        <v>Automation</v>
      </c>
      <c r="D276" s="22" t="str">
        <f>_xlfn.XLOOKUP(Christus_Emp_Table[[#This Row],[Analyst Name:]],Table1[Analyst Name],Table1[Location])</f>
        <v>BLR</v>
      </c>
      <c r="E276" s="22" t="s">
        <v>127</v>
      </c>
      <c r="F276" s="17">
        <v>45953</v>
      </c>
      <c r="G276" s="17">
        <v>45953</v>
      </c>
      <c r="H276" s="22" t="s">
        <v>127</v>
      </c>
      <c r="I276" s="22" t="s">
        <v>128</v>
      </c>
      <c r="J276" s="22">
        <f>NETWORKDAYS(Christus_Emp_Table[[#This Row],[From Date:]],Christus_Emp_Table[[#This Row],[To Date:]])</f>
        <v>1</v>
      </c>
      <c r="L276" s="22" t="str">
        <f>_xlfn.XLOOKUP(Christus_Emp_Table[[#This Row],[Analyst Name:]],Table1[Analyst Name],Table1[Lead])</f>
        <v>Nitish Kumar</v>
      </c>
    </row>
    <row r="277" spans="1:12" x14ac:dyDescent="0.35">
      <c r="A277" s="21" t="s">
        <v>64</v>
      </c>
      <c r="B277" s="22" t="str">
        <f>_xlfn.XLOOKUP(Christus_Emp_Table[[#This Row],[Analyst Name:]],Table1[Analyst Name],Table1[Deloitte Email ID])</f>
        <v>tgupta10@deloitte.com</v>
      </c>
      <c r="C277" s="22" t="str">
        <f>_xlfn.XLOOKUP(Christus_Emp_Table[[#This Row],[Analyst Name:]],Table1[Analyst Name],Table1[Module])</f>
        <v>Automation</v>
      </c>
      <c r="D277" s="22" t="str">
        <f>_xlfn.XLOOKUP(Christus_Emp_Table[[#This Row],[Analyst Name:]],Table1[Analyst Name],Table1[Location])</f>
        <v>HYD</v>
      </c>
      <c r="E277" s="22" t="s">
        <v>127</v>
      </c>
      <c r="F277" s="17">
        <v>45944</v>
      </c>
      <c r="G277" s="17">
        <v>45944</v>
      </c>
      <c r="H277" s="22" t="s">
        <v>127</v>
      </c>
      <c r="I277" s="22" t="s">
        <v>128</v>
      </c>
      <c r="J277" s="22">
        <f>NETWORKDAYS(Christus_Emp_Table[[#This Row],[From Date:]],Christus_Emp_Table[[#This Row],[To Date:]])</f>
        <v>1</v>
      </c>
      <c r="L277" s="22" t="str">
        <f>_xlfn.XLOOKUP(Christus_Emp_Table[[#This Row],[Analyst Name:]],Table1[Analyst Name],Table1[Lead])</f>
        <v>Parth Zalavadia</v>
      </c>
    </row>
    <row r="278" spans="1:12" x14ac:dyDescent="0.35">
      <c r="A278" s="21" t="s">
        <v>54</v>
      </c>
      <c r="B278" s="22" t="str">
        <f>_xlfn.XLOOKUP(Christus_Emp_Table[[#This Row],[Analyst Name:]],Table1[Analyst Name],Table1[Deloitte Email ID])</f>
        <v>lakaur@deloitte.com</v>
      </c>
      <c r="C278" s="22" t="str">
        <f>_xlfn.XLOOKUP(Christus_Emp_Table[[#This Row],[Analyst Name:]],Table1[Analyst Name],Table1[Module])</f>
        <v>SER</v>
      </c>
      <c r="D278" s="22" t="str">
        <f>_xlfn.XLOOKUP(Christus_Emp_Table[[#This Row],[Analyst Name:]],Table1[Analyst Name],Table1[Location])</f>
        <v>GUR</v>
      </c>
      <c r="E278" s="22" t="s">
        <v>127</v>
      </c>
      <c r="F278" s="17">
        <v>45952</v>
      </c>
      <c r="G278" s="17">
        <v>45961</v>
      </c>
      <c r="H278" s="22" t="s">
        <v>127</v>
      </c>
      <c r="I278" s="22" t="s">
        <v>128</v>
      </c>
      <c r="J278" s="22">
        <f>NETWORKDAYS(Christus_Emp_Table[[#This Row],[From Date:]],Christus_Emp_Table[[#This Row],[To Date:]])</f>
        <v>8</v>
      </c>
      <c r="L278" s="22" t="str">
        <f>_xlfn.XLOOKUP(Christus_Emp_Table[[#This Row],[Analyst Name:]],Table1[Analyst Name],Table1[Lead])</f>
        <v>Ankita Roy</v>
      </c>
    </row>
    <row r="279" spans="1:12" x14ac:dyDescent="0.35">
      <c r="A279" s="21" t="s">
        <v>45</v>
      </c>
      <c r="B279" s="22" t="str">
        <f>_xlfn.XLOOKUP(Christus_Emp_Table[[#This Row],[Analyst Name:]],Table1[Analyst Name],Table1[Deloitte Email ID])</f>
        <v>divmaheshwari@deloitte.com</v>
      </c>
      <c r="C279" s="22" t="str">
        <f>_xlfn.XLOOKUP(Christus_Emp_Table[[#This Row],[Analyst Name:]],Table1[Analyst Name],Table1[Module])</f>
        <v>MyChart</v>
      </c>
      <c r="D279" s="22" t="str">
        <f>_xlfn.XLOOKUP(Christus_Emp_Table[[#This Row],[Analyst Name:]],Table1[Analyst Name],Table1[Location])</f>
        <v>GUR</v>
      </c>
      <c r="E279" s="22" t="s">
        <v>127</v>
      </c>
      <c r="F279" s="17">
        <v>45952</v>
      </c>
      <c r="G279" s="17">
        <v>45953</v>
      </c>
      <c r="H279" s="22" t="s">
        <v>127</v>
      </c>
      <c r="I279" s="22" t="s">
        <v>128</v>
      </c>
      <c r="J279" s="22">
        <f>NETWORKDAYS(Christus_Emp_Table[[#This Row],[From Date:]],Christus_Emp_Table[[#This Row],[To Date:]])</f>
        <v>2</v>
      </c>
      <c r="L279" s="22" t="str">
        <f>_xlfn.XLOOKUP(Christus_Emp_Table[[#This Row],[Analyst Name:]],Table1[Analyst Name],Table1[Lead])</f>
        <v>Nitish Kumar</v>
      </c>
    </row>
    <row r="280" spans="1:12" x14ac:dyDescent="0.35">
      <c r="A280" s="21" t="s">
        <v>58</v>
      </c>
      <c r="B280" s="22" t="str">
        <f>_xlfn.XLOOKUP(Christus_Emp_Table[[#This Row],[Analyst Name:]],Table1[Analyst Name],Table1[Deloitte Email ID])</f>
        <v>rmbabu@deloitte.com</v>
      </c>
      <c r="C280" s="22" t="str">
        <f>_xlfn.XLOOKUP(Christus_Emp_Table[[#This Row],[Analyst Name:]],Table1[Analyst Name],Table1[Module])</f>
        <v>ECLink</v>
      </c>
      <c r="D280" s="22" t="str">
        <f>_xlfn.XLOOKUP(Christus_Emp_Table[[#This Row],[Analyst Name:]],Table1[Analyst Name],Table1[Location])</f>
        <v>HYD</v>
      </c>
      <c r="E280" s="22" t="s">
        <v>130</v>
      </c>
      <c r="F280" s="17">
        <v>45952</v>
      </c>
      <c r="G280" s="17">
        <v>45952</v>
      </c>
      <c r="H280" s="22" t="s">
        <v>130</v>
      </c>
      <c r="I280" s="22" t="s">
        <v>128</v>
      </c>
      <c r="J280" s="22">
        <f>NETWORKDAYS(Christus_Emp_Table[[#This Row],[From Date:]],Christus_Emp_Table[[#This Row],[To Date:]])</f>
        <v>1</v>
      </c>
      <c r="L280" s="22" t="str">
        <f>_xlfn.XLOOKUP(Christus_Emp_Table[[#This Row],[Analyst Name:]],Table1[Analyst Name],Table1[Lead])</f>
        <v>Nitish Kumar</v>
      </c>
    </row>
    <row r="281" spans="1:12" x14ac:dyDescent="0.35">
      <c r="A281" s="21" t="s">
        <v>58</v>
      </c>
      <c r="B281" s="22" t="str">
        <f>_xlfn.XLOOKUP(Christus_Emp_Table[[#This Row],[Analyst Name:]],Table1[Analyst Name],Table1[Deloitte Email ID])</f>
        <v>rmbabu@deloitte.com</v>
      </c>
      <c r="C281" s="22" t="str">
        <f>_xlfn.XLOOKUP(Christus_Emp_Table[[#This Row],[Analyst Name:]],Table1[Analyst Name],Table1[Module])</f>
        <v>ECLink</v>
      </c>
      <c r="D281" s="22" t="str">
        <f>_xlfn.XLOOKUP(Christus_Emp_Table[[#This Row],[Analyst Name:]],Table1[Analyst Name],Table1[Location])</f>
        <v>HYD</v>
      </c>
      <c r="E281" s="19" t="s">
        <v>112</v>
      </c>
      <c r="F281" s="17">
        <v>45957</v>
      </c>
      <c r="G281" s="17">
        <v>45959</v>
      </c>
      <c r="H281" s="22" t="s">
        <v>129</v>
      </c>
      <c r="I281" s="22" t="s">
        <v>128</v>
      </c>
      <c r="J281" s="22">
        <f>NETWORKDAYS(Christus_Emp_Table[[#This Row],[From Date:]],Christus_Emp_Table[[#This Row],[To Date:]])</f>
        <v>3</v>
      </c>
      <c r="L281" s="22" t="str">
        <f>_xlfn.XLOOKUP(Christus_Emp_Table[[#This Row],[Analyst Name:]],Table1[Analyst Name],Table1[Lead])</f>
        <v>Nitish Kumar</v>
      </c>
    </row>
    <row r="282" spans="1:12" x14ac:dyDescent="0.35">
      <c r="A282" s="21" t="s">
        <v>48</v>
      </c>
      <c r="B282" s="22" t="str">
        <f>_xlfn.XLOOKUP(Christus_Emp_Table[[#This Row],[Analyst Name:]],Table1[Analyst Name],Table1[Deloitte Email ID])</f>
        <v>dwaikar@deloitte.com</v>
      </c>
      <c r="C282" s="22" t="str">
        <f>_xlfn.XLOOKUP(Christus_Emp_Table[[#This Row],[Analyst Name:]],Table1[Analyst Name],Table1[Module])</f>
        <v>SER</v>
      </c>
      <c r="D282" s="22" t="str">
        <f>_xlfn.XLOOKUP(Christus_Emp_Table[[#This Row],[Analyst Name:]],Table1[Analyst Name],Table1[Location])</f>
        <v>BLR</v>
      </c>
      <c r="E282" s="22" t="s">
        <v>127</v>
      </c>
      <c r="F282" s="17">
        <v>45931</v>
      </c>
      <c r="G282" s="17">
        <v>45933</v>
      </c>
      <c r="H282" s="22" t="s">
        <v>127</v>
      </c>
      <c r="I282" s="22" t="s">
        <v>128</v>
      </c>
      <c r="J282" s="22">
        <f>NETWORKDAYS(Christus_Emp_Table[[#This Row],[From Date:]],Christus_Emp_Table[[#This Row],[To Date:]])</f>
        <v>3</v>
      </c>
      <c r="L282" s="22" t="str">
        <f>_xlfn.XLOOKUP(Christus_Emp_Table[[#This Row],[Analyst Name:]],Table1[Analyst Name],Table1[Lead])</f>
        <v>Ankita Roy</v>
      </c>
    </row>
    <row r="283" spans="1:12" x14ac:dyDescent="0.35">
      <c r="A283" s="21" t="s">
        <v>38</v>
      </c>
      <c r="B283" s="22" t="str">
        <f>_xlfn.XLOOKUP(Christus_Emp_Table[[#This Row],[Analyst Name:]],Table1[Analyst Name],Table1[Deloitte Email ID])</f>
        <v>hamalpani@deloitte.com</v>
      </c>
      <c r="C283" s="22" t="str">
        <f>_xlfn.XLOOKUP(Christus_Emp_Table[[#This Row],[Analyst Name:]],Table1[Analyst Name],Table1[Module])</f>
        <v>MyChart</v>
      </c>
      <c r="D283" s="22" t="str">
        <f>_xlfn.XLOOKUP(Christus_Emp_Table[[#This Row],[Analyst Name:]],Table1[Analyst Name],Table1[Location])</f>
        <v>HYD</v>
      </c>
      <c r="E283" s="22" t="s">
        <v>127</v>
      </c>
      <c r="F283" s="17">
        <v>45947</v>
      </c>
      <c r="G283" s="17">
        <v>45954</v>
      </c>
      <c r="H283" s="22" t="s">
        <v>127</v>
      </c>
      <c r="I283" s="22" t="s">
        <v>128</v>
      </c>
      <c r="J283" s="22">
        <f>NETWORKDAYS(Christus_Emp_Table[[#This Row],[From Date:]],Christus_Emp_Table[[#This Row],[To Date:]])</f>
        <v>6</v>
      </c>
      <c r="L283" s="22" t="str">
        <f>_xlfn.XLOOKUP(Christus_Emp_Table[[#This Row],[Analyst Name:]],Table1[Analyst Name],Table1[Lead])</f>
        <v>Nitish Kumar</v>
      </c>
    </row>
    <row r="284" spans="1:12" x14ac:dyDescent="0.35">
      <c r="A284" s="21" t="s">
        <v>21</v>
      </c>
      <c r="B284" s="22" t="str">
        <f>_xlfn.XLOOKUP(Christus_Emp_Table[[#This Row],[Analyst Name:]],Table1[Analyst Name],Table1[Deloitte Email ID])</f>
        <v>vbalasodongale@deloitte.com</v>
      </c>
      <c r="C284" s="22" t="str">
        <f>_xlfn.XLOOKUP(Christus_Emp_Table[[#This Row],[Analyst Name:]],Table1[Analyst Name],Table1[Module])</f>
        <v>Reporting</v>
      </c>
      <c r="D284" s="22" t="str">
        <f>_xlfn.XLOOKUP(Christus_Emp_Table[[#This Row],[Analyst Name:]],Table1[Analyst Name],Table1[Location])</f>
        <v>HYD</v>
      </c>
      <c r="E284" s="22" t="s">
        <v>127</v>
      </c>
      <c r="F284" s="17">
        <v>45947</v>
      </c>
      <c r="G284" s="17">
        <v>45954</v>
      </c>
      <c r="H284" s="22" t="s">
        <v>127</v>
      </c>
      <c r="I284" s="22" t="s">
        <v>128</v>
      </c>
      <c r="J284" s="22">
        <f>NETWORKDAYS(Christus_Emp_Table[[#This Row],[From Date:]],Christus_Emp_Table[[#This Row],[To Date:]])</f>
        <v>6</v>
      </c>
      <c r="L284" s="22">
        <f>_xlfn.XLOOKUP(Christus_Emp_Table[[#This Row],[Analyst Name:]],Table1[Analyst Name],Table1[Lead])</f>
        <v>0</v>
      </c>
    </row>
    <row r="285" spans="1:12" x14ac:dyDescent="0.35">
      <c r="A285" s="21" t="s">
        <v>33</v>
      </c>
      <c r="B285" s="22" t="str">
        <f>_xlfn.XLOOKUP(Christus_Emp_Table[[#This Row],[Analyst Name:]],Table1[Analyst Name],Table1[Deloitte Email ID])</f>
        <v>pjagdishzalavadia@deloitte.com</v>
      </c>
      <c r="C285" s="22" t="str">
        <f>_xlfn.XLOOKUP(Christus_Emp_Table[[#This Row],[Analyst Name:]],Table1[Analyst Name],Table1[Module])</f>
        <v>Bridges</v>
      </c>
      <c r="D285" s="22" t="str">
        <f>_xlfn.XLOOKUP(Christus_Emp_Table[[#This Row],[Analyst Name:]],Table1[Analyst Name],Table1[Location])</f>
        <v>BLR</v>
      </c>
      <c r="E285" s="19" t="s">
        <v>112</v>
      </c>
      <c r="F285" s="17">
        <v>45952</v>
      </c>
      <c r="G285" s="17">
        <v>45952</v>
      </c>
      <c r="H285" s="22" t="s">
        <v>129</v>
      </c>
      <c r="I285" s="22" t="s">
        <v>128</v>
      </c>
      <c r="J285" s="22">
        <f>NETWORKDAYS(Christus_Emp_Table[[#This Row],[From Date:]],Christus_Emp_Table[[#This Row],[To Date:]])</f>
        <v>1</v>
      </c>
      <c r="L285" s="22" t="str">
        <f>_xlfn.XLOOKUP(Christus_Emp_Table[[#This Row],[Analyst Name:]],Table1[Analyst Name],Table1[Lead])</f>
        <v>Tanima Debmallik/Nitish Kumar</v>
      </c>
    </row>
    <row r="286" spans="1:12" x14ac:dyDescent="0.35">
      <c r="A286" s="21" t="s">
        <v>33</v>
      </c>
      <c r="B286" s="22" t="str">
        <f>_xlfn.XLOOKUP(Christus_Emp_Table[[#This Row],[Analyst Name:]],Table1[Analyst Name],Table1[Deloitte Email ID])</f>
        <v>pjagdishzalavadia@deloitte.com</v>
      </c>
      <c r="C286" s="22" t="str">
        <f>_xlfn.XLOOKUP(Christus_Emp_Table[[#This Row],[Analyst Name:]],Table1[Analyst Name],Table1[Module])</f>
        <v>Bridges</v>
      </c>
      <c r="D286" s="22" t="str">
        <f>_xlfn.XLOOKUP(Christus_Emp_Table[[#This Row],[Analyst Name:]],Table1[Analyst Name],Table1[Location])</f>
        <v>BLR</v>
      </c>
      <c r="E286" s="19" t="s">
        <v>112</v>
      </c>
      <c r="F286" s="17">
        <v>45961</v>
      </c>
      <c r="G286" s="17">
        <v>45961</v>
      </c>
      <c r="H286" s="22" t="s">
        <v>129</v>
      </c>
      <c r="I286" s="22" t="s">
        <v>128</v>
      </c>
      <c r="J286" s="22">
        <f>NETWORKDAYS(Christus_Emp_Table[[#This Row],[From Date:]],Christus_Emp_Table[[#This Row],[To Date:]])</f>
        <v>1</v>
      </c>
      <c r="L286" s="22" t="str">
        <f>_xlfn.XLOOKUP(Christus_Emp_Table[[#This Row],[Analyst Name:]],Table1[Analyst Name],Table1[Lead])</f>
        <v>Tanima Debmallik/Nitish Kumar</v>
      </c>
    </row>
    <row r="287" spans="1:12" x14ac:dyDescent="0.35">
      <c r="A287" s="21" t="s">
        <v>43</v>
      </c>
      <c r="B287" s="22" t="str">
        <f>_xlfn.XLOOKUP(Christus_Emp_Table[[#This Row],[Analyst Name:]],Table1[Analyst Name],Table1[Deloitte Email ID])</f>
        <v>frai@deloitte.com</v>
      </c>
      <c r="C287" s="22" t="str">
        <f>_xlfn.XLOOKUP(Christus_Emp_Table[[#This Row],[Analyst Name:]],Table1[Analyst Name],Table1[Module])</f>
        <v>MyChart</v>
      </c>
      <c r="D287" s="22" t="str">
        <f>_xlfn.XLOOKUP(Christus_Emp_Table[[#This Row],[Analyst Name:]],Table1[Analyst Name],Table1[Location])</f>
        <v>HYD</v>
      </c>
      <c r="E287" s="22" t="s">
        <v>127</v>
      </c>
      <c r="F287" s="17">
        <v>45943</v>
      </c>
      <c r="G287" s="17">
        <v>45947</v>
      </c>
      <c r="H287" s="22" t="s">
        <v>127</v>
      </c>
      <c r="I287" s="22" t="s">
        <v>128</v>
      </c>
      <c r="J287" s="22">
        <f>NETWORKDAYS(Christus_Emp_Table[[#This Row],[From Date:]],Christus_Emp_Table[[#This Row],[To Date:]])</f>
        <v>5</v>
      </c>
      <c r="L287" s="22" t="str">
        <f>_xlfn.XLOOKUP(Christus_Emp_Table[[#This Row],[Analyst Name:]],Table1[Analyst Name],Table1[Lead])</f>
        <v>Nitish Kumar</v>
      </c>
    </row>
    <row r="288" spans="1:12" x14ac:dyDescent="0.35">
      <c r="A288" s="21" t="s">
        <v>43</v>
      </c>
      <c r="B288" s="22" t="str">
        <f>_xlfn.XLOOKUP(Christus_Emp_Table[[#This Row],[Analyst Name:]],Table1[Analyst Name],Table1[Deloitte Email ID])</f>
        <v>frai@deloitte.com</v>
      </c>
      <c r="C288" s="22" t="str">
        <f>_xlfn.XLOOKUP(Christus_Emp_Table[[#This Row],[Analyst Name:]],Table1[Analyst Name],Table1[Module])</f>
        <v>MyChart</v>
      </c>
      <c r="D288" s="22" t="str">
        <f>_xlfn.XLOOKUP(Christus_Emp_Table[[#This Row],[Analyst Name:]],Table1[Analyst Name],Table1[Location])</f>
        <v>HYD</v>
      </c>
      <c r="E288" s="19" t="s">
        <v>112</v>
      </c>
      <c r="F288" s="17">
        <v>45958</v>
      </c>
      <c r="G288" s="17">
        <v>45958</v>
      </c>
      <c r="H288" s="22" t="s">
        <v>129</v>
      </c>
      <c r="I288" s="22" t="s">
        <v>128</v>
      </c>
      <c r="J288" s="22">
        <f>NETWORKDAYS(Christus_Emp_Table[[#This Row],[From Date:]],Christus_Emp_Table[[#This Row],[To Date:]])</f>
        <v>1</v>
      </c>
      <c r="L288" s="22" t="str">
        <f>_xlfn.XLOOKUP(Christus_Emp_Table[[#This Row],[Analyst Name:]],Table1[Analyst Name],Table1[Lead])</f>
        <v>Nitish Kumar</v>
      </c>
    </row>
    <row r="289" spans="1:12" x14ac:dyDescent="0.35">
      <c r="A289" s="21" t="s">
        <v>11</v>
      </c>
      <c r="B289" s="22" t="str">
        <f>_xlfn.XLOOKUP(Christus_Emp_Table[[#This Row],[Analyst Name:]],Table1[Analyst Name],Table1[Deloitte Email ID])</f>
        <v>bharkumari@deloitte.com</v>
      </c>
      <c r="C289" s="22" t="str">
        <f>_xlfn.XLOOKUP(Christus_Emp_Table[[#This Row],[Analyst Name:]],Table1[Analyst Name],Table1[Module])</f>
        <v>Reporting</v>
      </c>
      <c r="D289" s="22" t="str">
        <f>_xlfn.XLOOKUP(Christus_Emp_Table[[#This Row],[Analyst Name:]],Table1[Analyst Name],Table1[Location])</f>
        <v>BLR</v>
      </c>
      <c r="E289" s="22" t="s">
        <v>127</v>
      </c>
      <c r="F289" s="17">
        <v>45931</v>
      </c>
      <c r="G289" s="17">
        <v>45944</v>
      </c>
      <c r="H289" s="22" t="s">
        <v>127</v>
      </c>
      <c r="I289" s="22" t="s">
        <v>128</v>
      </c>
      <c r="J289" s="22">
        <f>NETWORKDAYS(Christus_Emp_Table[[#This Row],[From Date:]],Christus_Emp_Table[[#This Row],[To Date:]])</f>
        <v>10</v>
      </c>
      <c r="L289" s="22" t="str">
        <f>_xlfn.XLOOKUP(Christus_Emp_Table[[#This Row],[Analyst Name:]],Table1[Analyst Name],Table1[Lead])</f>
        <v>Nitish Kumar</v>
      </c>
    </row>
    <row r="290" spans="1:12" x14ac:dyDescent="0.35">
      <c r="A290" s="21" t="s">
        <v>15</v>
      </c>
      <c r="B290" s="22" t="str">
        <f>_xlfn.XLOOKUP(Christus_Emp_Table[[#This Row],[Analyst Name:]],Table1[Analyst Name],Table1[Deloitte Email ID])</f>
        <v>jbelel@deloitte.com</v>
      </c>
      <c r="C290" s="22" t="str">
        <f>_xlfn.XLOOKUP(Christus_Emp_Table[[#This Row],[Analyst Name:]],Table1[Analyst Name],Table1[Module])</f>
        <v>Reporting</v>
      </c>
      <c r="D290" s="22" t="str">
        <f>_xlfn.XLOOKUP(Christus_Emp_Table[[#This Row],[Analyst Name:]],Table1[Analyst Name],Table1[Location])</f>
        <v>MUM</v>
      </c>
      <c r="E290" s="22" t="s">
        <v>127</v>
      </c>
      <c r="F290" s="17">
        <v>45931</v>
      </c>
      <c r="G290" s="17">
        <v>45931</v>
      </c>
      <c r="H290" s="22" t="s">
        <v>127</v>
      </c>
      <c r="I290" s="22" t="s">
        <v>128</v>
      </c>
      <c r="J290" s="22">
        <f>NETWORKDAYS(Christus_Emp_Table[[#This Row],[From Date:]],Christus_Emp_Table[[#This Row],[To Date:]])</f>
        <v>1</v>
      </c>
      <c r="L290" s="22" t="str">
        <f>_xlfn.XLOOKUP(Christus_Emp_Table[[#This Row],[Analyst Name:]],Table1[Analyst Name],Table1[Lead])</f>
        <v>Tanima Debmallik/Nitish Kumar</v>
      </c>
    </row>
    <row r="291" spans="1:12" x14ac:dyDescent="0.35">
      <c r="A291" s="21" t="s">
        <v>15</v>
      </c>
      <c r="B291" s="22" t="str">
        <f>_xlfn.XLOOKUP(Christus_Emp_Table[[#This Row],[Analyst Name:]],Table1[Analyst Name],Table1[Deloitte Email ID])</f>
        <v>jbelel@deloitte.com</v>
      </c>
      <c r="C291" s="22" t="str">
        <f>_xlfn.XLOOKUP(Christus_Emp_Table[[#This Row],[Analyst Name:]],Table1[Analyst Name],Table1[Module])</f>
        <v>Reporting</v>
      </c>
      <c r="D291" s="22" t="str">
        <f>_xlfn.XLOOKUP(Christus_Emp_Table[[#This Row],[Analyst Name:]],Table1[Analyst Name],Table1[Location])</f>
        <v>MUM</v>
      </c>
      <c r="E291" s="22" t="s">
        <v>127</v>
      </c>
      <c r="F291" s="17">
        <v>45957</v>
      </c>
      <c r="G291" s="17">
        <v>45960</v>
      </c>
      <c r="H291" s="22" t="s">
        <v>127</v>
      </c>
      <c r="I291" s="22" t="s">
        <v>128</v>
      </c>
      <c r="J291" s="22">
        <f>NETWORKDAYS(Christus_Emp_Table[[#This Row],[From Date:]],Christus_Emp_Table[[#This Row],[To Date:]])</f>
        <v>4</v>
      </c>
      <c r="L291" s="22" t="str">
        <f>_xlfn.XLOOKUP(Christus_Emp_Table[[#This Row],[Analyst Name:]],Table1[Analyst Name],Table1[Lead])</f>
        <v>Tanima Debmallik/Nitish Kumar</v>
      </c>
    </row>
    <row r="292" spans="1:12" x14ac:dyDescent="0.35">
      <c r="A292" s="21" t="s">
        <v>27</v>
      </c>
      <c r="B292" s="22" t="str">
        <f>_xlfn.XLOOKUP(Christus_Emp_Table[[#This Row],[Analyst Name:]],Table1[Analyst Name],Table1[Deloitte Email ID])</f>
        <v>sancyadav@deloitte.com</v>
      </c>
      <c r="C292" s="22" t="str">
        <f>_xlfn.XLOOKUP(Christus_Emp_Table[[#This Row],[Analyst Name:]],Table1[Analyst Name],Table1[Module])</f>
        <v>Reporting</v>
      </c>
      <c r="D292" s="22" t="str">
        <f>_xlfn.XLOOKUP(Christus_Emp_Table[[#This Row],[Analyst Name:]],Table1[Analyst Name],Table1[Location])</f>
        <v>HYD</v>
      </c>
      <c r="E292" s="22" t="s">
        <v>127</v>
      </c>
      <c r="F292" s="17">
        <v>45953</v>
      </c>
      <c r="G292" s="17">
        <v>45953</v>
      </c>
      <c r="H292" s="22" t="s">
        <v>127</v>
      </c>
      <c r="I292" s="22" t="s">
        <v>128</v>
      </c>
      <c r="J292" s="22">
        <f>NETWORKDAYS(Christus_Emp_Table[[#This Row],[From Date:]],Christus_Emp_Table[[#This Row],[To Date:]])</f>
        <v>1</v>
      </c>
      <c r="L292" s="22" t="str">
        <f>_xlfn.XLOOKUP(Christus_Emp_Table[[#This Row],[Analyst Name:]],Table1[Analyst Name],Table1[Lead])</f>
        <v>Nitish Kumar</v>
      </c>
    </row>
    <row r="293" spans="1:12" x14ac:dyDescent="0.35">
      <c r="A293" s="21" t="s">
        <v>27</v>
      </c>
      <c r="B293" s="22" t="str">
        <f>_xlfn.XLOOKUP(Christus_Emp_Table[[#This Row],[Analyst Name:]],Table1[Analyst Name],Table1[Deloitte Email ID])</f>
        <v>sancyadav@deloitte.com</v>
      </c>
      <c r="C293" s="22" t="str">
        <f>_xlfn.XLOOKUP(Christus_Emp_Table[[#This Row],[Analyst Name:]],Table1[Analyst Name],Table1[Module])</f>
        <v>Reporting</v>
      </c>
      <c r="D293" s="22" t="str">
        <f>_xlfn.XLOOKUP(Christus_Emp_Table[[#This Row],[Analyst Name:]],Table1[Analyst Name],Table1[Location])</f>
        <v>HYD</v>
      </c>
      <c r="E293" s="19" t="s">
        <v>112</v>
      </c>
      <c r="F293" s="17">
        <v>45959</v>
      </c>
      <c r="G293" s="17">
        <v>45959</v>
      </c>
      <c r="H293" s="22" t="s">
        <v>129</v>
      </c>
      <c r="I293" s="22" t="s">
        <v>128</v>
      </c>
      <c r="J293" s="22">
        <f>NETWORKDAYS(Christus_Emp_Table[[#This Row],[From Date:]],Christus_Emp_Table[[#This Row],[To Date:]])</f>
        <v>1</v>
      </c>
      <c r="L293" s="22" t="str">
        <f>_xlfn.XLOOKUP(Christus_Emp_Table[[#This Row],[Analyst Name:]],Table1[Analyst Name],Table1[Lead])</f>
        <v>Nitish Kumar</v>
      </c>
    </row>
    <row r="294" spans="1:12" x14ac:dyDescent="0.35">
      <c r="A294" s="21" t="s">
        <v>31</v>
      </c>
      <c r="B294" s="22" t="str">
        <f>_xlfn.XLOOKUP(Christus_Emp_Table[[#This Row],[Analyst Name:]],Table1[Analyst Name],Table1[Deloitte Email ID])</f>
        <v>racharachana@deloitte.com</v>
      </c>
      <c r="C294" s="22" t="str">
        <f>_xlfn.XLOOKUP(Christus_Emp_Table[[#This Row],[Analyst Name:]],Table1[Analyst Name],Table1[Module])</f>
        <v>Reporting</v>
      </c>
      <c r="D294" s="22" t="str">
        <f>_xlfn.XLOOKUP(Christus_Emp_Table[[#This Row],[Analyst Name:]],Table1[Analyst Name],Table1[Location])</f>
        <v>HYD</v>
      </c>
      <c r="E294" s="22" t="s">
        <v>127</v>
      </c>
      <c r="F294" s="17">
        <v>45659</v>
      </c>
      <c r="G294" s="17">
        <v>45660</v>
      </c>
      <c r="H294" s="22" t="s">
        <v>127</v>
      </c>
      <c r="I294" s="22" t="s">
        <v>128</v>
      </c>
      <c r="J294" s="22">
        <f>NETWORKDAYS(Christus_Emp_Table[[#This Row],[From Date:]],Christus_Emp_Table[[#This Row],[To Date:]])</f>
        <v>2</v>
      </c>
      <c r="L294" s="22" t="str">
        <f>_xlfn.XLOOKUP(Christus_Emp_Table[[#This Row],[Analyst Name:]],Table1[Analyst Name],Table1[Lead])</f>
        <v>Nitish Kumar</v>
      </c>
    </row>
    <row r="295" spans="1:12" x14ac:dyDescent="0.35">
      <c r="A295" s="21" t="s">
        <v>31</v>
      </c>
      <c r="B295" s="22" t="str">
        <f>_xlfn.XLOOKUP(Christus_Emp_Table[[#This Row],[Analyst Name:]],Table1[Analyst Name],Table1[Deloitte Email ID])</f>
        <v>racharachana@deloitte.com</v>
      </c>
      <c r="C295" s="22" t="str">
        <f>_xlfn.XLOOKUP(Christus_Emp_Table[[#This Row],[Analyst Name:]],Table1[Analyst Name],Table1[Module])</f>
        <v>Reporting</v>
      </c>
      <c r="D295" s="22" t="str">
        <f>_xlfn.XLOOKUP(Christus_Emp_Table[[#This Row],[Analyst Name:]],Table1[Analyst Name],Table1[Location])</f>
        <v>HYD</v>
      </c>
      <c r="E295" s="19" t="s">
        <v>112</v>
      </c>
      <c r="F295" s="17">
        <v>45693</v>
      </c>
      <c r="G295" s="17">
        <v>45693</v>
      </c>
      <c r="H295" s="22" t="s">
        <v>129</v>
      </c>
      <c r="I295" s="22" t="s">
        <v>128</v>
      </c>
      <c r="J295" s="22">
        <f>NETWORKDAYS(Christus_Emp_Table[[#This Row],[From Date:]],Christus_Emp_Table[[#This Row],[To Date:]])</f>
        <v>1</v>
      </c>
      <c r="L295" s="22" t="str">
        <f>_xlfn.XLOOKUP(Christus_Emp_Table[[#This Row],[Analyst Name:]],Table1[Analyst Name],Table1[Lead])</f>
        <v>Nitish Kumar</v>
      </c>
    </row>
    <row r="296" spans="1:12" x14ac:dyDescent="0.35">
      <c r="A296" s="21" t="s">
        <v>31</v>
      </c>
      <c r="B296" s="22" t="str">
        <f>_xlfn.XLOOKUP(Christus_Emp_Table[[#This Row],[Analyst Name:]],Table1[Analyst Name],Table1[Deloitte Email ID])</f>
        <v>racharachana@deloitte.com</v>
      </c>
      <c r="C296" s="22" t="str">
        <f>_xlfn.XLOOKUP(Christus_Emp_Table[[#This Row],[Analyst Name:]],Table1[Analyst Name],Table1[Module])</f>
        <v>Reporting</v>
      </c>
      <c r="D296" s="22" t="str">
        <f>_xlfn.XLOOKUP(Christus_Emp_Table[[#This Row],[Analyst Name:]],Table1[Analyst Name],Table1[Location])</f>
        <v>HYD</v>
      </c>
      <c r="E296" s="19" t="s">
        <v>112</v>
      </c>
      <c r="F296" s="17">
        <v>45705</v>
      </c>
      <c r="G296" s="17">
        <v>45705</v>
      </c>
      <c r="H296" s="22" t="s">
        <v>129</v>
      </c>
      <c r="I296" s="22" t="s">
        <v>128</v>
      </c>
      <c r="J296" s="22">
        <f>NETWORKDAYS(Christus_Emp_Table[[#This Row],[From Date:]],Christus_Emp_Table[[#This Row],[To Date:]])</f>
        <v>1</v>
      </c>
      <c r="L296" s="22" t="str">
        <f>_xlfn.XLOOKUP(Christus_Emp_Table[[#This Row],[Analyst Name:]],Table1[Analyst Name],Table1[Lead])</f>
        <v>Nitish Kumar</v>
      </c>
    </row>
    <row r="297" spans="1:12" x14ac:dyDescent="0.35">
      <c r="A297" s="21" t="s">
        <v>31</v>
      </c>
      <c r="B297" s="22" t="str">
        <f>_xlfn.XLOOKUP(Christus_Emp_Table[[#This Row],[Analyst Name:]],Table1[Analyst Name],Table1[Deloitte Email ID])</f>
        <v>racharachana@deloitte.com</v>
      </c>
      <c r="C297" s="22" t="str">
        <f>_xlfn.XLOOKUP(Christus_Emp_Table[[#This Row],[Analyst Name:]],Table1[Analyst Name],Table1[Module])</f>
        <v>Reporting</v>
      </c>
      <c r="D297" s="22" t="str">
        <f>_xlfn.XLOOKUP(Christus_Emp_Table[[#This Row],[Analyst Name:]],Table1[Analyst Name],Table1[Location])</f>
        <v>HYD</v>
      </c>
      <c r="E297" s="19" t="s">
        <v>112</v>
      </c>
      <c r="F297" s="17">
        <v>45707</v>
      </c>
      <c r="G297" s="17">
        <v>45707</v>
      </c>
      <c r="H297" s="22" t="s">
        <v>129</v>
      </c>
      <c r="I297" s="22" t="s">
        <v>128</v>
      </c>
      <c r="J297" s="22">
        <f>NETWORKDAYS(Christus_Emp_Table[[#This Row],[From Date:]],Christus_Emp_Table[[#This Row],[To Date:]])</f>
        <v>1</v>
      </c>
      <c r="L297" s="22" t="str">
        <f>_xlfn.XLOOKUP(Christus_Emp_Table[[#This Row],[Analyst Name:]],Table1[Analyst Name],Table1[Lead])</f>
        <v>Nitish Kumar</v>
      </c>
    </row>
    <row r="298" spans="1:12" x14ac:dyDescent="0.35">
      <c r="A298" s="21" t="s">
        <v>31</v>
      </c>
      <c r="B298" s="22" t="str">
        <f>_xlfn.XLOOKUP(Christus_Emp_Table[[#This Row],[Analyst Name:]],Table1[Analyst Name],Table1[Deloitte Email ID])</f>
        <v>racharachana@deloitte.com</v>
      </c>
      <c r="C298" s="22" t="str">
        <f>_xlfn.XLOOKUP(Christus_Emp_Table[[#This Row],[Analyst Name:]],Table1[Analyst Name],Table1[Module])</f>
        <v>Reporting</v>
      </c>
      <c r="D298" s="22" t="str">
        <f>_xlfn.XLOOKUP(Christus_Emp_Table[[#This Row],[Analyst Name:]],Table1[Analyst Name],Table1[Location])</f>
        <v>HYD</v>
      </c>
      <c r="E298" s="22" t="s">
        <v>127</v>
      </c>
      <c r="F298" s="17">
        <v>45708</v>
      </c>
      <c r="G298" s="17">
        <v>45712</v>
      </c>
      <c r="H298" s="22" t="s">
        <v>127</v>
      </c>
      <c r="I298" s="22" t="s">
        <v>128</v>
      </c>
      <c r="J298" s="22">
        <f>NETWORKDAYS(Christus_Emp_Table[[#This Row],[From Date:]],Christus_Emp_Table[[#This Row],[To Date:]])</f>
        <v>3</v>
      </c>
      <c r="L298" s="22" t="str">
        <f>_xlfn.XLOOKUP(Christus_Emp_Table[[#This Row],[Analyst Name:]],Table1[Analyst Name],Table1[Lead])</f>
        <v>Nitish Kumar</v>
      </c>
    </row>
    <row r="299" spans="1:12" x14ac:dyDescent="0.35">
      <c r="A299" s="21" t="s">
        <v>31</v>
      </c>
      <c r="B299" s="22" t="str">
        <f>_xlfn.XLOOKUP(Christus_Emp_Table[[#This Row],[Analyst Name:]],Table1[Analyst Name],Table1[Deloitte Email ID])</f>
        <v>racharachana@deloitte.com</v>
      </c>
      <c r="C299" s="22" t="str">
        <f>_xlfn.XLOOKUP(Christus_Emp_Table[[#This Row],[Analyst Name:]],Table1[Analyst Name],Table1[Module])</f>
        <v>Reporting</v>
      </c>
      <c r="D299" s="22" t="str">
        <f>_xlfn.XLOOKUP(Christus_Emp_Table[[#This Row],[Analyst Name:]],Table1[Analyst Name],Table1[Location])</f>
        <v>HYD</v>
      </c>
      <c r="E299" s="19" t="s">
        <v>112</v>
      </c>
      <c r="F299" s="17">
        <v>45715</v>
      </c>
      <c r="G299" s="17">
        <v>45715</v>
      </c>
      <c r="H299" s="22" t="s">
        <v>129</v>
      </c>
      <c r="I299" s="22" t="s">
        <v>128</v>
      </c>
      <c r="J299" s="22">
        <f>NETWORKDAYS(Christus_Emp_Table[[#This Row],[From Date:]],Christus_Emp_Table[[#This Row],[To Date:]])</f>
        <v>1</v>
      </c>
      <c r="L299" s="22" t="str">
        <f>_xlfn.XLOOKUP(Christus_Emp_Table[[#This Row],[Analyst Name:]],Table1[Analyst Name],Table1[Lead])</f>
        <v>Nitish Kumar</v>
      </c>
    </row>
    <row r="300" spans="1:12" x14ac:dyDescent="0.35">
      <c r="A300" s="18" t="s">
        <v>31</v>
      </c>
      <c r="B300" s="22" t="str">
        <f>_xlfn.XLOOKUP(Christus_Emp_Table[[#This Row],[Analyst Name:]],Table1[Analyst Name],Table1[Deloitte Email ID])</f>
        <v>racharachana@deloitte.com</v>
      </c>
      <c r="C300" s="22" t="str">
        <f>_xlfn.XLOOKUP(Christus_Emp_Table[[#This Row],[Analyst Name:]],Table1[Analyst Name],Table1[Module])</f>
        <v>Reporting</v>
      </c>
      <c r="D300" s="22" t="str">
        <f>_xlfn.XLOOKUP(Christus_Emp_Table[[#This Row],[Analyst Name:]],Table1[Analyst Name],Table1[Location])</f>
        <v>HYD</v>
      </c>
      <c r="E300" s="19" t="s">
        <v>131</v>
      </c>
      <c r="F300" s="20">
        <v>45717</v>
      </c>
      <c r="G300" s="20">
        <v>45945</v>
      </c>
      <c r="H300" s="19" t="s">
        <v>132</v>
      </c>
      <c r="I300" s="19" t="s">
        <v>128</v>
      </c>
      <c r="J300" s="22">
        <f>NETWORKDAYS(Christus_Emp_Table[[#This Row],[From Date:]],Christus_Emp_Table[[#This Row],[To Date:]])</f>
        <v>163</v>
      </c>
      <c r="L300" s="22" t="str">
        <f>_xlfn.XLOOKUP(Christus_Emp_Table[[#This Row],[Analyst Name:]],Table1[Analyst Name],Table1[Lead])</f>
        <v>Nitish Kumar</v>
      </c>
    </row>
    <row r="301" spans="1:12" x14ac:dyDescent="0.35">
      <c r="A301" s="18" t="s">
        <v>31</v>
      </c>
      <c r="B301" s="22" t="str">
        <f>_xlfn.XLOOKUP(Christus_Emp_Table[[#This Row],[Analyst Name:]],Table1[Analyst Name],Table1[Deloitte Email ID])</f>
        <v>racharachana@deloitte.com</v>
      </c>
      <c r="C301" s="19" t="str">
        <f>_xlfn.XLOOKUP(Christus_Emp_Table[[#This Row],[Analyst Name:]],Table1[Analyst Name],Table1[Module])</f>
        <v>Reporting</v>
      </c>
      <c r="D301" s="19" t="str">
        <f>_xlfn.XLOOKUP(Christus_Emp_Table[[#This Row],[Analyst Name:]],Table1[Analyst Name],Table1[Location])</f>
        <v>HYD</v>
      </c>
      <c r="E301" s="19" t="s">
        <v>112</v>
      </c>
      <c r="F301" s="20">
        <v>45972</v>
      </c>
      <c r="G301" s="20">
        <v>45972</v>
      </c>
      <c r="H301" s="22" t="s">
        <v>129</v>
      </c>
      <c r="I301" s="19" t="s">
        <v>128</v>
      </c>
      <c r="J301" s="22">
        <f>NETWORKDAYS(Christus_Emp_Table[[#This Row],[From Date:]],Christus_Emp_Table[[#This Row],[To Date:]])</f>
        <v>1</v>
      </c>
      <c r="L301" s="22" t="str">
        <f>_xlfn.XLOOKUP(Christus_Emp_Table[[#This Row],[Analyst Name:]],Table1[Analyst Name],Table1[Lead])</f>
        <v>Nitish Kumar</v>
      </c>
    </row>
    <row r="302" spans="1:12" x14ac:dyDescent="0.35">
      <c r="A302" s="18" t="s">
        <v>11</v>
      </c>
      <c r="B302" s="22" t="str">
        <f>_xlfn.XLOOKUP(Christus_Emp_Table[[#This Row],[Analyst Name:]],Table1[Analyst Name],Table1[Deloitte Email ID])</f>
        <v>bharkumari@deloitte.com</v>
      </c>
      <c r="C302" s="19" t="str">
        <f>_xlfn.XLOOKUP(Christus_Emp_Table[[#This Row],[Analyst Name:]],Table1[Analyst Name],Table1[Module])</f>
        <v>Reporting</v>
      </c>
      <c r="D302" s="19" t="str">
        <f>_xlfn.XLOOKUP(Christus_Emp_Table[[#This Row],[Analyst Name:]],Table1[Analyst Name],Table1[Location])</f>
        <v>BLR</v>
      </c>
      <c r="E302" s="19" t="s">
        <v>112</v>
      </c>
      <c r="F302" s="20">
        <v>45966</v>
      </c>
      <c r="G302" s="20">
        <v>45966</v>
      </c>
      <c r="H302" s="22" t="s">
        <v>129</v>
      </c>
      <c r="I302" s="19" t="s">
        <v>128</v>
      </c>
      <c r="J302" s="22">
        <f>NETWORKDAYS(Christus_Emp_Table[[#This Row],[From Date:]],Christus_Emp_Table[[#This Row],[To Date:]])</f>
        <v>1</v>
      </c>
      <c r="L302" s="22" t="str">
        <f>_xlfn.XLOOKUP(Christus_Emp_Table[[#This Row],[Analyst Name:]],Table1[Analyst Name],Table1[Lead])</f>
        <v>Nitish Kumar</v>
      </c>
    </row>
    <row r="303" spans="1:12" x14ac:dyDescent="0.35">
      <c r="A303" s="18" t="s">
        <v>15</v>
      </c>
      <c r="B303" s="22" t="str">
        <f>_xlfn.XLOOKUP(Christus_Emp_Table[[#This Row],[Analyst Name:]],Table1[Analyst Name],Table1[Deloitte Email ID])</f>
        <v>jbelel@deloitte.com</v>
      </c>
      <c r="C303" s="19" t="str">
        <f>_xlfn.XLOOKUP(Christus_Emp_Table[[#This Row],[Analyst Name:]],Table1[Analyst Name],Table1[Module])</f>
        <v>Reporting</v>
      </c>
      <c r="D303" s="19" t="str">
        <f>_xlfn.XLOOKUP(Christus_Emp_Table[[#This Row],[Analyst Name:]],Table1[Analyst Name],Table1[Location])</f>
        <v>MUM</v>
      </c>
      <c r="E303" s="19" t="s">
        <v>127</v>
      </c>
      <c r="F303" s="20">
        <v>45967</v>
      </c>
      <c r="G303" s="20">
        <v>45968</v>
      </c>
      <c r="H303" s="19" t="s">
        <v>127</v>
      </c>
      <c r="I303" s="19" t="s">
        <v>128</v>
      </c>
      <c r="J303" s="22">
        <f>NETWORKDAYS(Christus_Emp_Table[[#This Row],[From Date:]],Christus_Emp_Table[[#This Row],[To Date:]])</f>
        <v>2</v>
      </c>
      <c r="L303" s="22" t="str">
        <f>_xlfn.XLOOKUP(Christus_Emp_Table[[#This Row],[Analyst Name:]],Table1[Analyst Name],Table1[Lead])</f>
        <v>Tanima Debmallik/Nitish Kumar</v>
      </c>
    </row>
    <row r="304" spans="1:12" x14ac:dyDescent="0.35">
      <c r="A304" s="18" t="s">
        <v>21</v>
      </c>
      <c r="B304" s="22" t="str">
        <f>_xlfn.XLOOKUP(Christus_Emp_Table[[#This Row],[Analyst Name:]],Table1[Analyst Name],Table1[Deloitte Email ID])</f>
        <v>vbalasodongale@deloitte.com</v>
      </c>
      <c r="C304" s="19" t="str">
        <f>_xlfn.XLOOKUP(Christus_Emp_Table[[#This Row],[Analyst Name:]],Table1[Analyst Name],Table1[Module])</f>
        <v>Reporting</v>
      </c>
      <c r="D304" s="19" t="str">
        <f>_xlfn.XLOOKUP(Christus_Emp_Table[[#This Row],[Analyst Name:]],Table1[Analyst Name],Table1[Location])</f>
        <v>HYD</v>
      </c>
      <c r="E304" s="19" t="s">
        <v>112</v>
      </c>
      <c r="F304" s="20">
        <v>45966</v>
      </c>
      <c r="G304" s="20">
        <v>45966</v>
      </c>
      <c r="H304" s="22" t="s">
        <v>129</v>
      </c>
      <c r="I304" s="19" t="s">
        <v>128</v>
      </c>
      <c r="J304" s="22">
        <f>NETWORKDAYS(Christus_Emp_Table[[#This Row],[From Date:]],Christus_Emp_Table[[#This Row],[To Date:]])</f>
        <v>1</v>
      </c>
      <c r="L304" s="22">
        <f>_xlfn.XLOOKUP(Christus_Emp_Table[[#This Row],[Analyst Name:]],Table1[Analyst Name],Table1[Lead])</f>
        <v>0</v>
      </c>
    </row>
    <row r="305" spans="1:12" x14ac:dyDescent="0.35">
      <c r="A305" s="18" t="s">
        <v>43</v>
      </c>
      <c r="B305" s="22" t="str">
        <f>_xlfn.XLOOKUP(Christus_Emp_Table[[#This Row],[Analyst Name:]],Table1[Analyst Name],Table1[Deloitte Email ID])</f>
        <v>frai@deloitte.com</v>
      </c>
      <c r="C305" s="19" t="str">
        <f>_xlfn.XLOOKUP(Christus_Emp_Table[[#This Row],[Analyst Name:]],Table1[Analyst Name],Table1[Module])</f>
        <v>MyChart</v>
      </c>
      <c r="D305" s="19" t="str">
        <f>_xlfn.XLOOKUP(Christus_Emp_Table[[#This Row],[Analyst Name:]],Table1[Analyst Name],Table1[Location])</f>
        <v>HYD</v>
      </c>
      <c r="E305" s="19" t="s">
        <v>112</v>
      </c>
      <c r="F305" s="20">
        <v>45975</v>
      </c>
      <c r="G305" s="20">
        <v>45975</v>
      </c>
      <c r="H305" s="22" t="s">
        <v>129</v>
      </c>
      <c r="I305" s="19" t="s">
        <v>128</v>
      </c>
      <c r="J305" s="22">
        <f>NETWORKDAYS(Christus_Emp_Table[[#This Row],[From Date:]],Christus_Emp_Table[[#This Row],[To Date:]])</f>
        <v>1</v>
      </c>
      <c r="L305" s="22" t="str">
        <f>_xlfn.XLOOKUP(Christus_Emp_Table[[#This Row],[Analyst Name:]],Table1[Analyst Name],Table1[Lead])</f>
        <v>Nitish Kumar</v>
      </c>
    </row>
    <row r="306" spans="1:12" x14ac:dyDescent="0.35">
      <c r="A306" s="18" t="s">
        <v>41</v>
      </c>
      <c r="B306" s="22" t="str">
        <f>_xlfn.XLOOKUP(Christus_Emp_Table[[#This Row],[Analyst Name:]],Table1[Analyst Name],Table1[Deloitte Email ID])</f>
        <v>mpavkumar@deloitte.com</v>
      </c>
      <c r="C306" s="19" t="str">
        <f>_xlfn.XLOOKUP(Christus_Emp_Table[[#This Row],[Analyst Name:]],Table1[Analyst Name],Table1[Module])</f>
        <v>MyChart</v>
      </c>
      <c r="D306" s="19" t="str">
        <f>_xlfn.XLOOKUP(Christus_Emp_Table[[#This Row],[Analyst Name:]],Table1[Analyst Name],Table1[Location])</f>
        <v>HYD</v>
      </c>
      <c r="E306" s="19" t="s">
        <v>127</v>
      </c>
      <c r="F306" s="20">
        <v>45966</v>
      </c>
      <c r="G306" s="20">
        <v>45968</v>
      </c>
      <c r="H306" s="19" t="s">
        <v>127</v>
      </c>
      <c r="I306" s="19" t="s">
        <v>128</v>
      </c>
      <c r="J306" s="22">
        <f>NETWORKDAYS(Christus_Emp_Table[[#This Row],[From Date:]],Christus_Emp_Table[[#This Row],[To Date:]])</f>
        <v>3</v>
      </c>
      <c r="L306" s="22" t="str">
        <f>_xlfn.XLOOKUP(Christus_Emp_Table[[#This Row],[Analyst Name:]],Table1[Analyst Name],Table1[Lead])</f>
        <v>Nitish Kumar</v>
      </c>
    </row>
    <row r="307" spans="1:12" x14ac:dyDescent="0.35">
      <c r="A307" s="18" t="s">
        <v>41</v>
      </c>
      <c r="B307" s="22" t="str">
        <f>_xlfn.XLOOKUP(Christus_Emp_Table[[#This Row],[Analyst Name:]],Table1[Analyst Name],Table1[Deloitte Email ID])</f>
        <v>mpavkumar@deloitte.com</v>
      </c>
      <c r="C307" s="19" t="str">
        <f>_xlfn.XLOOKUP(Christus_Emp_Table[[#This Row],[Analyst Name:]],Table1[Analyst Name],Table1[Module])</f>
        <v>MyChart</v>
      </c>
      <c r="D307" s="19" t="str">
        <f>_xlfn.XLOOKUP(Christus_Emp_Table[[#This Row],[Analyst Name:]],Table1[Analyst Name],Table1[Location])</f>
        <v>HYD</v>
      </c>
      <c r="E307" s="19" t="s">
        <v>127</v>
      </c>
      <c r="F307" s="20">
        <v>45982</v>
      </c>
      <c r="G307" s="20">
        <v>45988</v>
      </c>
      <c r="H307" s="19" t="s">
        <v>127</v>
      </c>
      <c r="I307" s="19" t="s">
        <v>128</v>
      </c>
      <c r="J307" s="22">
        <f>NETWORKDAYS(Christus_Emp_Table[[#This Row],[From Date:]],Christus_Emp_Table[[#This Row],[To Date:]])</f>
        <v>5</v>
      </c>
      <c r="L307" s="22" t="str">
        <f>_xlfn.XLOOKUP(Christus_Emp_Table[[#This Row],[Analyst Name:]],Table1[Analyst Name],Table1[Lead])</f>
        <v>Nitish Kumar</v>
      </c>
    </row>
    <row r="308" spans="1:12" x14ac:dyDescent="0.35">
      <c r="A308" s="18" t="s">
        <v>33</v>
      </c>
      <c r="B308" s="22" t="str">
        <f>_xlfn.XLOOKUP(Christus_Emp_Table[[#This Row],[Analyst Name:]],Table1[Analyst Name],Table1[Deloitte Email ID])</f>
        <v>pjagdishzalavadia@deloitte.com</v>
      </c>
      <c r="C308" s="19" t="str">
        <f>_xlfn.XLOOKUP(Christus_Emp_Table[[#This Row],[Analyst Name:]],Table1[Analyst Name],Table1[Module])</f>
        <v>Bridges</v>
      </c>
      <c r="D308" s="19" t="str">
        <f>_xlfn.XLOOKUP(Christus_Emp_Table[[#This Row],[Analyst Name:]],Table1[Analyst Name],Table1[Location])</f>
        <v>BLR</v>
      </c>
      <c r="E308" s="19" t="s">
        <v>127</v>
      </c>
      <c r="F308" s="20">
        <v>45967</v>
      </c>
      <c r="G308" s="20">
        <v>45968</v>
      </c>
      <c r="H308" s="19" t="s">
        <v>127</v>
      </c>
      <c r="I308" s="19" t="s">
        <v>128</v>
      </c>
      <c r="J308" s="22">
        <f>NETWORKDAYS(Christus_Emp_Table[[#This Row],[From Date:]],Christus_Emp_Table[[#This Row],[To Date:]])</f>
        <v>2</v>
      </c>
      <c r="L308" s="22" t="str">
        <f>_xlfn.XLOOKUP(Christus_Emp_Table[[#This Row],[Analyst Name:]],Table1[Analyst Name],Table1[Lead])</f>
        <v>Tanima Debmallik/Nitish Kumar</v>
      </c>
    </row>
    <row r="309" spans="1:12" x14ac:dyDescent="0.35">
      <c r="A309" s="18" t="s">
        <v>38</v>
      </c>
      <c r="B309" s="22" t="str">
        <f>_xlfn.XLOOKUP(Christus_Emp_Table[[#This Row],[Analyst Name:]],Table1[Analyst Name],Table1[Deloitte Email ID])</f>
        <v>hamalpani@deloitte.com</v>
      </c>
      <c r="C309" s="19" t="str">
        <f>_xlfn.XLOOKUP(Christus_Emp_Table[[#This Row],[Analyst Name:]],Table1[Analyst Name],Table1[Module])</f>
        <v>MyChart</v>
      </c>
      <c r="D309" s="19" t="str">
        <f>_xlfn.XLOOKUP(Christus_Emp_Table[[#This Row],[Analyst Name:]],Table1[Analyst Name],Table1[Location])</f>
        <v>HYD</v>
      </c>
      <c r="E309" s="19" t="s">
        <v>127</v>
      </c>
      <c r="F309" s="20">
        <v>45964</v>
      </c>
      <c r="G309" s="20">
        <v>45964</v>
      </c>
      <c r="H309" s="19" t="s">
        <v>127</v>
      </c>
      <c r="I309" s="19" t="s">
        <v>128</v>
      </c>
      <c r="J309" s="22">
        <f>NETWORKDAYS(Christus_Emp_Table[[#This Row],[From Date:]],Christus_Emp_Table[[#This Row],[To Date:]])</f>
        <v>1</v>
      </c>
      <c r="L309" s="22" t="str">
        <f>_xlfn.XLOOKUP(Christus_Emp_Table[[#This Row],[Analyst Name:]],Table1[Analyst Name],Table1[Lead])</f>
        <v>Nitish Kumar</v>
      </c>
    </row>
    <row r="310" spans="1:12" x14ac:dyDescent="0.35">
      <c r="A310" s="18" t="s">
        <v>48</v>
      </c>
      <c r="B310" s="22" t="str">
        <f>_xlfn.XLOOKUP(Christus_Emp_Table[[#This Row],[Analyst Name:]],Table1[Analyst Name],Table1[Deloitte Email ID])</f>
        <v>dwaikar@deloitte.com</v>
      </c>
      <c r="C310" s="19" t="str">
        <f>_xlfn.XLOOKUP(Christus_Emp_Table[[#This Row],[Analyst Name:]],Table1[Analyst Name],Table1[Module])</f>
        <v>SER</v>
      </c>
      <c r="D310" s="19" t="str">
        <f>_xlfn.XLOOKUP(Christus_Emp_Table[[#This Row],[Analyst Name:]],Table1[Analyst Name],Table1[Location])</f>
        <v>BLR</v>
      </c>
      <c r="E310" s="19" t="s">
        <v>127</v>
      </c>
      <c r="F310" s="20">
        <v>45971</v>
      </c>
      <c r="G310" s="20">
        <v>45971</v>
      </c>
      <c r="H310" s="19" t="s">
        <v>127</v>
      </c>
      <c r="I310" s="19" t="s">
        <v>128</v>
      </c>
      <c r="J310" s="22">
        <f>NETWORKDAYS(Christus_Emp_Table[[#This Row],[From Date:]],Christus_Emp_Table[[#This Row],[To Date:]])</f>
        <v>1</v>
      </c>
      <c r="L310" s="22" t="str">
        <f>_xlfn.XLOOKUP(Christus_Emp_Table[[#This Row],[Analyst Name:]],Table1[Analyst Name],Table1[Lead])</f>
        <v>Ankita Roy</v>
      </c>
    </row>
    <row r="311" spans="1:12" x14ac:dyDescent="0.35">
      <c r="A311" s="18" t="s">
        <v>48</v>
      </c>
      <c r="B311" s="22" t="str">
        <f>_xlfn.XLOOKUP(Christus_Emp_Table[[#This Row],[Analyst Name:]],Table1[Analyst Name],Table1[Deloitte Email ID])</f>
        <v>dwaikar@deloitte.com</v>
      </c>
      <c r="C311" s="19" t="str">
        <f>_xlfn.XLOOKUP(Christus_Emp_Table[[#This Row],[Analyst Name:]],Table1[Analyst Name],Table1[Module])</f>
        <v>SER</v>
      </c>
      <c r="D311" s="19" t="str">
        <f>_xlfn.XLOOKUP(Christus_Emp_Table[[#This Row],[Analyst Name:]],Table1[Analyst Name],Table1[Location])</f>
        <v>BLR</v>
      </c>
      <c r="E311" s="19" t="s">
        <v>127</v>
      </c>
      <c r="F311" s="20">
        <v>45982</v>
      </c>
      <c r="G311" s="20">
        <v>45982</v>
      </c>
      <c r="H311" s="19" t="s">
        <v>127</v>
      </c>
      <c r="I311" s="19" t="s">
        <v>128</v>
      </c>
      <c r="J311" s="22">
        <f>NETWORKDAYS(Christus_Emp_Table[[#This Row],[From Date:]],Christus_Emp_Table[[#This Row],[To Date:]])</f>
        <v>1</v>
      </c>
      <c r="L311" s="22" t="str">
        <f>_xlfn.XLOOKUP(Christus_Emp_Table[[#This Row],[Analyst Name:]],Table1[Analyst Name],Table1[Lead])</f>
        <v>Ankita Roy</v>
      </c>
    </row>
    <row r="312" spans="1:12" x14ac:dyDescent="0.35">
      <c r="A312" s="18" t="s">
        <v>45</v>
      </c>
      <c r="B312" s="22" t="str">
        <f>_xlfn.XLOOKUP(Christus_Emp_Table[[#This Row],[Analyst Name:]],Table1[Analyst Name],Table1[Deloitte Email ID])</f>
        <v>divmaheshwari@deloitte.com</v>
      </c>
      <c r="C312" s="19" t="str">
        <f>_xlfn.XLOOKUP(Christus_Emp_Table[[#This Row],[Analyst Name:]],Table1[Analyst Name],Table1[Module])</f>
        <v>MyChart</v>
      </c>
      <c r="D312" s="19" t="str">
        <f>_xlfn.XLOOKUP(Christus_Emp_Table[[#This Row],[Analyst Name:]],Table1[Analyst Name],Table1[Location])</f>
        <v>GUR</v>
      </c>
      <c r="E312" s="19" t="s">
        <v>112</v>
      </c>
      <c r="F312" s="20">
        <v>45972</v>
      </c>
      <c r="G312" s="20">
        <v>45973</v>
      </c>
      <c r="H312" s="22" t="s">
        <v>129</v>
      </c>
      <c r="I312" s="19" t="s">
        <v>128</v>
      </c>
      <c r="J312" s="22">
        <f>NETWORKDAYS(Christus_Emp_Table[[#This Row],[From Date:]],Christus_Emp_Table[[#This Row],[To Date:]])</f>
        <v>2</v>
      </c>
      <c r="L312" s="22" t="str">
        <f>_xlfn.XLOOKUP(Christus_Emp_Table[[#This Row],[Analyst Name:]],Table1[Analyst Name],Table1[Lead])</f>
        <v>Nitish Kumar</v>
      </c>
    </row>
    <row r="313" spans="1:12" x14ac:dyDescent="0.35">
      <c r="A313" s="18" t="s">
        <v>45</v>
      </c>
      <c r="B313" s="22" t="str">
        <f>_xlfn.XLOOKUP(Christus_Emp_Table[[#This Row],[Analyst Name:]],Table1[Analyst Name],Table1[Deloitte Email ID])</f>
        <v>divmaheshwari@deloitte.com</v>
      </c>
      <c r="C313" s="19" t="str">
        <f>_xlfn.XLOOKUP(Christus_Emp_Table[[#This Row],[Analyst Name:]],Table1[Analyst Name],Table1[Module])</f>
        <v>MyChart</v>
      </c>
      <c r="D313" s="19" t="str">
        <f>_xlfn.XLOOKUP(Christus_Emp_Table[[#This Row],[Analyst Name:]],Table1[Analyst Name],Table1[Location])</f>
        <v>GUR</v>
      </c>
      <c r="E313" s="19" t="s">
        <v>127</v>
      </c>
      <c r="F313" s="20">
        <v>45979</v>
      </c>
      <c r="G313" s="20">
        <v>45979</v>
      </c>
      <c r="H313" s="19" t="s">
        <v>127</v>
      </c>
      <c r="I313" s="19" t="s">
        <v>128</v>
      </c>
      <c r="J313" s="22">
        <f>NETWORKDAYS(Christus_Emp_Table[[#This Row],[From Date:]],Christus_Emp_Table[[#This Row],[To Date:]])</f>
        <v>1</v>
      </c>
      <c r="L313" s="22" t="str">
        <f>_xlfn.XLOOKUP(Christus_Emp_Table[[#This Row],[Analyst Name:]],Table1[Analyst Name],Table1[Lead])</f>
        <v>Nitish Kumar</v>
      </c>
    </row>
    <row r="314" spans="1:12" x14ac:dyDescent="0.35">
      <c r="A314" s="18" t="s">
        <v>54</v>
      </c>
      <c r="B314" s="22" t="str">
        <f>_xlfn.XLOOKUP(Christus_Emp_Table[[#This Row],[Analyst Name:]],Table1[Analyst Name],Table1[Deloitte Email ID])</f>
        <v>lakaur@deloitte.com</v>
      </c>
      <c r="C314" s="19" t="str">
        <f>_xlfn.XLOOKUP(Christus_Emp_Table[[#This Row],[Analyst Name:]],Table1[Analyst Name],Table1[Module])</f>
        <v>SER</v>
      </c>
      <c r="D314" s="19" t="str">
        <f>_xlfn.XLOOKUP(Christus_Emp_Table[[#This Row],[Analyst Name:]],Table1[Analyst Name],Table1[Location])</f>
        <v>GUR</v>
      </c>
      <c r="E314" s="19" t="s">
        <v>112</v>
      </c>
      <c r="F314" s="20">
        <v>45978</v>
      </c>
      <c r="G314" s="20">
        <v>45978</v>
      </c>
      <c r="H314" s="22" t="s">
        <v>129</v>
      </c>
      <c r="I314" s="19" t="s">
        <v>128</v>
      </c>
      <c r="J314" s="22">
        <f>NETWORKDAYS(Christus_Emp_Table[[#This Row],[From Date:]],Christus_Emp_Table[[#This Row],[To Date:]])</f>
        <v>1</v>
      </c>
      <c r="L314" s="22" t="str">
        <f>_xlfn.XLOOKUP(Christus_Emp_Table[[#This Row],[Analyst Name:]],Table1[Analyst Name],Table1[Lead])</f>
        <v>Ankita Roy</v>
      </c>
    </row>
    <row r="315" spans="1:12" x14ac:dyDescent="0.35">
      <c r="A315" s="18" t="s">
        <v>64</v>
      </c>
      <c r="B315" s="22" t="str">
        <f>_xlfn.XLOOKUP(Christus_Emp_Table[[#This Row],[Analyst Name:]],Table1[Analyst Name],Table1[Deloitte Email ID])</f>
        <v>tgupta10@deloitte.com</v>
      </c>
      <c r="C315" s="19" t="str">
        <f>_xlfn.XLOOKUP(Christus_Emp_Table[[#This Row],[Analyst Name:]],Table1[Analyst Name],Table1[Module])</f>
        <v>Automation</v>
      </c>
      <c r="D315" s="19" t="str">
        <f>_xlfn.XLOOKUP(Christus_Emp_Table[[#This Row],[Analyst Name:]],Table1[Analyst Name],Table1[Location])</f>
        <v>HYD</v>
      </c>
      <c r="E315" s="19" t="s">
        <v>112</v>
      </c>
      <c r="F315" s="20">
        <v>45974</v>
      </c>
      <c r="G315" s="20">
        <v>45974</v>
      </c>
      <c r="H315" s="22" t="s">
        <v>129</v>
      </c>
      <c r="I315" s="19" t="s">
        <v>128</v>
      </c>
      <c r="J315" s="22">
        <f>NETWORKDAYS(Christus_Emp_Table[[#This Row],[From Date:]],Christus_Emp_Table[[#This Row],[To Date:]])</f>
        <v>1</v>
      </c>
      <c r="L315" s="22" t="str">
        <f>_xlfn.XLOOKUP(Christus_Emp_Table[[#This Row],[Analyst Name:]],Table1[Analyst Name],Table1[Lead])</f>
        <v>Parth Zalavadia</v>
      </c>
    </row>
    <row r="316" spans="1:12" x14ac:dyDescent="0.35">
      <c r="A316" s="18" t="s">
        <v>52</v>
      </c>
      <c r="B316" s="22" t="str">
        <f>_xlfn.XLOOKUP(Christus_Emp_Table[[#This Row],[Analyst Name:]],Table1[Analyst Name],Table1[Deloitte Email ID])</f>
        <v>Drajitha@deloitte.com</v>
      </c>
      <c r="C316" s="19" t="str">
        <f>_xlfn.XLOOKUP(Christus_Emp_Table[[#This Row],[Analyst Name:]],Table1[Analyst Name],Table1[Module])</f>
        <v>SER</v>
      </c>
      <c r="D316" s="19" t="str">
        <f>_xlfn.XLOOKUP(Christus_Emp_Table[[#This Row],[Analyst Name:]],Table1[Analyst Name],Table1[Location])</f>
        <v>BLR</v>
      </c>
      <c r="E316" s="19" t="s">
        <v>127</v>
      </c>
      <c r="F316" s="20">
        <v>45964</v>
      </c>
      <c r="G316" s="20">
        <v>45964</v>
      </c>
      <c r="H316" s="19" t="s">
        <v>127</v>
      </c>
      <c r="I316" s="19" t="s">
        <v>128</v>
      </c>
      <c r="J316" s="22">
        <f>NETWORKDAYS(Christus_Emp_Table[[#This Row],[From Date:]],Christus_Emp_Table[[#This Row],[To Date:]])</f>
        <v>1</v>
      </c>
      <c r="L316" s="22" t="str">
        <f>_xlfn.XLOOKUP(Christus_Emp_Table[[#This Row],[Analyst Name:]],Table1[Analyst Name],Table1[Lead])</f>
        <v>Ankita Roy</v>
      </c>
    </row>
    <row r="317" spans="1:12" x14ac:dyDescent="0.35">
      <c r="A317" s="18" t="s">
        <v>66</v>
      </c>
      <c r="B317" s="22" t="str">
        <f>_xlfn.XLOOKUP(Christus_Emp_Table[[#This Row],[Analyst Name:]],Table1[Analyst Name],Table1[Deloitte Email ID])</f>
        <v>akshayakumar@deloitte.com</v>
      </c>
      <c r="C317" s="19" t="str">
        <f>_xlfn.XLOOKUP(Christus_Emp_Table[[#This Row],[Analyst Name:]],Table1[Analyst Name],Table1[Module])</f>
        <v>Automation</v>
      </c>
      <c r="D317" s="19" t="str">
        <f>_xlfn.XLOOKUP(Christus_Emp_Table[[#This Row],[Analyst Name:]],Table1[Analyst Name],Table1[Location])</f>
        <v>BLR</v>
      </c>
      <c r="E317" s="19" t="s">
        <v>112</v>
      </c>
      <c r="F317" s="20">
        <v>45966</v>
      </c>
      <c r="G317" s="20">
        <v>45966</v>
      </c>
      <c r="H317" s="22" t="s">
        <v>129</v>
      </c>
      <c r="I317" s="19" t="s">
        <v>128</v>
      </c>
      <c r="J317" s="22">
        <f>NETWORKDAYS(Christus_Emp_Table[[#This Row],[From Date:]],Christus_Emp_Table[[#This Row],[To Date:]])</f>
        <v>1</v>
      </c>
      <c r="L317" s="22" t="str">
        <f>_xlfn.XLOOKUP(Christus_Emp_Table[[#This Row],[Analyst Name:]],Table1[Analyst Name],Table1[Lead])</f>
        <v>Parth Zalavadia</v>
      </c>
    </row>
    <row r="318" spans="1:12" x14ac:dyDescent="0.35">
      <c r="A318" s="18" t="s">
        <v>16</v>
      </c>
      <c r="B318" s="22" t="str">
        <f>_xlfn.XLOOKUP(Christus_Emp_Table[[#This Row],[Analyst Name:]],Table1[Analyst Name],Table1[Deloitte Email ID])</f>
        <v>abalagopalan@deloitte.com</v>
      </c>
      <c r="C318" s="19" t="str">
        <f>_xlfn.XLOOKUP(Christus_Emp_Table[[#This Row],[Analyst Name:]],Table1[Analyst Name],Table1[Module])</f>
        <v>Reporting</v>
      </c>
      <c r="D318" s="19" t="str">
        <f>_xlfn.XLOOKUP(Christus_Emp_Table[[#This Row],[Analyst Name:]],Table1[Analyst Name],Table1[Location])</f>
        <v>BLR</v>
      </c>
      <c r="E318" s="19" t="s">
        <v>112</v>
      </c>
      <c r="F318" s="20">
        <v>45971</v>
      </c>
      <c r="G318" s="20">
        <v>45971</v>
      </c>
      <c r="H318" s="22" t="s">
        <v>129</v>
      </c>
      <c r="I318" s="19" t="s">
        <v>128</v>
      </c>
      <c r="J318" s="22">
        <f>NETWORKDAYS(Christus_Emp_Table[[#This Row],[From Date:]],Christus_Emp_Table[[#This Row],[To Date:]])</f>
        <v>1</v>
      </c>
      <c r="L318" s="22" t="str">
        <f>_xlfn.XLOOKUP(Christus_Emp_Table[[#This Row],[Analyst Name:]],Table1[Analyst Name],Table1[Lead])</f>
        <v>Jagannath Belel</v>
      </c>
    </row>
    <row r="319" spans="1:12" x14ac:dyDescent="0.35">
      <c r="A319" s="18" t="s">
        <v>36</v>
      </c>
      <c r="B319" s="22" t="str">
        <f>_xlfn.XLOOKUP(Christus_Emp_Table[[#This Row],[Analyst Name:]],Table1[Analyst Name],Table1[Deloitte Email ID])</f>
        <v>jpaul4@deloitte.com</v>
      </c>
      <c r="C319" s="19" t="str">
        <f>_xlfn.XLOOKUP(Christus_Emp_Table[[#This Row],[Analyst Name:]],Table1[Analyst Name],Table1[Module])</f>
        <v>Bridges</v>
      </c>
      <c r="D319" s="19" t="str">
        <f>_xlfn.XLOOKUP(Christus_Emp_Table[[#This Row],[Analyst Name:]],Table1[Analyst Name],Table1[Location])</f>
        <v>BLR</v>
      </c>
      <c r="E319" s="19" t="s">
        <v>127</v>
      </c>
      <c r="F319" s="20">
        <v>45965</v>
      </c>
      <c r="G319" s="20">
        <v>45965</v>
      </c>
      <c r="H319" s="19" t="s">
        <v>127</v>
      </c>
      <c r="I319" s="19" t="s">
        <v>128</v>
      </c>
      <c r="J319" s="22">
        <f>NETWORKDAYS(Christus_Emp_Table[[#This Row],[From Date:]],Christus_Emp_Table[[#This Row],[To Date:]])</f>
        <v>1</v>
      </c>
      <c r="L319" s="22" t="str">
        <f>_xlfn.XLOOKUP(Christus_Emp_Table[[#This Row],[Analyst Name:]],Table1[Analyst Name],Table1[Lead])</f>
        <v>Parth Zalavadia</v>
      </c>
    </row>
    <row r="320" spans="1:12" x14ac:dyDescent="0.35">
      <c r="A320" s="18" t="s">
        <v>56</v>
      </c>
      <c r="B320" s="22" t="str">
        <f>_xlfn.XLOOKUP(Christus_Emp_Table[[#This Row],[Analyst Name:]],Table1[Analyst Name],Table1[Deloitte Email ID])</f>
        <v>sanjasinghal@deloitte.com</v>
      </c>
      <c r="C320" s="19" t="str">
        <f>_xlfn.XLOOKUP(Christus_Emp_Table[[#This Row],[Analyst Name:]],Table1[Analyst Name],Table1[Module])</f>
        <v>SER</v>
      </c>
      <c r="D320" s="19" t="str">
        <f>_xlfn.XLOOKUP(Christus_Emp_Table[[#This Row],[Analyst Name:]],Table1[Analyst Name],Table1[Location])</f>
        <v>HYD</v>
      </c>
      <c r="E320" s="19" t="s">
        <v>112</v>
      </c>
      <c r="F320" s="20">
        <v>45971</v>
      </c>
      <c r="G320" s="20">
        <v>45971</v>
      </c>
      <c r="H320" s="22" t="s">
        <v>129</v>
      </c>
      <c r="I320" s="19" t="s">
        <v>128</v>
      </c>
      <c r="J320" s="22">
        <f>NETWORKDAYS(Christus_Emp_Table[[#This Row],[From Date:]],Christus_Emp_Table[[#This Row],[To Date:]])</f>
        <v>1</v>
      </c>
      <c r="L320" s="22" t="str">
        <f>_xlfn.XLOOKUP(Christus_Emp_Table[[#This Row],[Analyst Name:]],Table1[Analyst Name],Table1[Lead])</f>
        <v>Ankita Roy</v>
      </c>
    </row>
    <row r="321" spans="1:12" x14ac:dyDescent="0.35">
      <c r="A321" s="18" t="s">
        <v>75</v>
      </c>
      <c r="B321" s="22" t="str">
        <f>_xlfn.XLOOKUP(Christus_Emp_Table[[#This Row],[Analyst Name:]],Table1[Analyst Name],Table1[Deloitte Email ID])</f>
        <v>stanuja@deloitte.com</v>
      </c>
      <c r="C321" s="19" t="str">
        <f>_xlfn.XLOOKUP(Christus_Emp_Table[[#This Row],[Analyst Name:]],Table1[Analyst Name],Table1[Module])</f>
        <v>QA</v>
      </c>
      <c r="D321" s="19" t="str">
        <f>_xlfn.XLOOKUP(Christus_Emp_Table[[#This Row],[Analyst Name:]],Table1[Analyst Name],Table1[Location])</f>
        <v>HYD</v>
      </c>
      <c r="E321" s="19" t="s">
        <v>112</v>
      </c>
      <c r="F321" s="20">
        <v>45972</v>
      </c>
      <c r="G321" s="20">
        <v>45972</v>
      </c>
      <c r="H321" s="22" t="s">
        <v>129</v>
      </c>
      <c r="I321" s="19" t="s">
        <v>128</v>
      </c>
      <c r="J321" s="22">
        <f>NETWORKDAYS(Christus_Emp_Table[[#This Row],[From Date:]],Christus_Emp_Table[[#This Row],[To Date:]])</f>
        <v>1</v>
      </c>
      <c r="L321" s="22" t="str">
        <f>_xlfn.XLOOKUP(Christus_Emp_Table[[#This Row],[Analyst Name:]],Table1[Analyst Name],Table1[Lead])</f>
        <v>Ankita Roy</v>
      </c>
    </row>
    <row r="322" spans="1:12" x14ac:dyDescent="0.35">
      <c r="A322" s="18" t="s">
        <v>29</v>
      </c>
      <c r="B322" s="22" t="str">
        <f>_xlfn.XLOOKUP(Christus_Emp_Table[[#This Row],[Analyst Name:]],Table1[Analyst Name],Table1[Deloitte Email ID])</f>
        <v>gigollapudi@deloitte.com</v>
      </c>
      <c r="C322" s="19" t="str">
        <f>_xlfn.XLOOKUP(Christus_Emp_Table[[#This Row],[Analyst Name:]],Table1[Analyst Name],Table1[Module])</f>
        <v>Reporting</v>
      </c>
      <c r="D322" s="19" t="str">
        <f>_xlfn.XLOOKUP(Christus_Emp_Table[[#This Row],[Analyst Name:]],Table1[Analyst Name],Table1[Location])</f>
        <v>HYD</v>
      </c>
      <c r="E322" s="19" t="s">
        <v>112</v>
      </c>
      <c r="F322" s="20">
        <v>45964</v>
      </c>
      <c r="G322" s="20">
        <v>45987</v>
      </c>
      <c r="H322" s="22" t="s">
        <v>129</v>
      </c>
      <c r="I322" s="19" t="s">
        <v>128</v>
      </c>
      <c r="J322" s="22">
        <f>NETWORKDAYS(Christus_Emp_Table[[#This Row],[From Date:]],Christus_Emp_Table[[#This Row],[To Date:]])</f>
        <v>18</v>
      </c>
      <c r="L322" s="22" t="str">
        <f>_xlfn.XLOOKUP(Christus_Emp_Table[[#This Row],[Analyst Name:]],Table1[Analyst Name],Table1[Lead])</f>
        <v>Jagannath Belel</v>
      </c>
    </row>
    <row r="323" spans="1:12" x14ac:dyDescent="0.35">
      <c r="A323" s="18" t="s">
        <v>70</v>
      </c>
      <c r="B323" s="22" t="str">
        <f>_xlfn.XLOOKUP(Christus_Emp_Table[[#This Row],[Analyst Name:]],Table1[Analyst Name],Table1[Deloitte Email ID])</f>
        <v>amisshaw@deloitte.com</v>
      </c>
      <c r="C323" s="19" t="str">
        <f>_xlfn.XLOOKUP(Christus_Emp_Table[[#This Row],[Analyst Name:]],Table1[Analyst Name],Table1[Module])</f>
        <v>Automation</v>
      </c>
      <c r="D323" s="19" t="str">
        <f>_xlfn.XLOOKUP(Christus_Emp_Table[[#This Row],[Analyst Name:]],Table1[Analyst Name],Table1[Location])</f>
        <v>MUM</v>
      </c>
      <c r="E323" s="19" t="s">
        <v>127</v>
      </c>
      <c r="F323" s="20">
        <v>45996</v>
      </c>
      <c r="G323" s="20">
        <v>46000</v>
      </c>
      <c r="H323" s="19" t="s">
        <v>127</v>
      </c>
      <c r="I323" s="19" t="s">
        <v>128</v>
      </c>
      <c r="J323" s="22">
        <f>NETWORKDAYS(Christus_Emp_Table[[#This Row],[From Date:]],Christus_Emp_Table[[#This Row],[To Date:]])</f>
        <v>3</v>
      </c>
      <c r="L323" s="22" t="str">
        <f>_xlfn.XLOOKUP(Christus_Emp_Table[[#This Row],[Analyst Name:]],Table1[Analyst Name],Table1[Lead])</f>
        <v>Nitish Kumar</v>
      </c>
    </row>
    <row r="324" spans="1:12" x14ac:dyDescent="0.35">
      <c r="A324" s="18" t="s">
        <v>31</v>
      </c>
      <c r="B324" s="22" t="str">
        <f>_xlfn.XLOOKUP(Christus_Emp_Table[[#This Row],[Analyst Name:]],Table1[Analyst Name],Table1[Deloitte Email ID])</f>
        <v>racharachana@deloitte.com</v>
      </c>
      <c r="C324" s="19" t="str">
        <f>_xlfn.XLOOKUP(Christus_Emp_Table[[#This Row],[Analyst Name:]],Table1[Analyst Name],Table1[Module])</f>
        <v>Reporting</v>
      </c>
      <c r="D324" s="19" t="str">
        <f>_xlfn.XLOOKUP(Christus_Emp_Table[[#This Row],[Analyst Name:]],Table1[Analyst Name],Table1[Location])</f>
        <v>HYD</v>
      </c>
      <c r="E324" s="19" t="s">
        <v>127</v>
      </c>
      <c r="F324" s="20">
        <v>46003</v>
      </c>
      <c r="G324" s="20">
        <v>46003</v>
      </c>
      <c r="H324" s="19" t="s">
        <v>127</v>
      </c>
      <c r="I324" s="19" t="s">
        <v>128</v>
      </c>
      <c r="J324" s="22">
        <f>NETWORKDAYS(Christus_Emp_Table[[#This Row],[From Date:]],Christus_Emp_Table[[#This Row],[To Date:]])</f>
        <v>1</v>
      </c>
      <c r="L324" s="22" t="str">
        <f>_xlfn.XLOOKUP(Christus_Emp_Table[[#This Row],[Analyst Name:]],Table1[Analyst Name],Table1[Lead])</f>
        <v>Nitish Kumar</v>
      </c>
    </row>
    <row r="325" spans="1:12" x14ac:dyDescent="0.35">
      <c r="A325" s="18" t="s">
        <v>31</v>
      </c>
      <c r="B325" s="22" t="str">
        <f>_xlfn.XLOOKUP(Christus_Emp_Table[[#This Row],[Analyst Name:]],Table1[Analyst Name],Table1[Deloitte Email ID])</f>
        <v>racharachana@deloitte.com</v>
      </c>
      <c r="C325" s="19" t="str">
        <f>_xlfn.XLOOKUP(Christus_Emp_Table[[#This Row],[Analyst Name:]],Table1[Analyst Name],Table1[Module])</f>
        <v>Reporting</v>
      </c>
      <c r="D325" s="19" t="str">
        <f>_xlfn.XLOOKUP(Christus_Emp_Table[[#This Row],[Analyst Name:]],Table1[Analyst Name],Table1[Location])</f>
        <v>HYD</v>
      </c>
      <c r="E325" s="19" t="s">
        <v>130</v>
      </c>
      <c r="F325" s="20">
        <v>46002</v>
      </c>
      <c r="G325" s="20">
        <v>46002</v>
      </c>
      <c r="H325" s="19" t="s">
        <v>130</v>
      </c>
      <c r="I325" s="19" t="s">
        <v>128</v>
      </c>
      <c r="J325" s="22">
        <f>NETWORKDAYS(Christus_Emp_Table[[#This Row],[From Date:]],Christus_Emp_Table[[#This Row],[To Date:]])</f>
        <v>1</v>
      </c>
      <c r="L325" s="22" t="str">
        <f>_xlfn.XLOOKUP(Christus_Emp_Table[[#This Row],[Analyst Name:]],Table1[Analyst Name],Table1[Lead])</f>
        <v>Nitish Kumar</v>
      </c>
    </row>
    <row r="326" spans="1:12" x14ac:dyDescent="0.35">
      <c r="A326" s="18" t="s">
        <v>31</v>
      </c>
      <c r="B326" s="22" t="str">
        <f>_xlfn.XLOOKUP(Christus_Emp_Table[[#This Row],[Analyst Name:]],Table1[Analyst Name],Table1[Deloitte Email ID])</f>
        <v>racharachana@deloitte.com</v>
      </c>
      <c r="C326" s="19" t="str">
        <f>_xlfn.XLOOKUP(Christus_Emp_Table[[#This Row],[Analyst Name:]],Table1[Analyst Name],Table1[Module])</f>
        <v>Reporting</v>
      </c>
      <c r="D326" s="19" t="str">
        <f>_xlfn.XLOOKUP(Christus_Emp_Table[[#This Row],[Analyst Name:]],Table1[Analyst Name],Table1[Location])</f>
        <v>HYD</v>
      </c>
      <c r="E326" s="19" t="s">
        <v>112</v>
      </c>
      <c r="F326" s="20">
        <v>46013</v>
      </c>
      <c r="G326" s="20">
        <v>46013</v>
      </c>
      <c r="H326" s="22" t="s">
        <v>129</v>
      </c>
      <c r="I326" s="19" t="s">
        <v>128</v>
      </c>
      <c r="J326" s="22">
        <f>NETWORKDAYS(Christus_Emp_Table[[#This Row],[From Date:]],Christus_Emp_Table[[#This Row],[To Date:]])</f>
        <v>1</v>
      </c>
      <c r="L326" s="22" t="str">
        <f>_xlfn.XLOOKUP(Christus_Emp_Table[[#This Row],[Analyst Name:]],Table1[Analyst Name],Table1[Lead])</f>
        <v>Nitish Kumar</v>
      </c>
    </row>
    <row r="327" spans="1:12" x14ac:dyDescent="0.35">
      <c r="A327" s="18" t="s">
        <v>61</v>
      </c>
      <c r="B327" s="22" t="str">
        <f>_xlfn.XLOOKUP(Christus_Emp_Table[[#This Row],[Analyst Name:]],Table1[Analyst Name],Table1[Deloitte Email ID])</f>
        <v>pbraj@deloitte.com</v>
      </c>
      <c r="C327" s="19" t="str">
        <f>_xlfn.XLOOKUP(Christus_Emp_Table[[#This Row],[Analyst Name:]],Table1[Analyst Name],Table1[Module])</f>
        <v>Automation</v>
      </c>
      <c r="D327" s="19" t="str">
        <f>_xlfn.XLOOKUP(Christus_Emp_Table[[#This Row],[Analyst Name:]],Table1[Analyst Name],Table1[Location])</f>
        <v>BLR</v>
      </c>
      <c r="E327" s="19" t="s">
        <v>133</v>
      </c>
      <c r="F327" s="20">
        <v>45989</v>
      </c>
      <c r="G327" s="20">
        <v>45996</v>
      </c>
      <c r="H327" s="19" t="s">
        <v>133</v>
      </c>
      <c r="I327" s="19" t="s">
        <v>128</v>
      </c>
      <c r="J327" s="22">
        <f>NETWORKDAYS(Christus_Emp_Table[[#This Row],[From Date:]],Christus_Emp_Table[[#This Row],[To Date:]])</f>
        <v>6</v>
      </c>
      <c r="L327" s="22" t="str">
        <f>_xlfn.XLOOKUP(Christus_Emp_Table[[#This Row],[Analyst Name:]],Table1[Analyst Name],Table1[Lead])</f>
        <v>Nitish Kumar</v>
      </c>
    </row>
    <row r="328" spans="1:12" x14ac:dyDescent="0.35">
      <c r="A328" s="18" t="s">
        <v>6</v>
      </c>
      <c r="B328" s="22" t="str">
        <f>_xlfn.XLOOKUP(Christus_Emp_Table[[#This Row],[Analyst Name:]],Table1[Analyst Name],Table1[Deloitte Email ID])</f>
        <v>nitishkumar44@deloitte.com</v>
      </c>
      <c r="C328" s="19" t="str">
        <f>_xlfn.XLOOKUP(Christus_Emp_Table[[#This Row],[Analyst Name:]],Table1[Analyst Name],Table1[Module])</f>
        <v>Reporting</v>
      </c>
      <c r="D328" s="19" t="str">
        <f>_xlfn.XLOOKUP(Christus_Emp_Table[[#This Row],[Analyst Name:]],Table1[Analyst Name],Table1[Location])</f>
        <v>BLR</v>
      </c>
      <c r="E328" s="19" t="s">
        <v>127</v>
      </c>
      <c r="F328" s="20">
        <v>46001</v>
      </c>
      <c r="G328" s="20">
        <v>46001</v>
      </c>
      <c r="H328" s="19" t="s">
        <v>127</v>
      </c>
      <c r="I328" s="19" t="s">
        <v>128</v>
      </c>
      <c r="J328" s="19">
        <f>NETWORKDAYS(Christus_Emp_Table[[#This Row],[From Date:]],Christus_Emp_Table[[#This Row],[To Date:]])</f>
        <v>1</v>
      </c>
      <c r="K328" s="19"/>
      <c r="L328" s="19">
        <f>_xlfn.XLOOKUP(Christus_Emp_Table[[#This Row],[Analyst Name:]],Table1[Analyst Name],Table1[Lead])</f>
        <v>0</v>
      </c>
    </row>
    <row r="329" spans="1:12" x14ac:dyDescent="0.35">
      <c r="A329" s="18" t="s">
        <v>6</v>
      </c>
      <c r="B329" s="22" t="str">
        <f>_xlfn.XLOOKUP(Christus_Emp_Table[[#This Row],[Analyst Name:]],Table1[Analyst Name],Table1[Deloitte Email ID])</f>
        <v>nitishkumar44@deloitte.com</v>
      </c>
      <c r="C329" s="19" t="str">
        <f>_xlfn.XLOOKUP(Christus_Emp_Table[[#This Row],[Analyst Name:]],Table1[Analyst Name],Table1[Module])</f>
        <v>Reporting</v>
      </c>
      <c r="D329" s="19" t="str">
        <f>_xlfn.XLOOKUP(Christus_Emp_Table[[#This Row],[Analyst Name:]],Table1[Analyst Name],Table1[Location])</f>
        <v>BLR</v>
      </c>
      <c r="E329" s="19" t="s">
        <v>127</v>
      </c>
      <c r="F329" s="20">
        <v>45954</v>
      </c>
      <c r="G329" s="20">
        <v>45954</v>
      </c>
      <c r="H329" s="19" t="s">
        <v>127</v>
      </c>
      <c r="I329" s="19" t="s">
        <v>128</v>
      </c>
      <c r="J329" s="19">
        <v>1</v>
      </c>
      <c r="K329" s="19"/>
      <c r="L329" s="19">
        <f>_xlfn.XLOOKUP(Christus_Emp_Table[[#This Row],[Analyst Name:]],Table1[Analyst Name],Table1[Lead])</f>
        <v>0</v>
      </c>
    </row>
    <row r="330" spans="1:12" x14ac:dyDescent="0.35">
      <c r="A330" s="18" t="s">
        <v>6</v>
      </c>
      <c r="B330" s="22" t="str">
        <f>_xlfn.XLOOKUP(Christus_Emp_Table[[#This Row],[Analyst Name:]],Table1[Analyst Name],Table1[Deloitte Email ID])</f>
        <v>nitishkumar44@deloitte.com</v>
      </c>
      <c r="C330" s="19" t="str">
        <f>_xlfn.XLOOKUP(Christus_Emp_Table[[#This Row],[Analyst Name:]],Table1[Analyst Name],Table1[Module])</f>
        <v>Reporting</v>
      </c>
      <c r="D330" s="19" t="str">
        <f>_xlfn.XLOOKUP(Christus_Emp_Table[[#This Row],[Analyst Name:]],Table1[Analyst Name],Table1[Location])</f>
        <v>BLR</v>
      </c>
      <c r="E330" s="19" t="s">
        <v>112</v>
      </c>
      <c r="F330" s="20">
        <v>45787</v>
      </c>
      <c r="G330" s="20">
        <v>45787</v>
      </c>
      <c r="H330" s="22" t="s">
        <v>129</v>
      </c>
      <c r="I330" s="19" t="s">
        <v>128</v>
      </c>
      <c r="J330" s="19">
        <f>NETWORKDAYS(Christus_Emp_Table[[#This Row],[From Date:]],Christus_Emp_Table[[#This Row],[To Date:]])</f>
        <v>0</v>
      </c>
      <c r="K330" s="19"/>
      <c r="L330" s="19">
        <f>_xlfn.XLOOKUP(Christus_Emp_Table[[#This Row],[Analyst Name:]],Table1[Analyst Name],Table1[Lead])</f>
        <v>0</v>
      </c>
    </row>
    <row r="331" spans="1:12" x14ac:dyDescent="0.35">
      <c r="A331" s="18" t="s">
        <v>11</v>
      </c>
      <c r="B331" s="22" t="str">
        <f>_xlfn.XLOOKUP(Christus_Emp_Table[[#This Row],[Analyst Name:]],Table1[Analyst Name],Table1[Deloitte Email ID])</f>
        <v>bharkumari@deloitte.com</v>
      </c>
      <c r="C331" s="19" t="str">
        <f>_xlfn.XLOOKUP(Christus_Emp_Table[[#This Row],[Analyst Name:]],Table1[Analyst Name],Table1[Module])</f>
        <v>Reporting</v>
      </c>
      <c r="D331" s="19" t="str">
        <f>_xlfn.XLOOKUP(Christus_Emp_Table[[#This Row],[Analyst Name:]],Table1[Analyst Name],Table1[Location])</f>
        <v>BLR</v>
      </c>
      <c r="E331" s="19" t="s">
        <v>112</v>
      </c>
      <c r="F331" s="20">
        <v>45993</v>
      </c>
      <c r="G331" s="20">
        <v>45993</v>
      </c>
      <c r="H331" s="22" t="s">
        <v>129</v>
      </c>
      <c r="I331" s="19" t="s">
        <v>128</v>
      </c>
      <c r="J331" s="19">
        <f>NETWORKDAYS(Christus_Emp_Table[[#This Row],[From Date:]],Christus_Emp_Table[[#This Row],[To Date:]])</f>
        <v>1</v>
      </c>
      <c r="K331" s="19"/>
      <c r="L331" s="19" t="str">
        <f>_xlfn.XLOOKUP(Christus_Emp_Table[[#This Row],[Analyst Name:]],Table1[Analyst Name],Table1[Lead])</f>
        <v>Nitish Kumar</v>
      </c>
    </row>
    <row r="332" spans="1:12" x14ac:dyDescent="0.35">
      <c r="A332" s="18" t="s">
        <v>15</v>
      </c>
      <c r="B332" s="22" t="str">
        <f>_xlfn.XLOOKUP(Christus_Emp_Table[[#This Row],[Analyst Name:]],Table1[Analyst Name],Table1[Deloitte Email ID])</f>
        <v>jbelel@deloitte.com</v>
      </c>
      <c r="C332" s="19" t="str">
        <f>_xlfn.XLOOKUP(Christus_Emp_Table[[#This Row],[Analyst Name:]],Table1[Analyst Name],Table1[Module])</f>
        <v>Reporting</v>
      </c>
      <c r="D332" s="19" t="str">
        <f>_xlfn.XLOOKUP(Christus_Emp_Table[[#This Row],[Analyst Name:]],Table1[Analyst Name],Table1[Location])</f>
        <v>MUM</v>
      </c>
      <c r="E332" s="19" t="s">
        <v>127</v>
      </c>
      <c r="F332" s="20">
        <v>45999</v>
      </c>
      <c r="G332" s="20">
        <v>45999</v>
      </c>
      <c r="H332" s="19" t="s">
        <v>127</v>
      </c>
      <c r="I332" s="19" t="s">
        <v>128</v>
      </c>
      <c r="J332" s="19">
        <f>NETWORKDAYS(Christus_Emp_Table[[#This Row],[From Date:]],Christus_Emp_Table[[#This Row],[To Date:]])</f>
        <v>1</v>
      </c>
      <c r="K332" s="19"/>
      <c r="L332" s="19" t="str">
        <f>_xlfn.XLOOKUP(Christus_Emp_Table[[#This Row],[Analyst Name:]],Table1[Analyst Name],Table1[Lead])</f>
        <v>Tanima Debmallik/Nitish Kumar</v>
      </c>
    </row>
    <row r="333" spans="1:12" x14ac:dyDescent="0.35">
      <c r="A333" s="18" t="s">
        <v>43</v>
      </c>
      <c r="B333" s="22" t="str">
        <f>_xlfn.XLOOKUP(Christus_Emp_Table[[#This Row],[Analyst Name:]],Table1[Analyst Name],Table1[Deloitte Email ID])</f>
        <v>frai@deloitte.com</v>
      </c>
      <c r="C333" s="19" t="str">
        <f>_xlfn.XLOOKUP(Christus_Emp_Table[[#This Row],[Analyst Name:]],Table1[Analyst Name],Table1[Module])</f>
        <v>MyChart</v>
      </c>
      <c r="D333" s="19" t="str">
        <f>_xlfn.XLOOKUP(Christus_Emp_Table[[#This Row],[Analyst Name:]],Table1[Analyst Name],Table1[Location])</f>
        <v>HYD</v>
      </c>
      <c r="E333" s="19" t="s">
        <v>127</v>
      </c>
      <c r="F333" s="20">
        <v>46013</v>
      </c>
      <c r="G333" s="20">
        <v>46015</v>
      </c>
      <c r="H333" s="19" t="s">
        <v>127</v>
      </c>
      <c r="I333" s="19" t="s">
        <v>128</v>
      </c>
      <c r="J333" s="19">
        <f>NETWORKDAYS(Christus_Emp_Table[[#This Row],[From Date:]],Christus_Emp_Table[[#This Row],[To Date:]])</f>
        <v>3</v>
      </c>
      <c r="K333" s="19"/>
      <c r="L333" s="19" t="str">
        <f>_xlfn.XLOOKUP(Christus_Emp_Table[[#This Row],[Analyst Name:]],Table1[Analyst Name],Table1[Lead])</f>
        <v>Nitish Kumar</v>
      </c>
    </row>
    <row r="334" spans="1:12" x14ac:dyDescent="0.35">
      <c r="A334" s="18" t="s">
        <v>33</v>
      </c>
      <c r="B334" s="22" t="str">
        <f>_xlfn.XLOOKUP(Christus_Emp_Table[[#This Row],[Analyst Name:]],Table1[Analyst Name],Table1[Deloitte Email ID])</f>
        <v>pjagdishzalavadia@deloitte.com</v>
      </c>
      <c r="C334" s="19" t="str">
        <f>_xlfn.XLOOKUP(Christus_Emp_Table[[#This Row],[Analyst Name:]],Table1[Analyst Name],Table1[Module])</f>
        <v>Bridges</v>
      </c>
      <c r="D334" s="19" t="str">
        <f>_xlfn.XLOOKUP(Christus_Emp_Table[[#This Row],[Analyst Name:]],Table1[Analyst Name],Table1[Location])</f>
        <v>BLR</v>
      </c>
      <c r="E334" s="19" t="s">
        <v>127</v>
      </c>
      <c r="F334" s="20">
        <v>46013</v>
      </c>
      <c r="G334" s="20">
        <v>46015</v>
      </c>
      <c r="H334" s="19" t="s">
        <v>127</v>
      </c>
      <c r="I334" s="19" t="s">
        <v>128</v>
      </c>
      <c r="J334" s="19">
        <f>NETWORKDAYS(Christus_Emp_Table[[#This Row],[From Date:]],Christus_Emp_Table[[#This Row],[To Date:]])</f>
        <v>3</v>
      </c>
      <c r="K334" s="19"/>
      <c r="L334" s="19" t="str">
        <f>_xlfn.XLOOKUP(Christus_Emp_Table[[#This Row],[Analyst Name:]],Table1[Analyst Name],Table1[Lead])</f>
        <v>Tanima Debmallik/Nitish Kumar</v>
      </c>
    </row>
    <row r="335" spans="1:12" x14ac:dyDescent="0.35">
      <c r="A335" s="18" t="s">
        <v>48</v>
      </c>
      <c r="B335" s="22" t="str">
        <f>_xlfn.XLOOKUP(Christus_Emp_Table[[#This Row],[Analyst Name:]],Table1[Analyst Name],Table1[Deloitte Email ID])</f>
        <v>dwaikar@deloitte.com</v>
      </c>
      <c r="C335" s="19" t="str">
        <f>_xlfn.XLOOKUP(Christus_Emp_Table[[#This Row],[Analyst Name:]],Table1[Analyst Name],Table1[Module])</f>
        <v>SER</v>
      </c>
      <c r="D335" s="19" t="str">
        <f>_xlfn.XLOOKUP(Christus_Emp_Table[[#This Row],[Analyst Name:]],Table1[Analyst Name],Table1[Location])</f>
        <v>BLR</v>
      </c>
      <c r="E335" s="19" t="s">
        <v>127</v>
      </c>
      <c r="F335" s="20">
        <v>46013</v>
      </c>
      <c r="G335" s="20">
        <v>46015</v>
      </c>
      <c r="H335" s="19" t="s">
        <v>127</v>
      </c>
      <c r="I335" s="19" t="s">
        <v>128</v>
      </c>
      <c r="J335" s="19">
        <f>NETWORKDAYS(Christus_Emp_Table[[#This Row],[From Date:]],Christus_Emp_Table[[#This Row],[To Date:]])</f>
        <v>3</v>
      </c>
      <c r="K335" s="19"/>
      <c r="L335" s="19" t="str">
        <f>_xlfn.XLOOKUP(Christus_Emp_Table[[#This Row],[Analyst Name:]],Table1[Analyst Name],Table1[Lead])</f>
        <v>Ankita Roy</v>
      </c>
    </row>
    <row r="336" spans="1:12" x14ac:dyDescent="0.35">
      <c r="A336" s="18" t="s">
        <v>58</v>
      </c>
      <c r="B336" s="22" t="str">
        <f>_xlfn.XLOOKUP(Christus_Emp_Table[[#This Row],[Analyst Name:]],Table1[Analyst Name],Table1[Deloitte Email ID])</f>
        <v>rmbabu@deloitte.com</v>
      </c>
      <c r="C336" s="19" t="str">
        <f>_xlfn.XLOOKUP(Christus_Emp_Table[[#This Row],[Analyst Name:]],Table1[Analyst Name],Table1[Module])</f>
        <v>ECLink</v>
      </c>
      <c r="D336" s="19" t="str">
        <f>_xlfn.XLOOKUP(Christus_Emp_Table[[#This Row],[Analyst Name:]],Table1[Analyst Name],Table1[Location])</f>
        <v>HYD</v>
      </c>
      <c r="E336" s="19" t="s">
        <v>127</v>
      </c>
      <c r="F336" s="20">
        <v>46013</v>
      </c>
      <c r="G336" s="20">
        <v>46015</v>
      </c>
      <c r="H336" s="19" t="s">
        <v>127</v>
      </c>
      <c r="I336" s="19" t="s">
        <v>128</v>
      </c>
      <c r="J336" s="19">
        <f>NETWORKDAYS(Christus_Emp_Table[[#This Row],[From Date:]],Christus_Emp_Table[[#This Row],[To Date:]])</f>
        <v>3</v>
      </c>
      <c r="K336" s="19"/>
      <c r="L336" s="19" t="str">
        <f>_xlfn.XLOOKUP(Christus_Emp_Table[[#This Row],[Analyst Name:]],Table1[Analyst Name],Table1[Lead])</f>
        <v>Nitish Kumar</v>
      </c>
    </row>
    <row r="337" spans="1:12" x14ac:dyDescent="0.35">
      <c r="A337" s="18" t="s">
        <v>72</v>
      </c>
      <c r="B337" s="22" t="str">
        <f>_xlfn.XLOOKUP(Christus_Emp_Table[[#This Row],[Analyst Name:]],Table1[Analyst Name],Table1[Deloitte Email ID])</f>
        <v>susujitha@deloitte.com</v>
      </c>
      <c r="C337" s="19" t="str">
        <f>_xlfn.XLOOKUP(Christus_Emp_Table[[#This Row],[Analyst Name:]],Table1[Analyst Name],Table1[Module])</f>
        <v>QA</v>
      </c>
      <c r="D337" s="19" t="str">
        <f>_xlfn.XLOOKUP(Christus_Emp_Table[[#This Row],[Analyst Name:]],Table1[Analyst Name],Table1[Location])</f>
        <v>HYD</v>
      </c>
      <c r="E337" s="19" t="s">
        <v>127</v>
      </c>
      <c r="F337" s="20">
        <v>46013</v>
      </c>
      <c r="G337" s="20">
        <v>46015</v>
      </c>
      <c r="H337" s="19" t="s">
        <v>127</v>
      </c>
      <c r="I337" s="19" t="s">
        <v>128</v>
      </c>
      <c r="J337" s="19">
        <f>NETWORKDAYS(Christus_Emp_Table[[#This Row],[From Date:]],Christus_Emp_Table[[#This Row],[To Date:]])</f>
        <v>3</v>
      </c>
      <c r="K337" s="19"/>
      <c r="L337" s="19" t="str">
        <f>_xlfn.XLOOKUP(Christus_Emp_Table[[#This Row],[Analyst Name:]],Table1[Analyst Name],Table1[Lead])</f>
        <v>Ankita Roy</v>
      </c>
    </row>
    <row r="338" spans="1:12" x14ac:dyDescent="0.35">
      <c r="A338" s="18" t="s">
        <v>79</v>
      </c>
      <c r="B338" s="22" t="str">
        <f>_xlfn.XLOOKUP(Christus_Emp_Table[[#This Row],[Analyst Name:]],Table1[Analyst Name],Table1[Deloitte Email ID])</f>
        <v>pragrawat@deloitte.com</v>
      </c>
      <c r="C338" s="19" t="str">
        <f>_xlfn.XLOOKUP(Christus_Emp_Table[[#This Row],[Analyst Name:]],Table1[Analyst Name],Table1[Module])</f>
        <v>EC/DC</v>
      </c>
      <c r="D338" s="19" t="str">
        <f>_xlfn.XLOOKUP(Christus_Emp_Table[[#This Row],[Analyst Name:]],Table1[Analyst Name],Table1[Location])</f>
        <v>GUR</v>
      </c>
      <c r="E338" s="19" t="s">
        <v>127</v>
      </c>
      <c r="F338" s="20">
        <v>46013</v>
      </c>
      <c r="G338" s="20">
        <v>46015</v>
      </c>
      <c r="H338" s="19" t="s">
        <v>127</v>
      </c>
      <c r="I338" s="19" t="s">
        <v>128</v>
      </c>
      <c r="J338" s="19">
        <f>NETWORKDAYS(Christus_Emp_Table[[#This Row],[From Date:]],Christus_Emp_Table[[#This Row],[To Date:]])</f>
        <v>3</v>
      </c>
      <c r="K338" s="19"/>
      <c r="L338" s="19" t="str">
        <f>_xlfn.XLOOKUP(Christus_Emp_Table[[#This Row],[Analyst Name:]],Table1[Analyst Name],Table1[Lead])</f>
        <v>Ankita Roy</v>
      </c>
    </row>
    <row r="339" spans="1:12" x14ac:dyDescent="0.35">
      <c r="A339" s="18" t="s">
        <v>33</v>
      </c>
      <c r="B339" s="22" t="str">
        <f>_xlfn.XLOOKUP(Christus_Emp_Table[[#This Row],[Analyst Name:]],Table1[Analyst Name],Table1[Deloitte Email ID])</f>
        <v>pjagdishzalavadia@deloitte.com</v>
      </c>
      <c r="C339" s="19" t="str">
        <f>_xlfn.XLOOKUP(Christus_Emp_Table[[#This Row],[Analyst Name:]],Table1[Analyst Name],Table1[Module])</f>
        <v>Bridges</v>
      </c>
      <c r="D339" s="19" t="str">
        <f>_xlfn.XLOOKUP(Christus_Emp_Table[[#This Row],[Analyst Name:]],Table1[Analyst Name],Table1[Location])</f>
        <v>BLR</v>
      </c>
      <c r="E339" s="19" t="s">
        <v>112</v>
      </c>
      <c r="F339" s="20">
        <v>45995</v>
      </c>
      <c r="G339" s="20">
        <v>45995</v>
      </c>
      <c r="H339" s="22" t="s">
        <v>129</v>
      </c>
      <c r="I339" s="19" t="s">
        <v>128</v>
      </c>
      <c r="J339" s="19">
        <f>NETWORKDAYS(Christus_Emp_Table[[#This Row],[From Date:]],Christus_Emp_Table[[#This Row],[To Date:]])</f>
        <v>1</v>
      </c>
      <c r="K339" s="19"/>
      <c r="L339" s="19" t="str">
        <f>_xlfn.XLOOKUP(Christus_Emp_Table[[#This Row],[Analyst Name:]],Table1[Analyst Name],Table1[Lead])</f>
        <v>Tanima Debmallik/Nitish Kumar</v>
      </c>
    </row>
    <row r="340" spans="1:12" x14ac:dyDescent="0.35">
      <c r="A340" s="18" t="s">
        <v>58</v>
      </c>
      <c r="B340" s="22" t="str">
        <f>_xlfn.XLOOKUP(Christus_Emp_Table[[#This Row],[Analyst Name:]],Table1[Analyst Name],Table1[Deloitte Email ID])</f>
        <v>rmbabu@deloitte.com</v>
      </c>
      <c r="C340" s="19" t="str">
        <f>_xlfn.XLOOKUP(Christus_Emp_Table[[#This Row],[Analyst Name:]],Table1[Analyst Name],Table1[Module])</f>
        <v>ECLink</v>
      </c>
      <c r="D340" s="19" t="str">
        <f>_xlfn.XLOOKUP(Christus_Emp_Table[[#This Row],[Analyst Name:]],Table1[Analyst Name],Table1[Location])</f>
        <v>HYD</v>
      </c>
      <c r="E340" s="19" t="s">
        <v>112</v>
      </c>
      <c r="F340" s="20">
        <v>46010</v>
      </c>
      <c r="G340" s="20">
        <v>46010</v>
      </c>
      <c r="H340" s="22" t="s">
        <v>129</v>
      </c>
      <c r="I340" s="19" t="s">
        <v>128</v>
      </c>
      <c r="J340" s="19">
        <f>NETWORKDAYS(Christus_Emp_Table[[#This Row],[From Date:]],Christus_Emp_Table[[#This Row],[To Date:]])</f>
        <v>1</v>
      </c>
      <c r="K340" s="19"/>
      <c r="L340" s="19" t="str">
        <f>_xlfn.XLOOKUP(Christus_Emp_Table[[#This Row],[Analyst Name:]],Table1[Analyst Name],Table1[Lead])</f>
        <v>Nitish Kumar</v>
      </c>
    </row>
    <row r="341" spans="1:12" x14ac:dyDescent="0.35">
      <c r="A341" s="18" t="s">
        <v>61</v>
      </c>
      <c r="B341" s="22" t="str">
        <f>_xlfn.XLOOKUP(Christus_Emp_Table[[#This Row],[Analyst Name:]],Table1[Analyst Name],Table1[Deloitte Email ID])</f>
        <v>pbraj@deloitte.com</v>
      </c>
      <c r="C341" s="19" t="str">
        <f>_xlfn.XLOOKUP(Christus_Emp_Table[[#This Row],[Analyst Name:]],Table1[Analyst Name],Table1[Module])</f>
        <v>Automation</v>
      </c>
      <c r="D341" s="19" t="str">
        <f>_xlfn.XLOOKUP(Christus_Emp_Table[[#This Row],[Analyst Name:]],Table1[Analyst Name],Table1[Location])</f>
        <v>BLR</v>
      </c>
      <c r="E341" s="19" t="s">
        <v>112</v>
      </c>
      <c r="F341" s="20">
        <v>45994</v>
      </c>
      <c r="G341" s="20">
        <v>45994</v>
      </c>
      <c r="H341" s="22" t="s">
        <v>129</v>
      </c>
      <c r="I341" s="19" t="s">
        <v>128</v>
      </c>
      <c r="J341" s="19">
        <f>NETWORKDAYS(Christus_Emp_Table[[#This Row],[From Date:]],Christus_Emp_Table[[#This Row],[To Date:]])</f>
        <v>1</v>
      </c>
      <c r="K341" s="19"/>
      <c r="L341" s="19" t="str">
        <f>_xlfn.XLOOKUP(Christus_Emp_Table[[#This Row],[Analyst Name:]],Table1[Analyst Name],Table1[Lead])</f>
        <v>Nitish Kumar</v>
      </c>
    </row>
    <row r="342" spans="1:12" x14ac:dyDescent="0.35">
      <c r="A342" s="18" t="s">
        <v>64</v>
      </c>
      <c r="B342" s="22" t="str">
        <f>_xlfn.XLOOKUP(Christus_Emp_Table[[#This Row],[Analyst Name:]],Table1[Analyst Name],Table1[Deloitte Email ID])</f>
        <v>tgupta10@deloitte.com</v>
      </c>
      <c r="C342" s="19" t="str">
        <f>_xlfn.XLOOKUP(Christus_Emp_Table[[#This Row],[Analyst Name:]],Table1[Analyst Name],Table1[Module])</f>
        <v>Automation</v>
      </c>
      <c r="D342" s="19" t="str">
        <f>_xlfn.XLOOKUP(Christus_Emp_Table[[#This Row],[Analyst Name:]],Table1[Analyst Name],Table1[Location])</f>
        <v>HYD</v>
      </c>
      <c r="E342" s="19" t="s">
        <v>127</v>
      </c>
      <c r="F342" s="20">
        <v>45999</v>
      </c>
      <c r="G342" s="20">
        <v>46015</v>
      </c>
      <c r="H342" s="19" t="s">
        <v>127</v>
      </c>
      <c r="I342" s="19" t="s">
        <v>128</v>
      </c>
      <c r="J342" s="19">
        <f>NETWORKDAYS(Christus_Emp_Table[[#This Row],[From Date:]],Christus_Emp_Table[[#This Row],[To Date:]])</f>
        <v>13</v>
      </c>
      <c r="K342" s="19"/>
      <c r="L342" s="19" t="str">
        <f>_xlfn.XLOOKUP(Christus_Emp_Table[[#This Row],[Analyst Name:]],Table1[Analyst Name],Table1[Lead])</f>
        <v>Parth Zalavadia</v>
      </c>
    </row>
    <row r="343" spans="1:12" x14ac:dyDescent="0.35">
      <c r="A343" s="18" t="s">
        <v>51</v>
      </c>
      <c r="B343" s="22" t="str">
        <f>_xlfn.XLOOKUP(Christus_Emp_Table[[#This Row],[Analyst Name:]],Table1[Analyst Name],Table1[Deloitte Email ID])</f>
        <v>ankitaroy2@deloitte.com</v>
      </c>
      <c r="C343" s="19" t="str">
        <f>_xlfn.XLOOKUP(Christus_Emp_Table[[#This Row],[Analyst Name:]],Table1[Analyst Name],Table1[Module])</f>
        <v>EC/DC</v>
      </c>
      <c r="D343" s="19" t="str">
        <f>_xlfn.XLOOKUP(Christus_Emp_Table[[#This Row],[Analyst Name:]],Table1[Analyst Name],Table1[Location])</f>
        <v>BLR</v>
      </c>
      <c r="E343" s="19" t="s">
        <v>112</v>
      </c>
      <c r="F343" s="20">
        <v>45993</v>
      </c>
      <c r="G343" s="20">
        <v>45993</v>
      </c>
      <c r="H343" s="22" t="s">
        <v>129</v>
      </c>
      <c r="I343" s="19" t="s">
        <v>128</v>
      </c>
      <c r="J343" s="19">
        <f>NETWORKDAYS(Christus_Emp_Table[[#This Row],[From Date:]],Christus_Emp_Table[[#This Row],[To Date:]])</f>
        <v>1</v>
      </c>
      <c r="K343" s="19"/>
      <c r="L343" s="19">
        <f>_xlfn.XLOOKUP(Christus_Emp_Table[[#This Row],[Analyst Name:]],Table1[Analyst Name],Table1[Lead])</f>
        <v>0</v>
      </c>
    </row>
    <row r="344" spans="1:12" x14ac:dyDescent="0.35">
      <c r="A344" s="18" t="s">
        <v>51</v>
      </c>
      <c r="B344" s="22" t="str">
        <f>_xlfn.XLOOKUP(Christus_Emp_Table[[#This Row],[Analyst Name:]],Table1[Analyst Name],Table1[Deloitte Email ID])</f>
        <v>ankitaroy2@deloitte.com</v>
      </c>
      <c r="C344" s="19" t="str">
        <f>_xlfn.XLOOKUP(Christus_Emp_Table[[#This Row],[Analyst Name:]],Table1[Analyst Name],Table1[Module])</f>
        <v>EC/DC</v>
      </c>
      <c r="D344" s="19" t="str">
        <f>_xlfn.XLOOKUP(Christus_Emp_Table[[#This Row],[Analyst Name:]],Table1[Analyst Name],Table1[Location])</f>
        <v>BLR</v>
      </c>
      <c r="E344" s="19" t="s">
        <v>127</v>
      </c>
      <c r="F344" s="20">
        <v>46006</v>
      </c>
      <c r="G344" s="20">
        <v>46006</v>
      </c>
      <c r="H344" s="19" t="s">
        <v>127</v>
      </c>
      <c r="I344" s="19" t="s">
        <v>128</v>
      </c>
      <c r="J344" s="19">
        <f>NETWORKDAYS(Christus_Emp_Table[[#This Row],[From Date:]],Christus_Emp_Table[[#This Row],[To Date:]])</f>
        <v>1</v>
      </c>
      <c r="K344" s="19"/>
      <c r="L344" s="19">
        <f>_xlfn.XLOOKUP(Christus_Emp_Table[[#This Row],[Analyst Name:]],Table1[Analyst Name],Table1[Lead])</f>
        <v>0</v>
      </c>
    </row>
    <row r="345" spans="1:12" x14ac:dyDescent="0.35">
      <c r="A345" s="18" t="s">
        <v>52</v>
      </c>
      <c r="B345" s="22" t="str">
        <f>_xlfn.XLOOKUP(Christus_Emp_Table[[#This Row],[Analyst Name:]],Table1[Analyst Name],Table1[Deloitte Email ID])</f>
        <v>Drajitha@deloitte.com</v>
      </c>
      <c r="C345" s="19" t="str">
        <f>_xlfn.XLOOKUP(Christus_Emp_Table[[#This Row],[Analyst Name:]],Table1[Analyst Name],Table1[Module])</f>
        <v>SER</v>
      </c>
      <c r="D345" s="19" t="str">
        <f>_xlfn.XLOOKUP(Christus_Emp_Table[[#This Row],[Analyst Name:]],Table1[Analyst Name],Table1[Location])</f>
        <v>BLR</v>
      </c>
      <c r="E345" s="19" t="s">
        <v>127</v>
      </c>
      <c r="F345" s="20">
        <v>45994</v>
      </c>
      <c r="G345" s="20">
        <v>45996</v>
      </c>
      <c r="H345" s="19" t="s">
        <v>127</v>
      </c>
      <c r="I345" s="19" t="s">
        <v>128</v>
      </c>
      <c r="J345" s="19">
        <f>NETWORKDAYS(Christus_Emp_Table[[#This Row],[From Date:]],Christus_Emp_Table[[#This Row],[To Date:]])</f>
        <v>3</v>
      </c>
      <c r="K345" s="19"/>
      <c r="L345" s="19" t="str">
        <f>_xlfn.XLOOKUP(Christus_Emp_Table[[#This Row],[Analyst Name:]],Table1[Analyst Name],Table1[Lead])</f>
        <v>Ankita Roy</v>
      </c>
    </row>
    <row r="346" spans="1:12" x14ac:dyDescent="0.35">
      <c r="A346" s="18" t="s">
        <v>66</v>
      </c>
      <c r="B346" s="22" t="str">
        <f>_xlfn.XLOOKUP(Christus_Emp_Table[[#This Row],[Analyst Name:]],Table1[Analyst Name],Table1[Deloitte Email ID])</f>
        <v>akshayakumar@deloitte.com</v>
      </c>
      <c r="C346" s="19" t="str">
        <f>_xlfn.XLOOKUP(Christus_Emp_Table[[#This Row],[Analyst Name:]],Table1[Analyst Name],Table1[Module])</f>
        <v>Automation</v>
      </c>
      <c r="D346" s="19" t="str">
        <f>_xlfn.XLOOKUP(Christus_Emp_Table[[#This Row],[Analyst Name:]],Table1[Analyst Name],Table1[Location])</f>
        <v>BLR</v>
      </c>
      <c r="E346" s="19" t="s">
        <v>127</v>
      </c>
      <c r="F346" s="20">
        <v>46001</v>
      </c>
      <c r="G346" s="20">
        <v>46001</v>
      </c>
      <c r="H346" s="19" t="s">
        <v>127</v>
      </c>
      <c r="I346" s="19" t="s">
        <v>128</v>
      </c>
      <c r="J346" s="19">
        <f>NETWORKDAYS(Christus_Emp_Table[[#This Row],[From Date:]],Christus_Emp_Table[[#This Row],[To Date:]])</f>
        <v>1</v>
      </c>
      <c r="K346" s="19"/>
      <c r="L346" s="19" t="str">
        <f>_xlfn.XLOOKUP(Christus_Emp_Table[[#This Row],[Analyst Name:]],Table1[Analyst Name],Table1[Lead])</f>
        <v>Parth Zalavadia</v>
      </c>
    </row>
    <row r="347" spans="1:12" x14ac:dyDescent="0.35">
      <c r="A347" s="18" t="s">
        <v>66</v>
      </c>
      <c r="B347" s="22" t="str">
        <f>_xlfn.XLOOKUP(Christus_Emp_Table[[#This Row],[Analyst Name:]],Table1[Analyst Name],Table1[Deloitte Email ID])</f>
        <v>akshayakumar@deloitte.com</v>
      </c>
      <c r="C347" s="19" t="str">
        <f>_xlfn.XLOOKUP(Christus_Emp_Table[[#This Row],[Analyst Name:]],Table1[Analyst Name],Table1[Module])</f>
        <v>Automation</v>
      </c>
      <c r="D347" s="19" t="str">
        <f>_xlfn.XLOOKUP(Christus_Emp_Table[[#This Row],[Analyst Name:]],Table1[Analyst Name],Table1[Location])</f>
        <v>BLR</v>
      </c>
      <c r="E347" s="19" t="s">
        <v>112</v>
      </c>
      <c r="F347" s="20">
        <v>46013</v>
      </c>
      <c r="G347" s="20">
        <v>46015</v>
      </c>
      <c r="H347" s="22" t="s">
        <v>129</v>
      </c>
      <c r="I347" s="19" t="s">
        <v>128</v>
      </c>
      <c r="J347" s="19">
        <f>NETWORKDAYS(Christus_Emp_Table[[#This Row],[From Date:]],Christus_Emp_Table[[#This Row],[To Date:]])</f>
        <v>3</v>
      </c>
      <c r="K347" s="19"/>
      <c r="L347" s="19" t="str">
        <f>_xlfn.XLOOKUP(Christus_Emp_Table[[#This Row],[Analyst Name:]],Table1[Analyst Name],Table1[Lead])</f>
        <v>Parth Zalavadia</v>
      </c>
    </row>
    <row r="348" spans="1:12" x14ac:dyDescent="0.35">
      <c r="A348" s="18" t="s">
        <v>68</v>
      </c>
      <c r="B348" s="22" t="str">
        <f>_xlfn.XLOOKUP(Christus_Emp_Table[[#This Row],[Analyst Name:]],Table1[Analyst Name],Table1[Deloitte Email ID])</f>
        <v>anussaha@deloitte.com</v>
      </c>
      <c r="C348" s="19" t="str">
        <f>_xlfn.XLOOKUP(Christus_Emp_Table[[#This Row],[Analyst Name:]],Table1[Analyst Name],Table1[Module])</f>
        <v>Automation</v>
      </c>
      <c r="D348" s="19" t="str">
        <f>_xlfn.XLOOKUP(Christus_Emp_Table[[#This Row],[Analyst Name:]],Table1[Analyst Name],Table1[Location])</f>
        <v>HYD</v>
      </c>
      <c r="E348" s="19" t="s">
        <v>129</v>
      </c>
      <c r="F348" s="20">
        <v>46006</v>
      </c>
      <c r="G348" s="20">
        <v>46010</v>
      </c>
      <c r="H348" s="19" t="s">
        <v>127</v>
      </c>
      <c r="I348" s="19" t="s">
        <v>128</v>
      </c>
      <c r="J348" s="19">
        <f>NETWORKDAYS(Christus_Emp_Table[[#This Row],[From Date:]],Christus_Emp_Table[[#This Row],[To Date:]])</f>
        <v>5</v>
      </c>
      <c r="K348" s="19"/>
      <c r="L348" s="19" t="str">
        <f>_xlfn.XLOOKUP(Christus_Emp_Table[[#This Row],[Analyst Name:]],Table1[Analyst Name],Table1[Lead])</f>
        <v>Nitish Kumar</v>
      </c>
    </row>
    <row r="349" spans="1:12" x14ac:dyDescent="0.35">
      <c r="A349" s="18" t="s">
        <v>16</v>
      </c>
      <c r="B349" s="22" t="str">
        <f>_xlfn.XLOOKUP(Christus_Emp_Table[[#This Row],[Analyst Name:]],Table1[Analyst Name],Table1[Deloitte Email ID])</f>
        <v>abalagopalan@deloitte.com</v>
      </c>
      <c r="C349" s="19" t="str">
        <f>_xlfn.XLOOKUP(Christus_Emp_Table[[#This Row],[Analyst Name:]],Table1[Analyst Name],Table1[Module])</f>
        <v>Reporting</v>
      </c>
      <c r="D349" s="19" t="str">
        <f>_xlfn.XLOOKUP(Christus_Emp_Table[[#This Row],[Analyst Name:]],Table1[Analyst Name],Table1[Location])</f>
        <v>BLR</v>
      </c>
      <c r="E349" s="19" t="s">
        <v>127</v>
      </c>
      <c r="F349" s="20">
        <v>45999</v>
      </c>
      <c r="G349" s="20">
        <v>46001</v>
      </c>
      <c r="H349" s="19" t="s">
        <v>127</v>
      </c>
      <c r="I349" s="19" t="s">
        <v>128</v>
      </c>
      <c r="J349" s="19">
        <f>NETWORKDAYS(Christus_Emp_Table[[#This Row],[From Date:]],Christus_Emp_Table[[#This Row],[To Date:]])</f>
        <v>3</v>
      </c>
      <c r="K349" s="19"/>
      <c r="L349" s="19" t="str">
        <f>_xlfn.XLOOKUP(Christus_Emp_Table[[#This Row],[Analyst Name:]],Table1[Analyst Name],Table1[Lead])</f>
        <v>Jagannath Belel</v>
      </c>
    </row>
    <row r="350" spans="1:12" x14ac:dyDescent="0.35">
      <c r="A350" s="18" t="s">
        <v>27</v>
      </c>
      <c r="B350" s="22" t="str">
        <f>_xlfn.XLOOKUP(Christus_Emp_Table[[#This Row],[Analyst Name:]],Table1[Analyst Name],Table1[Deloitte Email ID])</f>
        <v>sancyadav@deloitte.com</v>
      </c>
      <c r="C350" s="19" t="str">
        <f>_xlfn.XLOOKUP(Christus_Emp_Table[[#This Row],[Analyst Name:]],Table1[Analyst Name],Table1[Module])</f>
        <v>Reporting</v>
      </c>
      <c r="D350" s="19" t="str">
        <f>_xlfn.XLOOKUP(Christus_Emp_Table[[#This Row],[Analyst Name:]],Table1[Analyst Name],Table1[Location])</f>
        <v>HYD</v>
      </c>
      <c r="E350" s="19" t="s">
        <v>127</v>
      </c>
      <c r="F350" s="20">
        <v>45992</v>
      </c>
      <c r="G350" s="20">
        <v>45993</v>
      </c>
      <c r="H350" s="19" t="s">
        <v>127</v>
      </c>
      <c r="I350" s="19" t="s">
        <v>128</v>
      </c>
      <c r="J350" s="19">
        <f>NETWORKDAYS(Christus_Emp_Table[[#This Row],[From Date:]],Christus_Emp_Table[[#This Row],[To Date:]])</f>
        <v>2</v>
      </c>
      <c r="K350" s="19"/>
      <c r="L350" s="19" t="str">
        <f>_xlfn.XLOOKUP(Christus_Emp_Table[[#This Row],[Analyst Name:]],Table1[Analyst Name],Table1[Lead])</f>
        <v>Nitish Kumar</v>
      </c>
    </row>
    <row r="351" spans="1:12" x14ac:dyDescent="0.35">
      <c r="A351" s="18" t="s">
        <v>27</v>
      </c>
      <c r="B351" s="22" t="str">
        <f>_xlfn.XLOOKUP(Christus_Emp_Table[[#This Row],[Analyst Name:]],Table1[Analyst Name],Table1[Deloitte Email ID])</f>
        <v>sancyadav@deloitte.com</v>
      </c>
      <c r="C351" s="19" t="str">
        <f>_xlfn.XLOOKUP(Christus_Emp_Table[[#This Row],[Analyst Name:]],Table1[Analyst Name],Table1[Module])</f>
        <v>Reporting</v>
      </c>
      <c r="D351" s="19" t="str">
        <f>_xlfn.XLOOKUP(Christus_Emp_Table[[#This Row],[Analyst Name:]],Table1[Analyst Name],Table1[Location])</f>
        <v>HYD</v>
      </c>
      <c r="E351" s="19" t="s">
        <v>127</v>
      </c>
      <c r="F351" s="20">
        <v>46010</v>
      </c>
      <c r="G351" s="20">
        <v>46015</v>
      </c>
      <c r="H351" s="19" t="s">
        <v>127</v>
      </c>
      <c r="I351" s="19" t="s">
        <v>128</v>
      </c>
      <c r="J351" s="19">
        <f>NETWORKDAYS(Christus_Emp_Table[[#This Row],[From Date:]],Christus_Emp_Table[[#This Row],[To Date:]])</f>
        <v>4</v>
      </c>
      <c r="K351" s="19"/>
      <c r="L351" s="19" t="str">
        <f>_xlfn.XLOOKUP(Christus_Emp_Table[[#This Row],[Analyst Name:]],Table1[Analyst Name],Table1[Lead])</f>
        <v>Nitish Kumar</v>
      </c>
    </row>
    <row r="352" spans="1:12" x14ac:dyDescent="0.35">
      <c r="A352" s="18" t="s">
        <v>75</v>
      </c>
      <c r="B352" s="22" t="str">
        <f>_xlfn.XLOOKUP(Christus_Emp_Table[[#This Row],[Analyst Name:]],Table1[Analyst Name],Table1[Deloitte Email ID])</f>
        <v>stanuja@deloitte.com</v>
      </c>
      <c r="C352" s="19" t="str">
        <f>_xlfn.XLOOKUP(Christus_Emp_Table[[#This Row],[Analyst Name:]],Table1[Analyst Name],Table1[Module])</f>
        <v>QA</v>
      </c>
      <c r="D352" s="19" t="str">
        <f>_xlfn.XLOOKUP(Christus_Emp_Table[[#This Row],[Analyst Name:]],Table1[Analyst Name],Table1[Location])</f>
        <v>HYD</v>
      </c>
      <c r="E352" s="19" t="s">
        <v>127</v>
      </c>
      <c r="F352" s="20">
        <v>45996</v>
      </c>
      <c r="G352" s="20">
        <v>46003</v>
      </c>
      <c r="H352" s="19" t="s">
        <v>127</v>
      </c>
      <c r="I352" s="19" t="s">
        <v>128</v>
      </c>
      <c r="J352" s="19">
        <f>NETWORKDAYS(Christus_Emp_Table[[#This Row],[From Date:]],Christus_Emp_Table[[#This Row],[To Date:]])</f>
        <v>6</v>
      </c>
      <c r="K352" s="19"/>
      <c r="L352" s="19" t="str">
        <f>_xlfn.XLOOKUP(Christus_Emp_Table[[#This Row],[Analyst Name:]],Table1[Analyst Name],Table1[Lead])</f>
        <v>Ankita Roy</v>
      </c>
    </row>
    <row r="353" spans="1:12" x14ac:dyDescent="0.35">
      <c r="A353" s="18" t="s">
        <v>83</v>
      </c>
      <c r="B353" s="22" t="str">
        <f>_xlfn.XLOOKUP(Christus_Emp_Table[[#This Row],[Analyst Name:]],Table1[Analyst Name],Table1[Deloitte Email ID])</f>
        <v>bmeghana@deloitte.com</v>
      </c>
      <c r="C353" s="19" t="str">
        <f>_xlfn.XLOOKUP(Christus_Emp_Table[[#This Row],[Analyst Name:]],Table1[Analyst Name],Table1[Module])</f>
        <v>Bridges</v>
      </c>
      <c r="D353" s="19" t="str">
        <f>_xlfn.XLOOKUP(Christus_Emp_Table[[#This Row],[Analyst Name:]],Table1[Analyst Name],Table1[Location])</f>
        <v>BLR</v>
      </c>
      <c r="E353" s="19" t="s">
        <v>112</v>
      </c>
      <c r="F353" s="20">
        <v>46015</v>
      </c>
      <c r="G353" s="20">
        <v>46015</v>
      </c>
      <c r="H353" s="22" t="s">
        <v>129</v>
      </c>
      <c r="I353" s="19" t="s">
        <v>128</v>
      </c>
      <c r="J353" s="19">
        <f>NETWORKDAYS(Christus_Emp_Table[[#This Row],[From Date:]],Christus_Emp_Table[[#This Row],[To Date:]])</f>
        <v>1</v>
      </c>
      <c r="K353" s="19"/>
      <c r="L353" s="19" t="str">
        <f>_xlfn.XLOOKUP(Christus_Emp_Table[[#This Row],[Analyst Name:]],Table1[Analyst Name],Table1[Lead])</f>
        <v>Parth Zalavadia</v>
      </c>
    </row>
    <row r="354" spans="1:12" x14ac:dyDescent="0.35">
      <c r="A354" s="18" t="s">
        <v>15</v>
      </c>
      <c r="B354" s="22" t="str">
        <f>_xlfn.XLOOKUP(Christus_Emp_Table[[#This Row],[Analyst Name:]],Table1[Analyst Name],Table1[Deloitte Email ID])</f>
        <v>jbelel@deloitte.com</v>
      </c>
      <c r="C354" s="19" t="str">
        <f>_xlfn.XLOOKUP(Christus_Emp_Table[[#This Row],[Analyst Name:]],Table1[Analyst Name],Table1[Module])</f>
        <v>Reporting</v>
      </c>
      <c r="D354" s="19" t="str">
        <f>_xlfn.XLOOKUP(Christus_Emp_Table[[#This Row],[Analyst Name:]],Table1[Analyst Name],Table1[Location])</f>
        <v>MUM</v>
      </c>
      <c r="E354" s="19" t="s">
        <v>127</v>
      </c>
      <c r="F354" s="20">
        <v>46024</v>
      </c>
      <c r="G354" s="20">
        <v>46024</v>
      </c>
      <c r="H354" s="19" t="s">
        <v>127</v>
      </c>
      <c r="I354" s="19" t="s">
        <v>128</v>
      </c>
      <c r="J354" s="19">
        <f>NETWORKDAYS(Christus_Emp_Table[[#This Row],[From Date:]],Christus_Emp_Table[[#This Row],[To Date:]])</f>
        <v>1</v>
      </c>
      <c r="K354" s="19"/>
      <c r="L354" s="19" t="str">
        <f>_xlfn.XLOOKUP(Christus_Emp_Table[[#This Row],[Analyst Name:]],Table1[Analyst Name],Table1[Lead])</f>
        <v>Tanima Debmallik/Nitish Kumar</v>
      </c>
    </row>
    <row r="355" spans="1:12" x14ac:dyDescent="0.35">
      <c r="A355" s="18" t="s">
        <v>43</v>
      </c>
      <c r="B355" s="22" t="str">
        <f>_xlfn.XLOOKUP(Christus_Emp_Table[[#This Row],[Analyst Name:]],Table1[Analyst Name],Table1[Deloitte Email ID])</f>
        <v>frai@deloitte.com</v>
      </c>
      <c r="C355" s="19" t="str">
        <f>_xlfn.XLOOKUP(Christus_Emp_Table[[#This Row],[Analyst Name:]],Table1[Analyst Name],Table1[Module])</f>
        <v>MyChart</v>
      </c>
      <c r="D355" s="19" t="str">
        <f>_xlfn.XLOOKUP(Christus_Emp_Table[[#This Row],[Analyst Name:]],Table1[Analyst Name],Table1[Location])</f>
        <v>HYD</v>
      </c>
      <c r="E355" s="19" t="s">
        <v>127</v>
      </c>
      <c r="F355" s="20">
        <v>46024</v>
      </c>
      <c r="G355" s="20">
        <v>46024</v>
      </c>
      <c r="H355" s="19" t="s">
        <v>127</v>
      </c>
      <c r="I355" s="19" t="s">
        <v>128</v>
      </c>
      <c r="J355" s="19">
        <f>NETWORKDAYS(Christus_Emp_Table[[#This Row],[From Date:]],Christus_Emp_Table[[#This Row],[To Date:]])</f>
        <v>1</v>
      </c>
      <c r="K355" s="19"/>
      <c r="L355" s="19" t="str">
        <f>_xlfn.XLOOKUP(Christus_Emp_Table[[#This Row],[Analyst Name:]],Table1[Analyst Name],Table1[Lead])</f>
        <v>Nitish Kumar</v>
      </c>
    </row>
    <row r="356" spans="1:12" x14ac:dyDescent="0.35">
      <c r="A356" s="18" t="s">
        <v>33</v>
      </c>
      <c r="B356" s="22" t="str">
        <f>_xlfn.XLOOKUP(Christus_Emp_Table[[#This Row],[Analyst Name:]],Table1[Analyst Name],Table1[Deloitte Email ID])</f>
        <v>pjagdishzalavadia@deloitte.com</v>
      </c>
      <c r="C356" s="19" t="str">
        <f>_xlfn.XLOOKUP(Christus_Emp_Table[[#This Row],[Analyst Name:]],Table1[Analyst Name],Table1[Module])</f>
        <v>Bridges</v>
      </c>
      <c r="D356" s="19" t="str">
        <f>_xlfn.XLOOKUP(Christus_Emp_Table[[#This Row],[Analyst Name:]],Table1[Analyst Name],Table1[Location])</f>
        <v>BLR</v>
      </c>
      <c r="E356" s="19" t="s">
        <v>127</v>
      </c>
      <c r="F356" s="20">
        <v>46024</v>
      </c>
      <c r="G356" s="20">
        <v>46024</v>
      </c>
      <c r="H356" s="19" t="s">
        <v>127</v>
      </c>
      <c r="I356" s="19" t="s">
        <v>128</v>
      </c>
      <c r="J356" s="19">
        <f>NETWORKDAYS(Christus_Emp_Table[[#This Row],[From Date:]],Christus_Emp_Table[[#This Row],[To Date:]])</f>
        <v>1</v>
      </c>
      <c r="K356" s="19"/>
      <c r="L356" s="19" t="str">
        <f>_xlfn.XLOOKUP(Christus_Emp_Table[[#This Row],[Analyst Name:]],Table1[Analyst Name],Table1[Lead])</f>
        <v>Tanima Debmallik/Nitish Kumar</v>
      </c>
    </row>
    <row r="357" spans="1:12" x14ac:dyDescent="0.35">
      <c r="A357" s="18" t="s">
        <v>48</v>
      </c>
      <c r="B357" s="22" t="str">
        <f>_xlfn.XLOOKUP(Christus_Emp_Table[[#This Row],[Analyst Name:]],Table1[Analyst Name],Table1[Deloitte Email ID])</f>
        <v>dwaikar@deloitte.com</v>
      </c>
      <c r="C357" s="19" t="str">
        <f>_xlfn.XLOOKUP(Christus_Emp_Table[[#This Row],[Analyst Name:]],Table1[Analyst Name],Table1[Module])</f>
        <v>SER</v>
      </c>
      <c r="D357" s="19" t="str">
        <f>_xlfn.XLOOKUP(Christus_Emp_Table[[#This Row],[Analyst Name:]],Table1[Analyst Name],Table1[Location])</f>
        <v>BLR</v>
      </c>
      <c r="E357" s="19" t="s">
        <v>127</v>
      </c>
      <c r="F357" s="20">
        <v>46024</v>
      </c>
      <c r="G357" s="20">
        <v>46024</v>
      </c>
      <c r="H357" s="19" t="s">
        <v>127</v>
      </c>
      <c r="I357" s="19" t="s">
        <v>128</v>
      </c>
      <c r="J357" s="19">
        <f>NETWORKDAYS(Christus_Emp_Table[[#This Row],[From Date:]],Christus_Emp_Table[[#This Row],[To Date:]])</f>
        <v>1</v>
      </c>
      <c r="K357" s="19"/>
      <c r="L357" s="19" t="str">
        <f>_xlfn.XLOOKUP(Christus_Emp_Table[[#This Row],[Analyst Name:]],Table1[Analyst Name],Table1[Lead])</f>
        <v>Ankita Roy</v>
      </c>
    </row>
    <row r="358" spans="1:12" x14ac:dyDescent="0.35">
      <c r="A358" s="18" t="s">
        <v>58</v>
      </c>
      <c r="B358" s="22" t="str">
        <f>_xlfn.XLOOKUP(Christus_Emp_Table[[#This Row],[Analyst Name:]],Table1[Analyst Name],Table1[Deloitte Email ID])</f>
        <v>rmbabu@deloitte.com</v>
      </c>
      <c r="C358" s="19" t="str">
        <f>_xlfn.XLOOKUP(Christus_Emp_Table[[#This Row],[Analyst Name:]],Table1[Analyst Name],Table1[Module])</f>
        <v>ECLink</v>
      </c>
      <c r="D358" s="19" t="str">
        <f>_xlfn.XLOOKUP(Christus_Emp_Table[[#This Row],[Analyst Name:]],Table1[Analyst Name],Table1[Location])</f>
        <v>HYD</v>
      </c>
      <c r="E358" s="19" t="s">
        <v>127</v>
      </c>
      <c r="F358" s="20">
        <v>46024</v>
      </c>
      <c r="G358" s="20">
        <v>46024</v>
      </c>
      <c r="H358" s="19" t="s">
        <v>127</v>
      </c>
      <c r="I358" s="19" t="s">
        <v>128</v>
      </c>
      <c r="J358" s="19">
        <f>NETWORKDAYS(Christus_Emp_Table[[#This Row],[From Date:]],Christus_Emp_Table[[#This Row],[To Date:]])</f>
        <v>1</v>
      </c>
      <c r="K358" s="19"/>
      <c r="L358" s="19" t="str">
        <f>_xlfn.XLOOKUP(Christus_Emp_Table[[#This Row],[Analyst Name:]],Table1[Analyst Name],Table1[Lead])</f>
        <v>Nitish Kumar</v>
      </c>
    </row>
    <row r="359" spans="1:12" x14ac:dyDescent="0.35">
      <c r="A359" s="18" t="s">
        <v>64</v>
      </c>
      <c r="B359" s="22" t="str">
        <f>_xlfn.XLOOKUP(Christus_Emp_Table[[#This Row],[Analyst Name:]],Table1[Analyst Name],Table1[Deloitte Email ID])</f>
        <v>tgupta10@deloitte.com</v>
      </c>
      <c r="C359" s="19" t="str">
        <f>_xlfn.XLOOKUP(Christus_Emp_Table[[#This Row],[Analyst Name:]],Table1[Analyst Name],Table1[Module])</f>
        <v>Automation</v>
      </c>
      <c r="D359" s="19" t="str">
        <f>_xlfn.XLOOKUP(Christus_Emp_Table[[#This Row],[Analyst Name:]],Table1[Analyst Name],Table1[Location])</f>
        <v>HYD</v>
      </c>
      <c r="E359" s="19" t="s">
        <v>127</v>
      </c>
      <c r="F359" s="20">
        <v>46024</v>
      </c>
      <c r="G359" s="20">
        <v>46024</v>
      </c>
      <c r="H359" s="19" t="s">
        <v>127</v>
      </c>
      <c r="I359" s="19" t="s">
        <v>128</v>
      </c>
      <c r="J359" s="19">
        <f>NETWORKDAYS(Christus_Emp_Table[[#This Row],[From Date:]],Christus_Emp_Table[[#This Row],[To Date:]])</f>
        <v>1</v>
      </c>
      <c r="K359" s="19"/>
      <c r="L359" s="19" t="str">
        <f>_xlfn.XLOOKUP(Christus_Emp_Table[[#This Row],[Analyst Name:]],Table1[Analyst Name],Table1[Lead])</f>
        <v>Parth Zalavadia</v>
      </c>
    </row>
    <row r="360" spans="1:12" x14ac:dyDescent="0.35">
      <c r="A360" s="18" t="s">
        <v>61</v>
      </c>
      <c r="B360" s="22" t="str">
        <f>_xlfn.XLOOKUP(Christus_Emp_Table[[#This Row],[Analyst Name:]],Table1[Analyst Name],Table1[Deloitte Email ID])</f>
        <v>pbraj@deloitte.com</v>
      </c>
      <c r="C360" s="19" t="str">
        <f>_xlfn.XLOOKUP(Christus_Emp_Table[[#This Row],[Analyst Name:]],Table1[Analyst Name],Table1[Module])</f>
        <v>Automation</v>
      </c>
      <c r="D360" s="19" t="str">
        <f>_xlfn.XLOOKUP(Christus_Emp_Table[[#This Row],[Analyst Name:]],Table1[Analyst Name],Table1[Location])</f>
        <v>BLR</v>
      </c>
      <c r="E360" s="19" t="s">
        <v>127</v>
      </c>
      <c r="F360" s="20">
        <v>46024</v>
      </c>
      <c r="G360" s="20">
        <v>46024</v>
      </c>
      <c r="H360" s="19" t="s">
        <v>127</v>
      </c>
      <c r="I360" s="19" t="s">
        <v>128</v>
      </c>
      <c r="J360" s="19">
        <f>NETWORKDAYS(Christus_Emp_Table[[#This Row],[From Date:]],Christus_Emp_Table[[#This Row],[To Date:]])</f>
        <v>1</v>
      </c>
      <c r="K360" s="19"/>
      <c r="L360" s="19" t="str">
        <f>_xlfn.XLOOKUP(Christus_Emp_Table[[#This Row],[Analyst Name:]],Table1[Analyst Name],Table1[Lead])</f>
        <v>Nitish Kumar</v>
      </c>
    </row>
    <row r="361" spans="1:12" x14ac:dyDescent="0.35">
      <c r="A361" s="18" t="s">
        <v>72</v>
      </c>
      <c r="B361" s="22" t="str">
        <f>_xlfn.XLOOKUP(Christus_Emp_Table[[#This Row],[Analyst Name:]],Table1[Analyst Name],Table1[Deloitte Email ID])</f>
        <v>susujitha@deloitte.com</v>
      </c>
      <c r="C361" s="19" t="str">
        <f>_xlfn.XLOOKUP(Christus_Emp_Table[[#This Row],[Analyst Name:]],Table1[Analyst Name],Table1[Module])</f>
        <v>QA</v>
      </c>
      <c r="D361" s="19" t="str">
        <f>_xlfn.XLOOKUP(Christus_Emp_Table[[#This Row],[Analyst Name:]],Table1[Analyst Name],Table1[Location])</f>
        <v>HYD</v>
      </c>
      <c r="E361" s="19" t="s">
        <v>127</v>
      </c>
      <c r="F361" s="20">
        <v>46024</v>
      </c>
      <c r="G361" s="20">
        <v>46024</v>
      </c>
      <c r="H361" s="19" t="s">
        <v>127</v>
      </c>
      <c r="I361" s="19" t="s">
        <v>128</v>
      </c>
      <c r="J361" s="19">
        <f>NETWORKDAYS(Christus_Emp_Table[[#This Row],[From Date:]],Christus_Emp_Table[[#This Row],[To Date:]])</f>
        <v>1</v>
      </c>
      <c r="K361" s="19"/>
      <c r="L361" s="19" t="str">
        <f>_xlfn.XLOOKUP(Christus_Emp_Table[[#This Row],[Analyst Name:]],Table1[Analyst Name],Table1[Lead])</f>
        <v>Ankita Roy</v>
      </c>
    </row>
    <row r="362" spans="1:12" x14ac:dyDescent="0.35">
      <c r="A362" s="18" t="s">
        <v>68</v>
      </c>
      <c r="B362" s="22" t="str">
        <f>_xlfn.XLOOKUP(Christus_Emp_Table[[#This Row],[Analyst Name:]],Table1[Analyst Name],Table1[Deloitte Email ID])</f>
        <v>anussaha@deloitte.com</v>
      </c>
      <c r="C362" s="19" t="str">
        <f>_xlfn.XLOOKUP(Christus_Emp_Table[[#This Row],[Analyst Name:]],Table1[Analyst Name],Table1[Module])</f>
        <v>Automation</v>
      </c>
      <c r="D362" s="19" t="str">
        <f>_xlfn.XLOOKUP(Christus_Emp_Table[[#This Row],[Analyst Name:]],Table1[Analyst Name],Table1[Location])</f>
        <v>HYD</v>
      </c>
      <c r="E362" s="19" t="s">
        <v>127</v>
      </c>
      <c r="F362" s="20">
        <v>46024</v>
      </c>
      <c r="G362" s="20">
        <v>46024</v>
      </c>
      <c r="H362" s="19" t="s">
        <v>127</v>
      </c>
      <c r="I362" s="19" t="s">
        <v>128</v>
      </c>
      <c r="J362" s="19">
        <f>NETWORKDAYS(Christus_Emp_Table[[#This Row],[From Date:]],Christus_Emp_Table[[#This Row],[To Date:]])</f>
        <v>1</v>
      </c>
      <c r="K362" s="19"/>
      <c r="L362" s="19" t="str">
        <f>_xlfn.XLOOKUP(Christus_Emp_Table[[#This Row],[Analyst Name:]],Table1[Analyst Name],Table1[Lead])</f>
        <v>Nitish Kumar</v>
      </c>
    </row>
    <row r="363" spans="1:12" x14ac:dyDescent="0.35">
      <c r="A363" s="18" t="s">
        <v>13</v>
      </c>
      <c r="B363" s="22" t="str">
        <f>_xlfn.XLOOKUP(Christus_Emp_Table[[#This Row],[Analyst Name:]],Table1[Analyst Name],Table1[Deloitte Email ID])</f>
        <v>srug@deloitte.com</v>
      </c>
      <c r="C363" s="19" t="str">
        <f>_xlfn.XLOOKUP(Christus_Emp_Table[[#This Row],[Analyst Name:]],Table1[Analyst Name],Table1[Module])</f>
        <v>Reporting</v>
      </c>
      <c r="D363" s="19" t="str">
        <f>_xlfn.XLOOKUP(Christus_Emp_Table[[#This Row],[Analyst Name:]],Table1[Analyst Name],Table1[Location])</f>
        <v>BLR</v>
      </c>
      <c r="E363" s="19" t="s">
        <v>127</v>
      </c>
      <c r="F363" s="20">
        <v>46024</v>
      </c>
      <c r="G363" s="20">
        <v>46024</v>
      </c>
      <c r="H363" s="19" t="s">
        <v>127</v>
      </c>
      <c r="I363" s="19" t="s">
        <v>128</v>
      </c>
      <c r="J363" s="19">
        <f>NETWORKDAYS(Christus_Emp_Table[[#This Row],[From Date:]],Christus_Emp_Table[[#This Row],[To Date:]])</f>
        <v>1</v>
      </c>
      <c r="K363" s="19"/>
      <c r="L363" s="19" t="str">
        <f>_xlfn.XLOOKUP(Christus_Emp_Table[[#This Row],[Analyst Name:]],Table1[Analyst Name],Table1[Lead])</f>
        <v>Jagannath Belel</v>
      </c>
    </row>
    <row r="364" spans="1:12" x14ac:dyDescent="0.35">
      <c r="A364" s="18" t="s">
        <v>27</v>
      </c>
      <c r="B364" s="22" t="str">
        <f>_xlfn.XLOOKUP(Christus_Emp_Table[[#This Row],[Analyst Name:]],Table1[Analyst Name],Table1[Deloitte Email ID])</f>
        <v>sancyadav@deloitte.com</v>
      </c>
      <c r="C364" s="19" t="str">
        <f>_xlfn.XLOOKUP(Christus_Emp_Table[[#This Row],[Analyst Name:]],Table1[Analyst Name],Table1[Module])</f>
        <v>Reporting</v>
      </c>
      <c r="D364" s="19" t="str">
        <f>_xlfn.XLOOKUP(Christus_Emp_Table[[#This Row],[Analyst Name:]],Table1[Analyst Name],Table1[Location])</f>
        <v>HYD</v>
      </c>
      <c r="E364" s="19" t="s">
        <v>127</v>
      </c>
      <c r="F364" s="20">
        <v>46024</v>
      </c>
      <c r="G364" s="20">
        <v>46024</v>
      </c>
      <c r="H364" s="19" t="s">
        <v>127</v>
      </c>
      <c r="I364" s="19" t="s">
        <v>128</v>
      </c>
      <c r="J364" s="19">
        <f>NETWORKDAYS(Christus_Emp_Table[[#This Row],[From Date:]],Christus_Emp_Table[[#This Row],[To Date:]])</f>
        <v>1</v>
      </c>
      <c r="K364" s="19"/>
      <c r="L364" s="19" t="str">
        <f>_xlfn.XLOOKUP(Christus_Emp_Table[[#This Row],[Analyst Name:]],Table1[Analyst Name],Table1[Lead])</f>
        <v>Nitish Kumar</v>
      </c>
    </row>
    <row r="365" spans="1:12" x14ac:dyDescent="0.35">
      <c r="A365" s="18" t="s">
        <v>29</v>
      </c>
      <c r="B365" s="22" t="str">
        <f>_xlfn.XLOOKUP(Christus_Emp_Table[[#This Row],[Analyst Name:]],Table1[Analyst Name],Table1[Deloitte Email ID])</f>
        <v>gigollapudi@deloitte.com</v>
      </c>
      <c r="C365" s="19" t="str">
        <f>_xlfn.XLOOKUP(Christus_Emp_Table[[#This Row],[Analyst Name:]],Table1[Analyst Name],Table1[Module])</f>
        <v>Reporting</v>
      </c>
      <c r="D365" s="19" t="str">
        <f>_xlfn.XLOOKUP(Christus_Emp_Table[[#This Row],[Analyst Name:]],Table1[Analyst Name],Table1[Location])</f>
        <v>HYD</v>
      </c>
      <c r="E365" s="19" t="s">
        <v>127</v>
      </c>
      <c r="F365" s="20">
        <v>46024</v>
      </c>
      <c r="G365" s="20">
        <v>46024</v>
      </c>
      <c r="H365" s="19" t="s">
        <v>127</v>
      </c>
      <c r="I365" s="19" t="s">
        <v>128</v>
      </c>
      <c r="J365" s="19">
        <f>NETWORKDAYS(Christus_Emp_Table[[#This Row],[From Date:]],Christus_Emp_Table[[#This Row],[To Date:]])</f>
        <v>1</v>
      </c>
      <c r="K365" s="19"/>
      <c r="L365" s="19" t="str">
        <f>_xlfn.XLOOKUP(Christus_Emp_Table[[#This Row],[Analyst Name:]],Table1[Analyst Name],Table1[Lead])</f>
        <v>Jagannath Belel</v>
      </c>
    </row>
    <row r="366" spans="1:12" x14ac:dyDescent="0.35">
      <c r="A366" s="18" t="s">
        <v>88</v>
      </c>
      <c r="B366" s="22" t="str">
        <f>_xlfn.XLOOKUP(Christus_Emp_Table[[#This Row],[Analyst Name:]],Table1[Analyst Name],Table1[Deloitte Email ID])</f>
        <v>agrishmitha@deloitte.com</v>
      </c>
      <c r="C366" s="19" t="str">
        <f>_xlfn.XLOOKUP(Christus_Emp_Table[[#This Row],[Analyst Name:]],Table1[Analyst Name],Table1[Module])</f>
        <v>MyChart</v>
      </c>
      <c r="D366" s="19" t="str">
        <f>_xlfn.XLOOKUP(Christus_Emp_Table[[#This Row],[Analyst Name:]],Table1[Analyst Name],Table1[Location])</f>
        <v>HYD</v>
      </c>
      <c r="E366" s="19" t="s">
        <v>127</v>
      </c>
      <c r="F366" s="20">
        <v>46024</v>
      </c>
      <c r="G366" s="20">
        <v>46024</v>
      </c>
      <c r="H366" s="19" t="s">
        <v>127</v>
      </c>
      <c r="I366" s="19" t="s">
        <v>128</v>
      </c>
      <c r="J366" s="19">
        <f>NETWORKDAYS(Christus_Emp_Table[[#This Row],[From Date:]],Christus_Emp_Table[[#This Row],[To Date:]])</f>
        <v>1</v>
      </c>
      <c r="K366" s="19"/>
      <c r="L366" s="19" t="str">
        <f>_xlfn.XLOOKUP(Christus_Emp_Table[[#This Row],[Analyst Name:]],Table1[Analyst Name],Table1[Lead])</f>
        <v>Nitish Kumar</v>
      </c>
    </row>
    <row r="367" spans="1:12" x14ac:dyDescent="0.35">
      <c r="A367" s="18" t="s">
        <v>83</v>
      </c>
      <c r="B367" s="22" t="str">
        <f>_xlfn.XLOOKUP(Christus_Emp_Table[[#This Row],[Analyst Name:]],Table1[Analyst Name],Table1[Deloitte Email ID])</f>
        <v>bmeghana@deloitte.com</v>
      </c>
      <c r="C367" s="19" t="str">
        <f>_xlfn.XLOOKUP(Christus_Emp_Table[[#This Row],[Analyst Name:]],Table1[Analyst Name],Table1[Module])</f>
        <v>Bridges</v>
      </c>
      <c r="D367" s="19" t="str">
        <f>_xlfn.XLOOKUP(Christus_Emp_Table[[#This Row],[Analyst Name:]],Table1[Analyst Name],Table1[Location])</f>
        <v>BLR</v>
      </c>
      <c r="E367" s="19" t="s">
        <v>127</v>
      </c>
      <c r="F367" s="20">
        <v>46024</v>
      </c>
      <c r="G367" s="20">
        <v>46024</v>
      </c>
      <c r="H367" s="19" t="s">
        <v>127</v>
      </c>
      <c r="I367" s="19" t="s">
        <v>128</v>
      </c>
      <c r="J367" s="19">
        <f>NETWORKDAYS(Christus_Emp_Table[[#This Row],[From Date:]],Christus_Emp_Table[[#This Row],[To Date:]])</f>
        <v>1</v>
      </c>
      <c r="K367" s="19"/>
      <c r="L367" s="19" t="str">
        <f>_xlfn.XLOOKUP(Christus_Emp_Table[[#This Row],[Analyst Name:]],Table1[Analyst Name],Table1[Lead])</f>
        <v>Parth Zalavadia</v>
      </c>
    </row>
    <row r="368" spans="1:12" x14ac:dyDescent="0.35">
      <c r="A368" s="18" t="s">
        <v>38</v>
      </c>
      <c r="B368" s="22" t="str">
        <f>_xlfn.XLOOKUP(Christus_Emp_Table[[#This Row],[Analyst Name:]],Table1[Analyst Name],Table1[Deloitte Email ID])</f>
        <v>hamalpani@deloitte.com</v>
      </c>
      <c r="C368" s="19" t="str">
        <f>_xlfn.XLOOKUP(Christus_Emp_Table[[#This Row],[Analyst Name:]],Table1[Analyst Name],Table1[Module])</f>
        <v>MyChart</v>
      </c>
      <c r="D368" s="19" t="str">
        <f>_xlfn.XLOOKUP(Christus_Emp_Table[[#This Row],[Analyst Name:]],Table1[Analyst Name],Table1[Location])</f>
        <v>HYD</v>
      </c>
      <c r="E368" s="19" t="s">
        <v>127</v>
      </c>
      <c r="F368" s="20">
        <v>46038</v>
      </c>
      <c r="G368" s="20">
        <v>46041</v>
      </c>
      <c r="H368" s="19" t="s">
        <v>127</v>
      </c>
      <c r="I368" s="19" t="s">
        <v>128</v>
      </c>
      <c r="J368" s="19">
        <f>NETWORKDAYS(Christus_Emp_Table[[#This Row],[From Date:]],Christus_Emp_Table[[#This Row],[To Date:]])</f>
        <v>2</v>
      </c>
      <c r="K368" s="19"/>
      <c r="L368" s="19" t="str">
        <f>_xlfn.XLOOKUP(Christus_Emp_Table[[#This Row],[Analyst Name:]],Table1[Analyst Name],Table1[Lead])</f>
        <v>Nitish Kumar</v>
      </c>
    </row>
    <row r="369" spans="1:12" x14ac:dyDescent="0.35">
      <c r="A369" s="18" t="s">
        <v>54</v>
      </c>
      <c r="B369" s="22" t="str">
        <f>_xlfn.XLOOKUP(Christus_Emp_Table[[#This Row],[Analyst Name:]],Table1[Analyst Name],Table1[Deloitte Email ID])</f>
        <v>lakaur@deloitte.com</v>
      </c>
      <c r="C369" s="19" t="str">
        <f>_xlfn.XLOOKUP(Christus_Emp_Table[[#This Row],[Analyst Name:]],Table1[Analyst Name],Table1[Module])</f>
        <v>SER</v>
      </c>
      <c r="D369" s="19" t="str">
        <f>_xlfn.XLOOKUP(Christus_Emp_Table[[#This Row],[Analyst Name:]],Table1[Analyst Name],Table1[Location])</f>
        <v>GUR</v>
      </c>
      <c r="E369" s="19" t="s">
        <v>127</v>
      </c>
      <c r="F369" s="20">
        <v>46030</v>
      </c>
      <c r="G369" s="20">
        <v>46034</v>
      </c>
      <c r="H369" s="19" t="s">
        <v>127</v>
      </c>
      <c r="I369" s="19" t="s">
        <v>128</v>
      </c>
      <c r="J369" s="19">
        <f>NETWORKDAYS(Christus_Emp_Table[[#This Row],[From Date:]],Christus_Emp_Table[[#This Row],[To Date:]])</f>
        <v>3</v>
      </c>
      <c r="K369" s="19"/>
      <c r="L369" s="19" t="str">
        <f>_xlfn.XLOOKUP(Christus_Emp_Table[[#This Row],[Analyst Name:]],Table1[Analyst Name],Table1[Lead])</f>
        <v>Ankita Roy</v>
      </c>
    </row>
    <row r="370" spans="1:12" x14ac:dyDescent="0.35">
      <c r="A370" s="18" t="s">
        <v>51</v>
      </c>
      <c r="B370" s="22" t="str">
        <f>_xlfn.XLOOKUP(Christus_Emp_Table[[#This Row],[Analyst Name:]],Table1[Analyst Name],Table1[Deloitte Email ID])</f>
        <v>ankitaroy2@deloitte.com</v>
      </c>
      <c r="C370" s="19" t="str">
        <f>_xlfn.XLOOKUP(Christus_Emp_Table[[#This Row],[Analyst Name:]],Table1[Analyst Name],Table1[Module])</f>
        <v>EC/DC</v>
      </c>
      <c r="D370" s="19" t="str">
        <f>_xlfn.XLOOKUP(Christus_Emp_Table[[#This Row],[Analyst Name:]],Table1[Analyst Name],Table1[Location])</f>
        <v>BLR</v>
      </c>
      <c r="E370" s="19" t="s">
        <v>127</v>
      </c>
      <c r="F370" s="20">
        <v>46024</v>
      </c>
      <c r="G370" s="20">
        <v>46031</v>
      </c>
      <c r="H370" s="19" t="s">
        <v>127</v>
      </c>
      <c r="I370" s="19" t="s">
        <v>128</v>
      </c>
      <c r="J370" s="19">
        <f>NETWORKDAYS(Christus_Emp_Table[[#This Row],[From Date:]],Christus_Emp_Table[[#This Row],[To Date:]])</f>
        <v>6</v>
      </c>
      <c r="K370" s="19"/>
      <c r="L370" s="19">
        <f>_xlfn.XLOOKUP(Christus_Emp_Table[[#This Row],[Analyst Name:]],Table1[Analyst Name],Table1[Lead])</f>
        <v>0</v>
      </c>
    </row>
    <row r="371" spans="1:12" x14ac:dyDescent="0.35">
      <c r="A371" s="18" t="s">
        <v>66</v>
      </c>
      <c r="B371" s="22" t="str">
        <f>_xlfn.XLOOKUP(Christus_Emp_Table[[#This Row],[Analyst Name:]],Table1[Analyst Name],Table1[Deloitte Email ID])</f>
        <v>akshayakumar@deloitte.com</v>
      </c>
      <c r="C371" s="19" t="str">
        <f>_xlfn.XLOOKUP(Christus_Emp_Table[[#This Row],[Analyst Name:]],Table1[Analyst Name],Table1[Module])</f>
        <v>Automation</v>
      </c>
      <c r="D371" s="19" t="str">
        <f>_xlfn.XLOOKUP(Christus_Emp_Table[[#This Row],[Analyst Name:]],Table1[Analyst Name],Table1[Location])</f>
        <v>BLR</v>
      </c>
      <c r="E371" s="19" t="s">
        <v>127</v>
      </c>
      <c r="F371" s="20">
        <v>46030</v>
      </c>
      <c r="G371" s="20">
        <v>46031</v>
      </c>
      <c r="H371" s="19" t="s">
        <v>127</v>
      </c>
      <c r="I371" s="19" t="s">
        <v>128</v>
      </c>
      <c r="J371" s="19">
        <f>NETWORKDAYS(Christus_Emp_Table[[#This Row],[From Date:]],Christus_Emp_Table[[#This Row],[To Date:]])</f>
        <v>2</v>
      </c>
      <c r="K371" s="19"/>
      <c r="L371" s="19" t="str">
        <f>_xlfn.XLOOKUP(Christus_Emp_Table[[#This Row],[Analyst Name:]],Table1[Analyst Name],Table1[Lead])</f>
        <v>Parth Zalavadia</v>
      </c>
    </row>
    <row r="372" spans="1:12" x14ac:dyDescent="0.35">
      <c r="A372" s="18" t="s">
        <v>48</v>
      </c>
      <c r="B372" s="22" t="str">
        <f>_xlfn.XLOOKUP(Christus_Emp_Table[[#This Row],[Analyst Name:]],Table1[Analyst Name],Table1[Deloitte Email ID])</f>
        <v>dwaikar@deloitte.com</v>
      </c>
      <c r="C372" s="19" t="str">
        <f>_xlfn.XLOOKUP(Christus_Emp_Table[[#This Row],[Analyst Name:]],Table1[Analyst Name],Table1[Module])</f>
        <v>SER</v>
      </c>
      <c r="D372" s="19" t="str">
        <f>_xlfn.XLOOKUP(Christus_Emp_Table[[#This Row],[Analyst Name:]],Table1[Analyst Name],Table1[Location])</f>
        <v>BLR</v>
      </c>
      <c r="E372" s="19" t="s">
        <v>112</v>
      </c>
      <c r="F372" s="20">
        <v>46029</v>
      </c>
      <c r="G372" s="20">
        <v>46029</v>
      </c>
      <c r="H372" s="22" t="s">
        <v>129</v>
      </c>
      <c r="I372" s="19" t="s">
        <v>128</v>
      </c>
      <c r="J372" s="19">
        <f>NETWORKDAYS(Christus_Emp_Table[[#This Row],[From Date:]],Christus_Emp_Table[[#This Row],[To Date:]])</f>
        <v>1</v>
      </c>
      <c r="K372" s="19"/>
      <c r="L372" s="19" t="str">
        <f>_xlfn.XLOOKUP(Christus_Emp_Table[[#This Row],[Analyst Name:]],Table1[Analyst Name],Table1[Lead])</f>
        <v>Ankita Roy</v>
      </c>
    </row>
    <row r="373" spans="1:12" x14ac:dyDescent="0.35">
      <c r="A373" s="18" t="s">
        <v>29</v>
      </c>
      <c r="B373" s="22" t="str">
        <f>_xlfn.XLOOKUP(Christus_Emp_Table[[#This Row],[Analyst Name:]],Table1[Analyst Name],Table1[Deloitte Email ID])</f>
        <v>gigollapudi@deloitte.com</v>
      </c>
      <c r="C373" s="19" t="str">
        <f>_xlfn.XLOOKUP(Christus_Emp_Table[[#This Row],[Analyst Name:]],Table1[Analyst Name],Table1[Module])</f>
        <v>Reporting</v>
      </c>
      <c r="D373" s="19" t="str">
        <f>_xlfn.XLOOKUP(Christus_Emp_Table[[#This Row],[Analyst Name:]],Table1[Analyst Name],Table1[Location])</f>
        <v>HYD</v>
      </c>
      <c r="E373" s="19" t="s">
        <v>127</v>
      </c>
      <c r="F373" s="20">
        <v>46038</v>
      </c>
      <c r="G373" s="20">
        <v>46038</v>
      </c>
      <c r="H373" s="19" t="s">
        <v>127</v>
      </c>
      <c r="I373" s="19" t="s">
        <v>128</v>
      </c>
      <c r="J373" s="19">
        <f>NETWORKDAYS(Christus_Emp_Table[[#This Row],[From Date:]],Christus_Emp_Table[[#This Row],[To Date:]])</f>
        <v>1</v>
      </c>
      <c r="K373" s="19"/>
      <c r="L373" s="19" t="str">
        <f>_xlfn.XLOOKUP(Christus_Emp_Table[[#This Row],[Analyst Name:]],Table1[Analyst Name],Table1[Lead])</f>
        <v>Jagannath Belel</v>
      </c>
    </row>
    <row r="374" spans="1:12" x14ac:dyDescent="0.35">
      <c r="A374" s="18" t="s">
        <v>48</v>
      </c>
      <c r="B374" s="22" t="str">
        <f>_xlfn.XLOOKUP(Christus_Emp_Table[[#This Row],[Analyst Name:]],Table1[Analyst Name],Table1[Deloitte Email ID])</f>
        <v>dwaikar@deloitte.com</v>
      </c>
      <c r="C374" s="19" t="str">
        <f>_xlfn.XLOOKUP(Christus_Emp_Table[[#This Row],[Analyst Name:]],Table1[Analyst Name],Table1[Module])</f>
        <v>SER</v>
      </c>
      <c r="D374" s="19" t="str">
        <f>_xlfn.XLOOKUP(Christus_Emp_Table[[#This Row],[Analyst Name:]],Table1[Analyst Name],Table1[Location])</f>
        <v>BLR</v>
      </c>
      <c r="E374" s="19" t="s">
        <v>127</v>
      </c>
      <c r="F374" s="20">
        <v>46069</v>
      </c>
      <c r="G374" s="20">
        <v>46073</v>
      </c>
      <c r="H374" s="19" t="s">
        <v>127</v>
      </c>
      <c r="I374" s="19" t="s">
        <v>128</v>
      </c>
      <c r="J374" s="19">
        <f>NETWORKDAYS(Christus_Emp_Table[[#This Row],[From Date:]],Christus_Emp_Table[[#This Row],[To Date:]])</f>
        <v>5</v>
      </c>
      <c r="K374" s="19"/>
      <c r="L374" s="19" t="str">
        <f>_xlfn.XLOOKUP(Christus_Emp_Table[[#This Row],[Analyst Name:]],Table1[Analyst Name],Table1[Lead])</f>
        <v>Ankita Roy</v>
      </c>
    </row>
    <row r="375" spans="1:12" x14ac:dyDescent="0.35">
      <c r="A375" s="18" t="s">
        <v>31</v>
      </c>
      <c r="B375" s="22" t="str">
        <f>_xlfn.XLOOKUP(Christus_Emp_Table[[#This Row],[Analyst Name:]],Table1[Analyst Name],Table1[Deloitte Email ID])</f>
        <v>racharachana@deloitte.com</v>
      </c>
      <c r="C375" s="19" t="str">
        <f>_xlfn.XLOOKUP(Christus_Emp_Table[[#This Row],[Analyst Name:]],Table1[Analyst Name],Table1[Module])</f>
        <v>Reporting</v>
      </c>
      <c r="D375" s="19" t="str">
        <f>_xlfn.XLOOKUP(Christus_Emp_Table[[#This Row],[Analyst Name:]],Table1[Analyst Name],Table1[Location])</f>
        <v>HYD</v>
      </c>
      <c r="E375" s="19" t="s">
        <v>127</v>
      </c>
      <c r="F375" s="20">
        <v>46055</v>
      </c>
      <c r="G375" s="20">
        <v>46058</v>
      </c>
      <c r="H375" s="19" t="s">
        <v>133</v>
      </c>
      <c r="I375" s="19" t="s">
        <v>128</v>
      </c>
      <c r="J375" s="19">
        <f>NETWORKDAYS(Christus_Emp_Table[[#This Row],[From Date:]],Christus_Emp_Table[[#This Row],[To Date:]])</f>
        <v>4</v>
      </c>
      <c r="K375" s="19"/>
      <c r="L375" s="19" t="str">
        <f>_xlfn.XLOOKUP(Christus_Emp_Table[[#This Row],[Analyst Name:]],Table1[Analyst Name],Table1[Lead])</f>
        <v>Nitish Kumar</v>
      </c>
    </row>
    <row r="376" spans="1:12" x14ac:dyDescent="0.35">
      <c r="A376" s="18" t="s">
        <v>52</v>
      </c>
      <c r="B376" s="22" t="str">
        <f>_xlfn.XLOOKUP(Christus_Emp_Table[[#This Row],[Analyst Name:]],Table1[Analyst Name],Table1[Deloitte Email ID])</f>
        <v>Drajitha@deloitte.com</v>
      </c>
      <c r="C376" s="19" t="str">
        <f>_xlfn.XLOOKUP(Christus_Emp_Table[[#This Row],[Analyst Name:]],Table1[Analyst Name],Table1[Module])</f>
        <v>SER</v>
      </c>
      <c r="D376" s="19" t="str">
        <f>_xlfn.XLOOKUP(Christus_Emp_Table[[#This Row],[Analyst Name:]],Table1[Analyst Name],Table1[Location])</f>
        <v>BLR</v>
      </c>
      <c r="E376" s="19" t="s">
        <v>127</v>
      </c>
      <c r="F376" s="20">
        <v>46072</v>
      </c>
      <c r="G376" s="20">
        <v>46077</v>
      </c>
      <c r="H376" s="19" t="s">
        <v>134</v>
      </c>
      <c r="I376" s="19" t="s">
        <v>119</v>
      </c>
      <c r="J376" s="19">
        <f>NETWORKDAYS(Christus_Emp_Table[[#This Row],[From Date:]],Christus_Emp_Table[[#This Row],[To Date:]])</f>
        <v>4</v>
      </c>
      <c r="K376" s="19"/>
      <c r="L376" s="19" t="str">
        <f>_xlfn.XLOOKUP(Christus_Emp_Table[[#This Row],[Analyst Name:]],Table1[Analyst Name],Table1[Lead])</f>
        <v>Ankita Roy</v>
      </c>
    </row>
    <row r="377" spans="1:12" x14ac:dyDescent="0.35">
      <c r="A377" s="18" t="s">
        <v>45</v>
      </c>
      <c r="B377" s="22" t="str">
        <f>_xlfn.XLOOKUP(Christus_Emp_Table[[#This Row],[Analyst Name:]],Table1[Analyst Name],Table1[Deloitte Email ID])</f>
        <v>divmaheshwari@deloitte.com</v>
      </c>
      <c r="C377" s="19" t="str">
        <f>_xlfn.XLOOKUP(Christus_Emp_Table[[#This Row],[Analyst Name:]],Table1[Analyst Name],Table1[Module])</f>
        <v>MyChart</v>
      </c>
      <c r="D377" s="19" t="str">
        <f>_xlfn.XLOOKUP(Christus_Emp_Table[[#This Row],[Analyst Name:]],Table1[Analyst Name],Table1[Location])</f>
        <v>GUR</v>
      </c>
      <c r="E377" s="19" t="s">
        <v>127</v>
      </c>
      <c r="F377" s="20">
        <v>46057</v>
      </c>
      <c r="G377" s="20">
        <v>46059</v>
      </c>
      <c r="H377" s="19" t="s">
        <v>135</v>
      </c>
      <c r="I377" s="19" t="s">
        <v>128</v>
      </c>
      <c r="J377" s="19">
        <f>NETWORKDAYS(Christus_Emp_Table[[#This Row],[From Date:]],Christus_Emp_Table[[#This Row],[To Date:]])</f>
        <v>3</v>
      </c>
      <c r="K377" s="19" t="s">
        <v>136</v>
      </c>
      <c r="L377" s="19" t="str">
        <f>_xlfn.XLOOKUP(Christus_Emp_Table[[#This Row],[Analyst Name:]],Table1[Analyst Name],Table1[Lead])</f>
        <v>Nitish Kumar</v>
      </c>
    </row>
    <row r="378" spans="1:12" x14ac:dyDescent="0.35">
      <c r="A378" s="18" t="s">
        <v>79</v>
      </c>
      <c r="B378" s="22" t="str">
        <f>_xlfn.XLOOKUP(Christus_Emp_Table[[#This Row],[Analyst Name:]],Table1[Analyst Name],Table1[Deloitte Email ID])</f>
        <v>pragrawat@deloitte.com</v>
      </c>
      <c r="C378" s="19" t="str">
        <f>_xlfn.XLOOKUP(Christus_Emp_Table[[#This Row],[Analyst Name:]],Table1[Analyst Name],Table1[Module])</f>
        <v>EC/DC</v>
      </c>
      <c r="D378" s="19" t="str">
        <f>_xlfn.XLOOKUP(Christus_Emp_Table[[#This Row],[Analyst Name:]],Table1[Analyst Name],Table1[Location])</f>
        <v>GUR</v>
      </c>
      <c r="E378" s="19" t="s">
        <v>127</v>
      </c>
      <c r="F378" s="20">
        <v>46038</v>
      </c>
      <c r="G378" s="20">
        <v>46038</v>
      </c>
      <c r="H378" s="19" t="s">
        <v>127</v>
      </c>
      <c r="I378" s="19" t="s">
        <v>128</v>
      </c>
      <c r="J378" s="19">
        <f>NETWORKDAYS(Christus_Emp_Table[[#This Row],[From Date:]],Christus_Emp_Table[[#This Row],[To Date:]])</f>
        <v>1</v>
      </c>
      <c r="K378" s="19"/>
      <c r="L378" s="19" t="str">
        <f>_xlfn.XLOOKUP(Christus_Emp_Table[[#This Row],[Analyst Name:]],Table1[Analyst Name],Table1[Lead])</f>
        <v>Ankita Roy</v>
      </c>
    </row>
    <row r="379" spans="1:12" x14ac:dyDescent="0.35">
      <c r="A379" s="18" t="s">
        <v>33</v>
      </c>
      <c r="B379" s="19" t="str">
        <f>_xlfn.XLOOKUP(Christus_Emp_Table[[#This Row],[Analyst Name:]],Table1[Analyst Name],Table1[Deloitte Email ID])</f>
        <v>pjagdishzalavadia@deloitte.com</v>
      </c>
      <c r="C379" s="19" t="str">
        <f>_xlfn.XLOOKUP(Christus_Emp_Table[[#This Row],[Analyst Name:]],Table1[Analyst Name],Table1[Module])</f>
        <v>Bridges</v>
      </c>
      <c r="D379" s="19" t="str">
        <f>_xlfn.XLOOKUP(Christus_Emp_Table[[#This Row],[Analyst Name:]],Table1[Analyst Name],Table1[Location])</f>
        <v>BLR</v>
      </c>
      <c r="E379" s="19" t="s">
        <v>130</v>
      </c>
      <c r="F379" s="20">
        <v>46063</v>
      </c>
      <c r="G379" s="20">
        <v>46063</v>
      </c>
      <c r="H379" s="19" t="s">
        <v>137</v>
      </c>
      <c r="I379" s="19" t="s">
        <v>128</v>
      </c>
      <c r="J379" s="19">
        <f>NETWORKDAYS(Christus_Emp_Table[[#This Row],[From Date:]],Christus_Emp_Table[[#This Row],[To Date:]])</f>
        <v>1</v>
      </c>
      <c r="K379" s="19"/>
      <c r="L379" s="19" t="str">
        <f>_xlfn.XLOOKUP(Christus_Emp_Table[[#This Row],[Analyst Name:]],Table1[Analyst Name],Table1[Lead])</f>
        <v>Tanima Debmallik/Nitish Kumar</v>
      </c>
    </row>
    <row r="380" spans="1:12" x14ac:dyDescent="0.35">
      <c r="A380" s="18" t="s">
        <v>33</v>
      </c>
      <c r="B380" s="19" t="str">
        <f>_xlfn.XLOOKUP(Christus_Emp_Table[[#This Row],[Analyst Name:]],Table1[Analyst Name],Table1[Deloitte Email ID])</f>
        <v>pjagdishzalavadia@deloitte.com</v>
      </c>
      <c r="C380" s="19" t="str">
        <f>_xlfn.XLOOKUP(Christus_Emp_Table[[#This Row],[Analyst Name:]],Table1[Analyst Name],Table1[Module])</f>
        <v>Bridges</v>
      </c>
      <c r="D380" s="19" t="str">
        <f>_xlfn.XLOOKUP(Christus_Emp_Table[[#This Row],[Analyst Name:]],Table1[Analyst Name],Table1[Location])</f>
        <v>BLR</v>
      </c>
      <c r="E380" s="19" t="s">
        <v>127</v>
      </c>
      <c r="F380" s="20">
        <v>46064</v>
      </c>
      <c r="G380" s="20">
        <v>46066</v>
      </c>
      <c r="H380" s="19" t="s">
        <v>137</v>
      </c>
      <c r="I380" s="19" t="s">
        <v>128</v>
      </c>
      <c r="J380" s="19">
        <f>NETWORKDAYS(Christus_Emp_Table[[#This Row],[From Date:]],Christus_Emp_Table[[#This Row],[To Date:]])</f>
        <v>3</v>
      </c>
      <c r="K380" s="19"/>
      <c r="L380" s="19" t="str">
        <f>_xlfn.XLOOKUP(Christus_Emp_Table[[#This Row],[Analyst Name:]],Table1[Analyst Name],Table1[Lead])</f>
        <v>Tanima Debmallik/Nitish Kumar</v>
      </c>
    </row>
    <row r="381" spans="1:12" x14ac:dyDescent="0.35">
      <c r="A381" s="18" t="s">
        <v>64</v>
      </c>
      <c r="B381" s="19" t="str">
        <f>_xlfn.XLOOKUP(Christus_Emp_Table[[#This Row],[Analyst Name:]],Table1[Analyst Name],Table1[Deloitte Email ID])</f>
        <v>tgupta10@deloitte.com</v>
      </c>
      <c r="C381" s="19" t="str">
        <f>_xlfn.XLOOKUP(Christus_Emp_Table[[#This Row],[Analyst Name:]],Table1[Analyst Name],Table1[Module])</f>
        <v>Automation</v>
      </c>
      <c r="D381" s="19" t="str">
        <f>_xlfn.XLOOKUP(Christus_Emp_Table[[#This Row],[Analyst Name:]],Table1[Analyst Name],Table1[Location])</f>
        <v>HYD</v>
      </c>
      <c r="E381" s="19" t="s">
        <v>112</v>
      </c>
      <c r="F381" s="20">
        <v>46038</v>
      </c>
      <c r="G381" s="20">
        <v>46038</v>
      </c>
      <c r="H381" s="22" t="s">
        <v>129</v>
      </c>
      <c r="I381" s="19" t="s">
        <v>128</v>
      </c>
      <c r="J381" s="19">
        <f>NETWORKDAYS(Christus_Emp_Table[[#This Row],[From Date:]],Christus_Emp_Table[[#This Row],[To Date:]])</f>
        <v>1</v>
      </c>
      <c r="K381" s="19"/>
      <c r="L381" s="19" t="str">
        <f>_xlfn.XLOOKUP(Christus_Emp_Table[[#This Row],[Analyst Name:]],Table1[Analyst Name],Table1[Lead])</f>
        <v>Parth Zalavadia</v>
      </c>
    </row>
    <row r="382" spans="1:12" x14ac:dyDescent="0.35">
      <c r="A382" s="18" t="s">
        <v>75</v>
      </c>
      <c r="B382" s="19" t="str">
        <f>_xlfn.XLOOKUP(Christus_Emp_Table[[#This Row],[Analyst Name:]],Table1[Analyst Name],Table1[Deloitte Email ID])</f>
        <v>stanuja@deloitte.com</v>
      </c>
      <c r="C382" s="19" t="str">
        <f>_xlfn.XLOOKUP(Christus_Emp_Table[[#This Row],[Analyst Name:]],Table1[Analyst Name],Table1[Module])</f>
        <v>QA</v>
      </c>
      <c r="D382" s="19" t="str">
        <f>_xlfn.XLOOKUP(Christus_Emp_Table[[#This Row],[Analyst Name:]],Table1[Analyst Name],Table1[Location])</f>
        <v>HYD</v>
      </c>
      <c r="E382" s="19" t="s">
        <v>127</v>
      </c>
      <c r="F382" s="20">
        <v>46049</v>
      </c>
      <c r="G382" s="20">
        <v>46049</v>
      </c>
      <c r="H382" s="19" t="s">
        <v>138</v>
      </c>
      <c r="I382" s="19" t="s">
        <v>128</v>
      </c>
      <c r="J382" s="19">
        <f>NETWORKDAYS(Christus_Emp_Table[[#This Row],[From Date:]],Christus_Emp_Table[[#This Row],[To Date:]])</f>
        <v>1</v>
      </c>
      <c r="K382" s="19" t="s">
        <v>136</v>
      </c>
      <c r="L382" s="19" t="str">
        <f>_xlfn.XLOOKUP(Christus_Emp_Table[[#This Row],[Analyst Name:]],Table1[Analyst Name],Table1[Lead])</f>
        <v>Ankita Roy</v>
      </c>
    </row>
    <row r="383" spans="1:12" x14ac:dyDescent="0.35">
      <c r="A383" s="18" t="s">
        <v>45</v>
      </c>
      <c r="B383" s="19" t="str">
        <f>_xlfn.XLOOKUP(Christus_Emp_Table[[#This Row],[Analyst Name:]],Table1[Analyst Name],Table1[Deloitte Email ID])</f>
        <v>divmaheshwari@deloitte.com</v>
      </c>
      <c r="C383" s="19" t="str">
        <f>_xlfn.XLOOKUP(Christus_Emp_Table[[#This Row],[Analyst Name:]],Table1[Analyst Name],Table1[Module])</f>
        <v>MyChart</v>
      </c>
      <c r="D383" s="19" t="str">
        <f>_xlfn.XLOOKUP(Christus_Emp_Table[[#This Row],[Analyst Name:]],Table1[Analyst Name],Table1[Location])</f>
        <v>GUR</v>
      </c>
      <c r="E383" s="19" t="s">
        <v>112</v>
      </c>
      <c r="F383" s="20">
        <v>46042</v>
      </c>
      <c r="G383" s="20">
        <v>46042</v>
      </c>
      <c r="H383" s="19" t="s">
        <v>129</v>
      </c>
      <c r="I383" s="19" t="s">
        <v>128</v>
      </c>
      <c r="J383" s="19">
        <f>NETWORKDAYS(Christus_Emp_Table[[#This Row],[From Date:]],Christus_Emp_Table[[#This Row],[To Date:]])</f>
        <v>1</v>
      </c>
      <c r="K383" s="19"/>
      <c r="L383" s="19" t="str">
        <f>_xlfn.XLOOKUP(Christus_Emp_Table[[#This Row],[Analyst Name:]],Table1[Analyst Name],Table1[Lead])</f>
        <v>Nitish Kumar</v>
      </c>
    </row>
    <row r="384" spans="1:12" x14ac:dyDescent="0.35">
      <c r="A384" s="18" t="s">
        <v>64</v>
      </c>
      <c r="B384" s="19" t="str">
        <f>_xlfn.XLOOKUP(Christus_Emp_Table[[#This Row],[Analyst Name:]],Table1[Analyst Name],Table1[Deloitte Email ID])</f>
        <v>tgupta10@deloitte.com</v>
      </c>
      <c r="C384" s="19" t="str">
        <f>_xlfn.XLOOKUP(Christus_Emp_Table[[#This Row],[Analyst Name:]],Table1[Analyst Name],Table1[Module])</f>
        <v>Automation</v>
      </c>
      <c r="D384" s="19" t="str">
        <f>_xlfn.XLOOKUP(Christus_Emp_Table[[#This Row],[Analyst Name:]],Table1[Analyst Name],Table1[Location])</f>
        <v>HYD</v>
      </c>
      <c r="E384" s="19" t="s">
        <v>127</v>
      </c>
      <c r="F384" s="20">
        <v>46083</v>
      </c>
      <c r="G384" s="20">
        <v>46083</v>
      </c>
      <c r="H384" s="19" t="s">
        <v>139</v>
      </c>
      <c r="I384" s="19" t="s">
        <v>119</v>
      </c>
      <c r="J384" s="19">
        <f>NETWORKDAYS(Christus_Emp_Table[[#This Row],[From Date:]],Christus_Emp_Table[[#This Row],[To Date:]])</f>
        <v>1</v>
      </c>
      <c r="K384" s="19"/>
      <c r="L384" s="19" t="str">
        <f>_xlfn.XLOOKUP(Christus_Emp_Table[[#This Row],[Analyst Name:]],Table1[Analyst Name],Table1[Lead])</f>
        <v>Parth Zalavadia</v>
      </c>
    </row>
    <row r="385" spans="1:12" x14ac:dyDescent="0.35">
      <c r="A385" s="18" t="s">
        <v>64</v>
      </c>
      <c r="B385" s="19" t="str">
        <f>_xlfn.XLOOKUP(Christus_Emp_Table[[#This Row],[Analyst Name:]],Table1[Analyst Name],Table1[Deloitte Email ID])</f>
        <v>tgupta10@deloitte.com</v>
      </c>
      <c r="C385" s="19" t="str">
        <f>_xlfn.XLOOKUP(Christus_Emp_Table[[#This Row],[Analyst Name:]],Table1[Analyst Name],Table1[Module])</f>
        <v>Automation</v>
      </c>
      <c r="D385" s="19" t="str">
        <f>_xlfn.XLOOKUP(Christus_Emp_Table[[#This Row],[Analyst Name:]],Table1[Analyst Name],Table1[Location])</f>
        <v>HYD</v>
      </c>
      <c r="E385" s="19" t="s">
        <v>127</v>
      </c>
      <c r="F385" s="20">
        <v>46085</v>
      </c>
      <c r="G385" s="20">
        <v>46085</v>
      </c>
      <c r="H385" s="19" t="s">
        <v>139</v>
      </c>
      <c r="I385" s="19" t="s">
        <v>119</v>
      </c>
      <c r="J385" s="19">
        <f>NETWORKDAYS(Christus_Emp_Table[[#This Row],[From Date:]],Christus_Emp_Table[[#This Row],[To Date:]])</f>
        <v>1</v>
      </c>
      <c r="K385" s="19"/>
      <c r="L385" s="19" t="str">
        <f>_xlfn.XLOOKUP(Christus_Emp_Table[[#This Row],[Analyst Name:]],Table1[Analyst Name],Table1[Lead])</f>
        <v>Parth Zalavadia</v>
      </c>
    </row>
    <row r="386" spans="1:12" x14ac:dyDescent="0.35">
      <c r="A386" s="18" t="s">
        <v>81</v>
      </c>
      <c r="B386" s="19" t="str">
        <f>_xlfn.XLOOKUP(Christus_Emp_Table[[#This Row],[Analyst Name:]],Table1[Analyst Name],Table1[Deloitte Email ID])</f>
        <v>scharan1@deloitte.com</v>
      </c>
      <c r="C386" s="19" t="str">
        <f>_xlfn.XLOOKUP(Christus_Emp_Table[[#This Row],[Analyst Name:]],Table1[Analyst Name],Table1[Module])</f>
        <v>Bridges</v>
      </c>
      <c r="D386" s="19" t="str">
        <f>_xlfn.XLOOKUP(Christus_Emp_Table[[#This Row],[Analyst Name:]],Table1[Analyst Name],Table1[Location])</f>
        <v>HYD</v>
      </c>
      <c r="E386" s="19" t="s">
        <v>112</v>
      </c>
      <c r="F386" s="20">
        <v>46049</v>
      </c>
      <c r="G386" s="20">
        <v>46050</v>
      </c>
      <c r="H386" s="19" t="s">
        <v>129</v>
      </c>
      <c r="I386" s="19" t="s">
        <v>128</v>
      </c>
      <c r="J386" s="19">
        <f>NETWORKDAYS(Christus_Emp_Table[[#This Row],[From Date:]],Christus_Emp_Table[[#This Row],[To Date:]])</f>
        <v>2</v>
      </c>
      <c r="K386" s="19"/>
      <c r="L386" s="19" t="str">
        <f>_xlfn.XLOOKUP(Christus_Emp_Table[[#This Row],[Analyst Name:]],Table1[Analyst Name],Table1[Lead])</f>
        <v>Nitish Kumar</v>
      </c>
    </row>
    <row r="387" spans="1:12" x14ac:dyDescent="0.35">
      <c r="A387" s="18" t="s">
        <v>70</v>
      </c>
      <c r="B387" s="19" t="str">
        <f>_xlfn.XLOOKUP(Christus_Emp_Table[[#This Row],[Analyst Name:]],Table1[Analyst Name],Table1[Deloitte Email ID])</f>
        <v>amisshaw@deloitte.com</v>
      </c>
      <c r="C387" s="19" t="str">
        <f>_xlfn.XLOOKUP(Christus_Emp_Table[[#This Row],[Analyst Name:]],Table1[Analyst Name],Table1[Module])</f>
        <v>Automation</v>
      </c>
      <c r="D387" s="19" t="str">
        <f>_xlfn.XLOOKUP(Christus_Emp_Table[[#This Row],[Analyst Name:]],Table1[Analyst Name],Table1[Location])</f>
        <v>MUM</v>
      </c>
      <c r="E387" s="19" t="s">
        <v>112</v>
      </c>
      <c r="F387" s="20">
        <v>46050</v>
      </c>
      <c r="G387" s="20">
        <v>46050</v>
      </c>
      <c r="H387" s="19" t="s">
        <v>129</v>
      </c>
      <c r="I387" s="19" t="s">
        <v>128</v>
      </c>
      <c r="J387" s="19">
        <f>NETWORKDAYS(Christus_Emp_Table[[#This Row],[From Date:]],Christus_Emp_Table[[#This Row],[To Date:]])</f>
        <v>1</v>
      </c>
      <c r="K387" s="19"/>
      <c r="L387" s="19" t="str">
        <f>_xlfn.XLOOKUP(Christus_Emp_Table[[#This Row],[Analyst Name:]],Table1[Analyst Name],Table1[Lead])</f>
        <v>Nitish Kumar</v>
      </c>
    </row>
    <row r="388" spans="1:12" x14ac:dyDescent="0.35">
      <c r="A388" s="18" t="s">
        <v>70</v>
      </c>
      <c r="B388" s="19" t="str">
        <f>_xlfn.XLOOKUP(Christus_Emp_Table[[#This Row],[Analyst Name:]],Table1[Analyst Name],Table1[Deloitte Email ID])</f>
        <v>amisshaw@deloitte.com</v>
      </c>
      <c r="C388" s="19" t="str">
        <f>_xlfn.XLOOKUP(Christus_Emp_Table[[#This Row],[Analyst Name:]],Table1[Analyst Name],Table1[Module])</f>
        <v>Automation</v>
      </c>
      <c r="D388" s="19" t="str">
        <f>_xlfn.XLOOKUP(Christus_Emp_Table[[#This Row],[Analyst Name:]],Table1[Analyst Name],Table1[Location])</f>
        <v>MUM</v>
      </c>
      <c r="E388" s="19" t="s">
        <v>130</v>
      </c>
      <c r="F388" s="20">
        <v>46049</v>
      </c>
      <c r="G388" s="20">
        <v>46049</v>
      </c>
      <c r="H388" s="19" t="s">
        <v>140</v>
      </c>
      <c r="I388" s="19" t="s">
        <v>128</v>
      </c>
      <c r="J388" s="19">
        <f>NETWORKDAYS(Christus_Emp_Table[[#This Row],[From Date:]],Christus_Emp_Table[[#This Row],[To Date:]])</f>
        <v>1</v>
      </c>
      <c r="K388" s="19"/>
      <c r="L388" s="19" t="str">
        <f>_xlfn.XLOOKUP(Christus_Emp_Table[[#This Row],[Analyst Name:]],Table1[Analyst Name],Table1[Lead])</f>
        <v>Nitish Kumar</v>
      </c>
    </row>
    <row r="389" spans="1:12" x14ac:dyDescent="0.35">
      <c r="A389" s="18" t="s">
        <v>81</v>
      </c>
      <c r="B389" s="55" t="s">
        <v>82</v>
      </c>
      <c r="C389" s="19" t="s">
        <v>35</v>
      </c>
      <c r="D389" s="19" t="s">
        <v>23</v>
      </c>
      <c r="E389" s="19" t="s">
        <v>112</v>
      </c>
      <c r="F389" s="20">
        <v>46049</v>
      </c>
      <c r="G389" s="20">
        <v>46050</v>
      </c>
      <c r="H389" s="19" t="s">
        <v>129</v>
      </c>
      <c r="I389" s="19" t="s">
        <v>128</v>
      </c>
      <c r="J389" s="19">
        <v>2</v>
      </c>
      <c r="K389" s="19"/>
      <c r="L389" s="19" t="s">
        <v>6</v>
      </c>
    </row>
    <row r="390" spans="1:12" x14ac:dyDescent="0.35">
      <c r="A390" s="18" t="s">
        <v>81</v>
      </c>
      <c r="B390" s="19" t="str">
        <f>_xlfn.XLOOKUP(Christus_Emp_Table[[#This Row],[Analyst Name:]],Table1[Analyst Name],Table1[Deloitte Email ID])</f>
        <v>scharan1@deloitte.com</v>
      </c>
      <c r="C390" s="19" t="str">
        <f>_xlfn.XLOOKUP(Christus_Emp_Table[[#This Row],[Analyst Name:]],Table1[Analyst Name],Table1[Module])</f>
        <v>Bridges</v>
      </c>
      <c r="D390" s="19" t="str">
        <f>_xlfn.XLOOKUP(Christus_Emp_Table[[#This Row],[Analyst Name:]],Table1[Analyst Name],Table1[Location])</f>
        <v>HYD</v>
      </c>
      <c r="E390" s="19" t="s">
        <v>112</v>
      </c>
      <c r="F390" s="20">
        <v>46049</v>
      </c>
      <c r="G390" s="20">
        <v>46050</v>
      </c>
      <c r="H390" s="19" t="s">
        <v>172</v>
      </c>
      <c r="I390" s="19" t="s">
        <v>119</v>
      </c>
      <c r="J390" s="19">
        <f>NETWORKDAYS(Christus_Emp_Table[[#This Row],[From Date:]],Christus_Emp_Table[[#This Row],[To Date:]])</f>
        <v>2</v>
      </c>
      <c r="K390" s="19"/>
      <c r="L390" s="19" t="str">
        <f>_xlfn.XLOOKUP(Christus_Emp_Table[[#This Row],[Analyst Name:]],Table1[Analyst Name],Table1[Lead])</f>
        <v>Nitish Kumar</v>
      </c>
    </row>
    <row r="391" spans="1:12" x14ac:dyDescent="0.35">
      <c r="A391" s="18" t="s">
        <v>58</v>
      </c>
      <c r="B391" s="19" t="str">
        <f>_xlfn.XLOOKUP(Christus_Emp_Table[[#This Row],[Analyst Name:]],Table1[Analyst Name],Table1[Deloitte Email ID])</f>
        <v>rmbabu@deloitte.com</v>
      </c>
      <c r="C391" s="19" t="str">
        <f>_xlfn.XLOOKUP(Christus_Emp_Table[[#This Row],[Analyst Name:]],Table1[Analyst Name],Table1[Module])</f>
        <v>ECLink</v>
      </c>
      <c r="D391" s="19" t="str">
        <f>_xlfn.XLOOKUP(Christus_Emp_Table[[#This Row],[Analyst Name:]],Table1[Analyst Name],Table1[Location])</f>
        <v>HYD</v>
      </c>
      <c r="E391" s="19" t="s">
        <v>112</v>
      </c>
      <c r="F391" s="20">
        <v>46049</v>
      </c>
      <c r="G391" s="20">
        <v>46050</v>
      </c>
      <c r="H391" s="19" t="s">
        <v>173</v>
      </c>
      <c r="I391" s="19" t="s">
        <v>128</v>
      </c>
      <c r="J391" s="19">
        <f>NETWORKDAYS(Christus_Emp_Table[[#This Row],[From Date:]],Christus_Emp_Table[[#This Row],[To Date:]])</f>
        <v>2</v>
      </c>
      <c r="K391" s="19"/>
      <c r="L391" s="19" t="str">
        <f>_xlfn.XLOOKUP(Christus_Emp_Table[[#This Row],[Analyst Name:]],Table1[Analyst Name],Table1[Lead])</f>
        <v>Nitish Kumar</v>
      </c>
    </row>
    <row r="392" spans="1:12" x14ac:dyDescent="0.35">
      <c r="A392" s="18" t="s">
        <v>11</v>
      </c>
      <c r="B392" s="19" t="str">
        <f>_xlfn.XLOOKUP(Christus_Emp_Table[[#This Row],[Analyst Name:]],Table1[Analyst Name],Table1[Deloitte Email ID])</f>
        <v>bharkumari@deloitte.com</v>
      </c>
      <c r="C392" s="19" t="str">
        <f>_xlfn.XLOOKUP(Christus_Emp_Table[[#This Row],[Analyst Name:]],Table1[Analyst Name],Table1[Module])</f>
        <v>Reporting</v>
      </c>
      <c r="D392" s="19" t="str">
        <f>_xlfn.XLOOKUP(Christus_Emp_Table[[#This Row],[Analyst Name:]],Table1[Analyst Name],Table1[Location])</f>
        <v>BLR</v>
      </c>
      <c r="E392" s="19" t="s">
        <v>127</v>
      </c>
      <c r="F392" s="20">
        <v>46049</v>
      </c>
      <c r="G392" s="20">
        <v>46073</v>
      </c>
      <c r="H392" s="19" t="s">
        <v>174</v>
      </c>
      <c r="I392" s="19" t="s">
        <v>128</v>
      </c>
      <c r="J392" s="19">
        <f>NETWORKDAYS(Christus_Emp_Table[[#This Row],[From Date:]],Christus_Emp_Table[[#This Row],[To Date:]])</f>
        <v>19</v>
      </c>
      <c r="K392" s="19" t="s">
        <v>136</v>
      </c>
      <c r="L392" s="19" t="str">
        <f>_xlfn.XLOOKUP(Christus_Emp_Table[[#This Row],[Analyst Name:]],Table1[Analyst Name],Table1[Lead])</f>
        <v>Nitish Kumar</v>
      </c>
    </row>
    <row r="393" spans="1:12" x14ac:dyDescent="0.35">
      <c r="A393" s="18" t="s">
        <v>64</v>
      </c>
      <c r="B393" s="19" t="str">
        <f>_xlfn.XLOOKUP(Christus_Emp_Table[[#This Row],[Analyst Name:]],Table1[Analyst Name],Table1[Deloitte Email ID])</f>
        <v>tgupta10@deloitte.com</v>
      </c>
      <c r="C393" s="19" t="str">
        <f>_xlfn.XLOOKUP(Christus_Emp_Table[[#This Row],[Analyst Name:]],Table1[Analyst Name],Table1[Module])</f>
        <v>Automation</v>
      </c>
      <c r="D393" s="19" t="str">
        <f>_xlfn.XLOOKUP(Christus_Emp_Table[[#This Row],[Analyst Name:]],Table1[Analyst Name],Table1[Location])</f>
        <v>HYD</v>
      </c>
      <c r="E393" s="19" t="s">
        <v>127</v>
      </c>
      <c r="F393" s="20">
        <v>46055</v>
      </c>
      <c r="G393" s="20">
        <v>46055</v>
      </c>
      <c r="H393" s="19" t="s">
        <v>175</v>
      </c>
      <c r="I393" s="19" t="s">
        <v>128</v>
      </c>
      <c r="J393" s="19">
        <f>NETWORKDAYS(Christus_Emp_Table[[#This Row],[From Date:]],Christus_Emp_Table[[#This Row],[To Date:]])</f>
        <v>1</v>
      </c>
      <c r="K393" s="19"/>
      <c r="L393" s="19" t="str">
        <f>_xlfn.XLOOKUP(Christus_Emp_Table[[#This Row],[Analyst Name:]],Table1[Analyst Name],Table1[Lead])</f>
        <v>Parth Zalavadia</v>
      </c>
    </row>
  </sheetData>
  <sheetProtection insertRows="0" selectLockedCells="1"/>
  <protectedRanges>
    <protectedRange sqref="I2:I1048576" name="Range1"/>
    <protectedRange sqref="K2:K1048576" name="Range2"/>
  </protectedRanges>
  <phoneticPr fontId="9" type="noConversion"/>
  <hyperlinks>
    <hyperlink ref="B389" r:id="rId1" xr:uid="{22104FDE-4EFB-4B7F-AADD-825EFD846BA4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F878F-8A8E-4D63-93DE-AADBB92950C0}">
  <sheetPr codeName="Sheet3"/>
  <dimension ref="A1:B20"/>
  <sheetViews>
    <sheetView workbookViewId="0">
      <selection activeCell="A2" sqref="A2"/>
    </sheetView>
  </sheetViews>
  <sheetFormatPr defaultRowHeight="14.5" x14ac:dyDescent="0.35"/>
  <cols>
    <col min="1" max="1" width="27.26953125" customWidth="1"/>
    <col min="2" max="2" width="58.54296875" customWidth="1"/>
  </cols>
  <sheetData>
    <row r="1" spans="1:2" ht="17.5" thickBot="1" x14ac:dyDescent="0.4">
      <c r="A1" s="30" t="s">
        <v>141</v>
      </c>
      <c r="B1" s="30" t="s">
        <v>3</v>
      </c>
    </row>
    <row r="2" spans="1:2" ht="15" thickTop="1" x14ac:dyDescent="0.35">
      <c r="A2" s="28">
        <v>45658</v>
      </c>
      <c r="B2" s="31" t="s">
        <v>142</v>
      </c>
    </row>
    <row r="3" spans="1:2" x14ac:dyDescent="0.35">
      <c r="A3" s="28">
        <v>45671</v>
      </c>
      <c r="B3" s="31" t="s">
        <v>143</v>
      </c>
    </row>
    <row r="4" spans="1:2" x14ac:dyDescent="0.35">
      <c r="A4" s="28">
        <v>45680</v>
      </c>
      <c r="B4" s="31" t="s">
        <v>144</v>
      </c>
    </row>
    <row r="5" spans="1:2" x14ac:dyDescent="0.35">
      <c r="A5" s="28">
        <v>45730</v>
      </c>
      <c r="B5" s="31" t="s">
        <v>145</v>
      </c>
    </row>
    <row r="6" spans="1:2" x14ac:dyDescent="0.35">
      <c r="A6" s="28">
        <v>45747</v>
      </c>
      <c r="B6" s="31" t="s">
        <v>146</v>
      </c>
    </row>
    <row r="7" spans="1:2" x14ac:dyDescent="0.35">
      <c r="A7" s="28">
        <v>45761</v>
      </c>
      <c r="B7" s="31" t="s">
        <v>147</v>
      </c>
    </row>
    <row r="8" spans="1:2" x14ac:dyDescent="0.35">
      <c r="A8" s="28">
        <v>45778</v>
      </c>
      <c r="B8" s="31" t="s">
        <v>148</v>
      </c>
    </row>
    <row r="9" spans="1:2" x14ac:dyDescent="0.35">
      <c r="A9" s="28">
        <v>45810</v>
      </c>
      <c r="B9" s="31" t="s">
        <v>149</v>
      </c>
    </row>
    <row r="10" spans="1:2" x14ac:dyDescent="0.35">
      <c r="A10" s="28">
        <v>45884</v>
      </c>
      <c r="B10" s="31" t="s">
        <v>150</v>
      </c>
    </row>
    <row r="11" spans="1:2" x14ac:dyDescent="0.35">
      <c r="A11" s="28">
        <v>45896</v>
      </c>
      <c r="B11" s="31" t="s">
        <v>151</v>
      </c>
    </row>
    <row r="12" spans="1:2" x14ac:dyDescent="0.35">
      <c r="A12" s="28">
        <v>45931</v>
      </c>
      <c r="B12" s="31" t="s">
        <v>152</v>
      </c>
    </row>
    <row r="13" spans="1:2" x14ac:dyDescent="0.35">
      <c r="A13" s="28">
        <v>45932</v>
      </c>
      <c r="B13" s="31" t="s">
        <v>153</v>
      </c>
    </row>
    <row r="14" spans="1:2" x14ac:dyDescent="0.35">
      <c r="A14" s="28">
        <v>45950</v>
      </c>
      <c r="B14" s="31" t="s">
        <v>154</v>
      </c>
    </row>
    <row r="15" spans="1:2" x14ac:dyDescent="0.35">
      <c r="A15" s="28">
        <v>45951</v>
      </c>
      <c r="B15" s="31" t="s">
        <v>154</v>
      </c>
    </row>
    <row r="16" spans="1:2" x14ac:dyDescent="0.35">
      <c r="A16" s="28">
        <v>46016</v>
      </c>
      <c r="B16" s="31" t="s">
        <v>155</v>
      </c>
    </row>
    <row r="17" spans="1:2" x14ac:dyDescent="0.35">
      <c r="A17" s="28">
        <v>46017</v>
      </c>
      <c r="B17" s="31" t="s">
        <v>156</v>
      </c>
    </row>
    <row r="18" spans="1:2" x14ac:dyDescent="0.35">
      <c r="A18" s="28">
        <v>46020</v>
      </c>
      <c r="B18" s="31" t="s">
        <v>156</v>
      </c>
    </row>
    <row r="19" spans="1:2" x14ac:dyDescent="0.35">
      <c r="A19" s="28">
        <v>46021</v>
      </c>
      <c r="B19" s="31" t="s">
        <v>156</v>
      </c>
    </row>
    <row r="20" spans="1:2" x14ac:dyDescent="0.35">
      <c r="A20" s="28">
        <v>46022</v>
      </c>
      <c r="B20" s="31" t="s">
        <v>156</v>
      </c>
    </row>
  </sheetData>
  <sheetProtection algorithmName="SHA-512" hashValue="wl84hLEbJ28cCIqAhn3MJmYF9/e8j8kVh2G+MOfuklTg4chSCNeQ5E7vNmh2RYpab2rZFP8JhYCuZTe9MeMIMw==" saltValue="eqDgdkXoaCT1euvHaOHyJA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A6AC-BAFE-456D-842E-EC86876D0C8B}">
  <sheetPr codeName="Sheet5"/>
  <dimension ref="A1:B23"/>
  <sheetViews>
    <sheetView workbookViewId="0">
      <selection activeCell="C27" sqref="C27"/>
    </sheetView>
  </sheetViews>
  <sheetFormatPr defaultRowHeight="14.5" x14ac:dyDescent="0.35"/>
  <cols>
    <col min="1" max="1" width="27.26953125" customWidth="1"/>
    <col min="2" max="2" width="58.54296875" customWidth="1"/>
  </cols>
  <sheetData>
    <row r="1" spans="1:2" ht="17" x14ac:dyDescent="0.35">
      <c r="A1" s="47" t="s">
        <v>141</v>
      </c>
      <c r="B1" s="48" t="s">
        <v>3</v>
      </c>
    </row>
    <row r="2" spans="1:2" x14ac:dyDescent="0.35">
      <c r="A2" s="49">
        <v>46023</v>
      </c>
      <c r="B2" s="50" t="s">
        <v>157</v>
      </c>
    </row>
    <row r="3" spans="1:2" x14ac:dyDescent="0.35">
      <c r="A3" s="49">
        <v>46037</v>
      </c>
      <c r="B3" s="50" t="s">
        <v>143</v>
      </c>
    </row>
    <row r="4" spans="1:2" x14ac:dyDescent="0.35">
      <c r="A4" s="49">
        <v>46045</v>
      </c>
      <c r="B4" s="50" t="s">
        <v>144</v>
      </c>
    </row>
    <row r="5" spans="1:2" x14ac:dyDescent="0.35">
      <c r="A5" s="49">
        <v>46048</v>
      </c>
      <c r="B5" s="50" t="s">
        <v>158</v>
      </c>
    </row>
    <row r="6" spans="1:2" x14ac:dyDescent="0.35">
      <c r="A6" s="49">
        <v>46084</v>
      </c>
      <c r="B6" s="50" t="s">
        <v>159</v>
      </c>
    </row>
    <row r="7" spans="1:2" x14ac:dyDescent="0.35">
      <c r="A7" s="49">
        <v>46085</v>
      </c>
      <c r="B7" s="50" t="s">
        <v>160</v>
      </c>
    </row>
    <row r="8" spans="1:2" x14ac:dyDescent="0.35">
      <c r="A8" s="49">
        <v>46100</v>
      </c>
      <c r="B8" s="50" t="s">
        <v>161</v>
      </c>
    </row>
    <row r="9" spans="1:2" x14ac:dyDescent="0.35">
      <c r="A9" s="49">
        <v>46126</v>
      </c>
      <c r="B9" s="50" t="s">
        <v>162</v>
      </c>
    </row>
    <row r="10" spans="1:2" x14ac:dyDescent="0.35">
      <c r="A10" s="49">
        <v>46143</v>
      </c>
      <c r="B10" s="50" t="s">
        <v>163</v>
      </c>
    </row>
    <row r="11" spans="1:2" x14ac:dyDescent="0.35">
      <c r="A11" s="49">
        <v>46175</v>
      </c>
      <c r="B11" s="50" t="s">
        <v>149</v>
      </c>
    </row>
    <row r="12" spans="1:2" x14ac:dyDescent="0.35">
      <c r="A12" s="49">
        <v>46262</v>
      </c>
      <c r="B12" s="50" t="s">
        <v>164</v>
      </c>
    </row>
    <row r="13" spans="1:2" x14ac:dyDescent="0.35">
      <c r="A13" s="49">
        <v>46279</v>
      </c>
      <c r="B13" s="50" t="s">
        <v>165</v>
      </c>
    </row>
    <row r="14" spans="1:2" x14ac:dyDescent="0.35">
      <c r="A14" s="49">
        <v>46297</v>
      </c>
      <c r="B14" s="50" t="s">
        <v>166</v>
      </c>
    </row>
    <row r="15" spans="1:2" x14ac:dyDescent="0.35">
      <c r="A15" s="49">
        <v>46315</v>
      </c>
      <c r="B15" s="50" t="s">
        <v>167</v>
      </c>
    </row>
    <row r="16" spans="1:2" x14ac:dyDescent="0.35">
      <c r="A16" s="49">
        <v>46316</v>
      </c>
      <c r="B16" s="50" t="s">
        <v>168</v>
      </c>
    </row>
    <row r="17" spans="1:2" x14ac:dyDescent="0.35">
      <c r="A17" s="49">
        <v>46335</v>
      </c>
      <c r="B17" s="50" t="s">
        <v>169</v>
      </c>
    </row>
    <row r="18" spans="1:2" x14ac:dyDescent="0.35">
      <c r="A18" s="49">
        <v>46381</v>
      </c>
      <c r="B18" s="50" t="s">
        <v>170</v>
      </c>
    </row>
    <row r="19" spans="1:2" x14ac:dyDescent="0.35">
      <c r="A19" s="49">
        <v>46384</v>
      </c>
      <c r="B19" s="50" t="s">
        <v>171</v>
      </c>
    </row>
    <row r="20" spans="1:2" x14ac:dyDescent="0.35">
      <c r="A20" s="49">
        <v>46385</v>
      </c>
      <c r="B20" s="50" t="s">
        <v>171</v>
      </c>
    </row>
    <row r="21" spans="1:2" x14ac:dyDescent="0.35">
      <c r="A21" s="49">
        <v>46386</v>
      </c>
      <c r="B21" s="50" t="s">
        <v>171</v>
      </c>
    </row>
    <row r="22" spans="1:2" x14ac:dyDescent="0.35">
      <c r="A22" s="51">
        <v>46387</v>
      </c>
      <c r="B22" s="52" t="s">
        <v>171</v>
      </c>
    </row>
    <row r="23" spans="1:2" x14ac:dyDescent="0.35">
      <c r="A23" s="28"/>
      <c r="B23" s="31"/>
    </row>
  </sheetData>
  <sheetProtection algorithmName="SHA-512" hashValue="/xunbCPkJ8G8oJvfBwUB9hr+HuomzdgVI76fgduw2txwMh1D2kMW/M4HCNOIkYZmsqALt8OwjiqyRU1ZS3nRUA==" saltValue="xeay062SL8QkWz/AKGOMCg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8cfcba-b016-4e30-8556-6f1cb7c975af" xsi:nil="true"/>
    <lcf76f155ced4ddcb4097134ff3c332f xmlns="21eabdcc-72ab-4064-9f46-5100b1dc17a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5E5BA06A902547B72725678B9AC8F3" ma:contentTypeVersion="16" ma:contentTypeDescription="Create a new document." ma:contentTypeScope="" ma:versionID="c378a2b4b41bea1a4aec34ab9a9c04d8">
  <xsd:schema xmlns:xsd="http://www.w3.org/2001/XMLSchema" xmlns:xs="http://www.w3.org/2001/XMLSchema" xmlns:p="http://schemas.microsoft.com/office/2006/metadata/properties" xmlns:ns2="21eabdcc-72ab-4064-9f46-5100b1dc17a4" xmlns:ns3="0c8cfcba-b016-4e30-8556-6f1cb7c975af" targetNamespace="http://schemas.microsoft.com/office/2006/metadata/properties" ma:root="true" ma:fieldsID="7b5e422ea982b6737775b9f11566dbce" ns2:_="" ns3:_="">
    <xsd:import namespace="21eabdcc-72ab-4064-9f46-5100b1dc17a4"/>
    <xsd:import namespace="0c8cfcba-b016-4e30-8556-6f1cb7c975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abdcc-72ab-4064-9f46-5100b1dc17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98d900d-0589-4081-96eb-513de833a5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8cfcba-b016-4e30-8556-6f1cb7c975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1b69687-e3b3-42f9-8e99-a69d61ab0aa7}" ma:internalName="TaxCatchAll" ma:showField="CatchAllData" ma:web="0c8cfcba-b016-4e30-8556-6f1cb7c975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C055D4-8B0D-4B57-BC09-598628981B05}">
  <ds:schemaRefs>
    <ds:schemaRef ds:uri="http://www.w3.org/XML/1998/namespace"/>
    <ds:schemaRef ds:uri="http://purl.org/dc/dcmitype/"/>
    <ds:schemaRef ds:uri="21eabdcc-72ab-4064-9f46-5100b1dc17a4"/>
    <ds:schemaRef ds:uri="http://schemas.microsoft.com/office/2006/documentManagement/types"/>
    <ds:schemaRef ds:uri="http://purl.org/dc/terms/"/>
    <ds:schemaRef ds:uri="0c8cfcba-b016-4e30-8556-6f1cb7c975af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829AC69-3DE9-4358-A936-2505EA3986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B6080F-499F-44F2-8811-CE0CDCE1AF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eabdcc-72ab-4064-9f46-5100b1dc17a4"/>
    <ds:schemaRef ds:uri="0c8cfcba-b016-4e30-8556-6f1cb7c975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PTO_Entry_Form</vt:lpstr>
      <vt:lpstr>Analyst_Details</vt:lpstr>
      <vt:lpstr>Christus_Emp_Data</vt:lpstr>
      <vt:lpstr>Firm_Holiday's</vt:lpstr>
      <vt:lpstr>Holidays_2026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Paul, J</dc:creator>
  <cp:keywords/>
  <dc:description/>
  <cp:lastModifiedBy>Kumar S, Kiran</cp:lastModifiedBy>
  <cp:revision/>
  <dcterms:created xsi:type="dcterms:W3CDTF">2025-09-22T11:34:26Z</dcterms:created>
  <dcterms:modified xsi:type="dcterms:W3CDTF">2026-02-02T11:00:31Z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0x010100BE5E5BA06A902547B72725678B9AC8F3</vt:lpwstr>
  </property>
  <property fmtid="{D5CDD505-2E9C-101B-9397-08002B2CF9AE}" pid="3" name="MediaServiceImageTags">
    <vt:lpwstr/>
  </property>
</Properties>
</file>